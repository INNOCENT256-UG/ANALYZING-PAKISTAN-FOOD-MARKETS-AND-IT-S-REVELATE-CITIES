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Videos\"/>
    </mc:Choice>
  </mc:AlternateContent>
  <xr:revisionPtr revIDLastSave="0" documentId="13_ncr:1_{A9781F17-B6DF-4759-9E93-07A86BA8C1E5}" xr6:coauthVersionLast="47" xr6:coauthVersionMax="47" xr10:uidLastSave="{00000000-0000-0000-0000-000000000000}"/>
  <bookViews>
    <workbookView xWindow="4010" yWindow="660" windowWidth="15120" windowHeight="9260" xr2:uid="{93E76F11-2D3E-4D77-AE93-02E4EBCB670C}"/>
  </bookViews>
  <sheets>
    <sheet name="Price_Level pk food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 s="1"/>
  <c r="D5" i="1"/>
  <c r="E5" i="1" s="1"/>
  <c r="J3" i="1"/>
  <c r="I3" i="1"/>
  <c r="D3" i="1"/>
  <c r="E3" i="1" s="1"/>
</calcChain>
</file>

<file path=xl/sharedStrings.xml><?xml version="1.0" encoding="utf-8"?>
<sst xmlns="http://schemas.openxmlformats.org/spreadsheetml/2006/main" count="54" uniqueCount="52">
  <si>
    <t>Category</t>
  </si>
  <si>
    <t>Average of Price_per_Kg</t>
  </si>
  <si>
    <t>Maximum_Category</t>
  </si>
  <si>
    <t>Product</t>
  </si>
  <si>
    <t>Item</t>
  </si>
  <si>
    <t>Maximum_Item</t>
  </si>
  <si>
    <t>Beverage</t>
  </si>
  <si>
    <t>Apple</t>
  </si>
  <si>
    <t>Condiment</t>
  </si>
  <si>
    <t>Minimuim Category</t>
  </si>
  <si>
    <t>Banana</t>
  </si>
  <si>
    <t>Minimuim Item</t>
  </si>
  <si>
    <t>Dairy</t>
  </si>
  <si>
    <t>Beef (Local)</t>
  </si>
  <si>
    <t>Fruit</t>
  </si>
  <si>
    <t>Carrot</t>
  </si>
  <si>
    <t>Grain</t>
  </si>
  <si>
    <t>Cheese (Local)</t>
  </si>
  <si>
    <t>Meat</t>
  </si>
  <si>
    <t>Chicken (Whole)</t>
  </si>
  <si>
    <t>Oil</t>
  </si>
  <si>
    <t>Chicken Breast</t>
  </si>
  <si>
    <t>Pulses</t>
  </si>
  <si>
    <t>Chickpeas</t>
  </si>
  <si>
    <t>Vegetable</t>
  </si>
  <si>
    <t>Cooking Oil (Sunflower)</t>
  </si>
  <si>
    <t>Eggplant</t>
  </si>
  <si>
    <t>Fish (Pomfret)</t>
  </si>
  <si>
    <t>Fish (Rohu)</t>
  </si>
  <si>
    <t>Flour (Atta)</t>
  </si>
  <si>
    <t>Ghee</t>
  </si>
  <si>
    <t>Grapes</t>
  </si>
  <si>
    <t>Guava</t>
  </si>
  <si>
    <t>Lentils (Masoor)</t>
  </si>
  <si>
    <t>Lentils (Moong)</t>
  </si>
  <si>
    <t>Maize</t>
  </si>
  <si>
    <t>Mango</t>
  </si>
  <si>
    <t>Milk</t>
  </si>
  <si>
    <t>Mutton</t>
  </si>
  <si>
    <t>Onion</t>
  </si>
  <si>
    <t>Oranges</t>
  </si>
  <si>
    <t>Potato</t>
  </si>
  <si>
    <t>Rice (Basmati)</t>
  </si>
  <si>
    <t>Rice (Irri)</t>
  </si>
  <si>
    <t>Salt</t>
  </si>
  <si>
    <t>Spices (Mixed)</t>
  </si>
  <si>
    <t>Spinach</t>
  </si>
  <si>
    <t>Sugar</t>
  </si>
  <si>
    <t>Tea (Loose)</t>
  </si>
  <si>
    <t>Tomato</t>
  </si>
  <si>
    <t>Wheat</t>
  </si>
  <si>
    <t>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</si>
</sst>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s-420]\ #,##0.00"/>
    <numFmt numFmtId="165" formatCode="[$Rs-420]\ #,##0"/>
  </numFmts>
  <fonts count="3" x14ac:knownFonts="1">
    <font>
      <sz val="11"/>
      <color theme="1"/>
      <name val="Calibri"/>
      <family val="2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095F80"/>
      </patternFill>
    </fill>
    <fill>
      <patternFill patternType="solid">
        <fgColor theme="5"/>
        <bgColor rgb="FFCF642C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3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1" fillId="2" borderId="3" xfId="0" applyFont="1" applyFill="1" applyBorder="1"/>
    <xf numFmtId="0" fontId="2" fillId="3" borderId="7" xfId="0" applyFont="1" applyFill="1" applyBorder="1"/>
    <xf numFmtId="0" fontId="2" fillId="2" borderId="7" xfId="0" applyFont="1" applyFill="1" applyBorder="1"/>
    <xf numFmtId="0" fontId="1" fillId="0" borderId="8" xfId="0" applyFont="1" applyBorder="1"/>
    <xf numFmtId="164" fontId="1" fillId="0" borderId="9" xfId="0" applyNumberFormat="1" applyFont="1" applyBorder="1"/>
    <xf numFmtId="164" fontId="1" fillId="0" borderId="3" xfId="0" applyNumberFormat="1" applyFont="1" applyBorder="1"/>
    <xf numFmtId="164" fontId="1" fillId="0" borderId="7" xfId="0" applyNumberFormat="1" applyFont="1" applyBorder="1"/>
    <xf numFmtId="0" fontId="1" fillId="0" borderId="10" xfId="0" applyFont="1" applyBorder="1"/>
    <xf numFmtId="165" fontId="1" fillId="0" borderId="10" xfId="0" applyNumberFormat="1" applyFont="1" applyBorder="1"/>
    <xf numFmtId="0" fontId="1" fillId="0" borderId="7" xfId="0" applyFont="1" applyBorder="1"/>
    <xf numFmtId="165" fontId="1" fillId="0" borderId="7" xfId="0" applyNumberFormat="1" applyFont="1" applyBorder="1"/>
    <xf numFmtId="164" fontId="2" fillId="3" borderId="3" xfId="0" applyNumberFormat="1" applyFont="1" applyFill="1" applyBorder="1"/>
    <xf numFmtId="0" fontId="1" fillId="0" borderId="11" xfId="0" applyFont="1" applyBorder="1"/>
    <xf numFmtId="165" fontId="1" fillId="0" borderId="11" xfId="0" applyNumberFormat="1" applyFont="1" applyBorder="1"/>
    <xf numFmtId="164" fontId="1" fillId="0" borderId="0" xfId="0" applyNumberFormat="1" applyFont="1"/>
    <xf numFmtId="0" fontId="1" fillId="0" borderId="12" xfId="0" applyFont="1" applyBorder="1"/>
    <xf numFmtId="165" fontId="1" fillId="0" borderId="13" xfId="0" applyNumberFormat="1" applyFont="1" applyBorder="1"/>
    <xf numFmtId="0" fontId="1" fillId="0" borderId="9" xfId="0" applyFont="1" applyBorder="1"/>
    <xf numFmtId="165" fontId="1" fillId="0" borderId="14" xfId="0" applyNumberFormat="1" applyFont="1" applyBorder="1"/>
    <xf numFmtId="0" fontId="1" fillId="0" borderId="15" xfId="0" applyFont="1" applyBorder="1"/>
    <xf numFmtId="164" fontId="1" fillId="0" borderId="16" xfId="0" applyNumberFormat="1" applyFont="1" applyBorder="1"/>
    <xf numFmtId="0" fontId="1" fillId="0" borderId="16" xfId="0" applyFont="1" applyBorder="1"/>
    <xf numFmtId="165" fontId="1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Average of Category_per_Kg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[1]Price_Level!$C$2</c:f>
              <c:strCache>
                <c:ptCount val="1"/>
                <c:pt idx="0">
                  <c:v>Average of Price_per_Kg</c:v>
                </c:pt>
              </c:strCache>
            </c:strRef>
          </c:tx>
          <c:spPr>
            <a:solidFill>
              <a:srgbClr val="A02B9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[1]Price_Level!$B$3:$B$11</c:f>
              <c:strCache>
                <c:ptCount val="9"/>
                <c:pt idx="0">
                  <c:v>Beverage</c:v>
                </c:pt>
                <c:pt idx="1">
                  <c:v>Condiment</c:v>
                </c:pt>
                <c:pt idx="2">
                  <c:v>Dairy</c:v>
                </c:pt>
                <c:pt idx="3">
                  <c:v>Fruit</c:v>
                </c:pt>
                <c:pt idx="4">
                  <c:v>Grain</c:v>
                </c:pt>
                <c:pt idx="5">
                  <c:v>Meat</c:v>
                </c:pt>
                <c:pt idx="6">
                  <c:v>Oil</c:v>
                </c:pt>
                <c:pt idx="7">
                  <c:v>Pulses</c:v>
                </c:pt>
                <c:pt idx="8">
                  <c:v>Vegetable</c:v>
                </c:pt>
              </c:strCache>
            </c:strRef>
          </c:cat>
          <c:val>
            <c:numRef>
              <c:f>[1]Price_Level!$C$3:$C$11</c:f>
              <c:numCache>
                <c:formatCode>[$Rs-420]\ #,##0.00</c:formatCode>
                <c:ptCount val="9"/>
                <c:pt idx="0">
                  <c:v>911.57729166666695</c:v>
                </c:pt>
                <c:pt idx="1">
                  <c:v>450.66322580645198</c:v>
                </c:pt>
                <c:pt idx="2">
                  <c:v>413.80085106383001</c:v>
                </c:pt>
                <c:pt idx="3">
                  <c:v>185.61826086956501</c:v>
                </c:pt>
                <c:pt idx="4">
                  <c:v>141.906222222222</c:v>
                </c:pt>
                <c:pt idx="5">
                  <c:v>847.79511494252904</c:v>
                </c:pt>
                <c:pt idx="6">
                  <c:v>721.65015384615401</c:v>
                </c:pt>
                <c:pt idx="7">
                  <c:v>256.56627450980397</c:v>
                </c:pt>
                <c:pt idx="8">
                  <c:v>94.944502617801106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6-416E-B1AF-ED7F691AF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28979"/>
        <c:axId val="48731825"/>
      </c:barChart>
      <c:catAx>
        <c:axId val="79289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48731825"/>
        <c:crosses val="autoZero"/>
        <c:auto val="1"/>
        <c:lblAlgn val="ctr"/>
        <c:lblOffset val="100"/>
        <c:noMultiLvlLbl val="0"/>
      </c:catAx>
      <c:valAx>
        <c:axId val="487318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[$Rs-420]\ #,##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79289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[1]Price_Level!$G$2</c:f>
              <c:strCache>
                <c:ptCount val="1"/>
                <c:pt idx="0">
                  <c:v>Average of Price_per_Kg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[1]Price_Level!$F$3:$F$37</c:f>
              <c:strCache>
                <c:ptCount val="35"/>
                <c:pt idx="0">
                  <c:v>Apple</c:v>
                </c:pt>
                <c:pt idx="1">
                  <c:v>Banana</c:v>
                </c:pt>
                <c:pt idx="2">
                  <c:v>Beef (Local)</c:v>
                </c:pt>
                <c:pt idx="3">
                  <c:v>Carrot</c:v>
                </c:pt>
                <c:pt idx="4">
                  <c:v>Cheese (Local)</c:v>
                </c:pt>
                <c:pt idx="5">
                  <c:v>Chicken (Whole)</c:v>
                </c:pt>
                <c:pt idx="6">
                  <c:v>Chicken Breast</c:v>
                </c:pt>
                <c:pt idx="7">
                  <c:v>Chickpeas</c:v>
                </c:pt>
                <c:pt idx="8">
                  <c:v>Cooking Oil (Sunflower)</c:v>
                </c:pt>
                <c:pt idx="9">
                  <c:v>Eggplant</c:v>
                </c:pt>
                <c:pt idx="10">
                  <c:v>Fish (Pomfret)</c:v>
                </c:pt>
                <c:pt idx="11">
                  <c:v>Fish (Rohu)</c:v>
                </c:pt>
                <c:pt idx="12">
                  <c:v>Flour (Atta)</c:v>
                </c:pt>
                <c:pt idx="13">
                  <c:v>Ghee</c:v>
                </c:pt>
                <c:pt idx="14">
                  <c:v>Grapes</c:v>
                </c:pt>
                <c:pt idx="15">
                  <c:v>Guava</c:v>
                </c:pt>
                <c:pt idx="16">
                  <c:v>Lentils (Masoor)</c:v>
                </c:pt>
                <c:pt idx="17">
                  <c:v>Lentils (Moong)</c:v>
                </c:pt>
                <c:pt idx="18">
                  <c:v>Maize</c:v>
                </c:pt>
                <c:pt idx="19">
                  <c:v>Mango</c:v>
                </c:pt>
                <c:pt idx="20">
                  <c:v>Milk</c:v>
                </c:pt>
                <c:pt idx="21">
                  <c:v>Mutton</c:v>
                </c:pt>
                <c:pt idx="22">
                  <c:v>Onion</c:v>
                </c:pt>
                <c:pt idx="23">
                  <c:v>Oranges</c:v>
                </c:pt>
                <c:pt idx="24">
                  <c:v>Potato</c:v>
                </c:pt>
                <c:pt idx="25">
                  <c:v>Rice (Basmati)</c:v>
                </c:pt>
                <c:pt idx="26">
                  <c:v>Rice (Irri)</c:v>
                </c:pt>
                <c:pt idx="27">
                  <c:v>Salt</c:v>
                </c:pt>
                <c:pt idx="28">
                  <c:v>Spices (Mixed)</c:v>
                </c:pt>
                <c:pt idx="29">
                  <c:v>Spinach</c:v>
                </c:pt>
                <c:pt idx="30">
                  <c:v>Sugar</c:v>
                </c:pt>
                <c:pt idx="31">
                  <c:v>Tea (Loose)</c:v>
                </c:pt>
                <c:pt idx="32">
                  <c:v>Tomato</c:v>
                </c:pt>
                <c:pt idx="33">
                  <c:v>Wheat</c:v>
                </c:pt>
                <c:pt idx="34">
                  <c:v>Yogurt</c:v>
                </c:pt>
              </c:strCache>
            </c:strRef>
          </c:cat>
          <c:val>
            <c:numRef>
              <c:f>[1]Price_Level!$G$3:$G$37</c:f>
              <c:numCache>
                <c:formatCode>[$Rs-420]\ #,##0</c:formatCode>
                <c:ptCount val="35"/>
                <c:pt idx="0">
                  <c:v>206.148387096774</c:v>
                </c:pt>
                <c:pt idx="1">
                  <c:v>121.609032258065</c:v>
                </c:pt>
                <c:pt idx="2">
                  <c:v>920.12567567567601</c:v>
                </c:pt>
                <c:pt idx="3">
                  <c:v>141.74161290322601</c:v>
                </c:pt>
                <c:pt idx="4">
                  <c:v>905.60259259259306</c:v>
                </c:pt>
                <c:pt idx="5">
                  <c:v>533.45882352941203</c:v>
                </c:pt>
                <c:pt idx="6">
                  <c:v>673.04079999999999</c:v>
                </c:pt>
                <c:pt idx="7">
                  <c:v>203.25225806451601</c:v>
                </c:pt>
                <c:pt idx="8">
                  <c:v>368.73933333333298</c:v>
                </c:pt>
                <c:pt idx="9">
                  <c:v>81.934666666666701</c:v>
                </c:pt>
                <c:pt idx="10">
                  <c:v>1113.4854166666701</c:v>
                </c:pt>
                <c:pt idx="11">
                  <c:v>720.27689655172401</c:v>
                </c:pt>
                <c:pt idx="12">
                  <c:v>113.26108695652201</c:v>
                </c:pt>
                <c:pt idx="13">
                  <c:v>1024.1451428571399</c:v>
                </c:pt>
                <c:pt idx="14">
                  <c:v>226.566129032258</c:v>
                </c:pt>
                <c:pt idx="15">
                  <c:v>132.90272727272699</c:v>
                </c:pt>
                <c:pt idx="16">
                  <c:v>249.29750000000001</c:v>
                </c:pt>
                <c:pt idx="17">
                  <c:v>304.908205128205</c:v>
                </c:pt>
                <c:pt idx="18">
                  <c:v>102.252857142857</c:v>
                </c:pt>
                <c:pt idx="19">
                  <c:v>257.40029411764698</c:v>
                </c:pt>
                <c:pt idx="20">
                  <c:v>206.78702702702699</c:v>
                </c:pt>
                <c:pt idx="21">
                  <c:v>1235.856</c:v>
                </c:pt>
                <c:pt idx="22">
                  <c:v>90.269599999999997</c:v>
                </c:pt>
                <c:pt idx="23">
                  <c:v>151.264571428571</c:v>
                </c:pt>
                <c:pt idx="24">
                  <c:v>70.278611111111104</c:v>
                </c:pt>
                <c:pt idx="25">
                  <c:v>309.017272727273</c:v>
                </c:pt>
                <c:pt idx="26">
                  <c:v>140.29839999999999</c:v>
                </c:pt>
                <c:pt idx="27">
                  <c:v>40.881379310344798</c:v>
                </c:pt>
                <c:pt idx="28">
                  <c:v>810.774545454546</c:v>
                </c:pt>
                <c:pt idx="29">
                  <c:v>62.182121212121203</c:v>
                </c:pt>
                <c:pt idx="30">
                  <c:v>122.037714285714</c:v>
                </c:pt>
                <c:pt idx="31">
                  <c:v>911.57729166666695</c:v>
                </c:pt>
                <c:pt idx="32">
                  <c:v>123.433055555556</c:v>
                </c:pt>
                <c:pt idx="33">
                  <c:v>120.53625</c:v>
                </c:pt>
                <c:pt idx="34">
                  <c:v>226.49633333333301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5-42CF-988C-F1F7F7AE8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78485"/>
        <c:axId val="63526124"/>
      </c:barChart>
      <c:catAx>
        <c:axId val="307848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63526124"/>
        <c:crosses val="autoZero"/>
        <c:auto val="1"/>
        <c:lblAlgn val="ctr"/>
        <c:lblOffset val="100"/>
        <c:noMultiLvlLbl val="0"/>
      </c:catAx>
      <c:valAx>
        <c:axId val="6352612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[$Rs-420]\ 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30784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34920</xdr:rowOff>
    </xdr:from>
    <xdr:to>
      <xdr:col>3</xdr:col>
      <xdr:colOff>1343520</xdr:colOff>
      <xdr:row>25</xdr:row>
      <xdr:rowOff>108700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F2345A-527D-45A8-ADC3-6C6EE330E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146050</xdr:colOff>
      <xdr:row>7</xdr:row>
      <xdr:rowOff>69850</xdr:rowOff>
    </xdr:from>
    <xdr:to>
      <xdr:col>13</xdr:col>
      <xdr:colOff>448460</xdr:colOff>
      <xdr:row>24</xdr:row>
      <xdr:rowOff>140300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EBF7A3-FFB1-4758-A8DB-ADD2E4D2C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9e529ce39e36f3d/Documents/DATASET%20PROJECTS%2025-26/PK_FOODS_DASHBOARD_2025.xlsx" TargetMode="External"/><Relationship Id="rId1" Type="http://schemas.openxmlformats.org/officeDocument/2006/relationships/externalLinkPath" Target="https://d.docs.live.net/d9e529ce39e36f3d/Documents/DATASET%20PROJECTS%2025-26/PK_FOODS_DASHBOARD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akistan_Food_Prices_Cleaned"/>
      <sheetName val="Source_Market_Survey"/>
      <sheetName val="Price_Volatility"/>
      <sheetName val="Price_Level"/>
      <sheetName val="City Performance"/>
      <sheetName val="Price Per Kg Review"/>
      <sheetName val="Gap Analysis"/>
      <sheetName val="KPI SUMMARY"/>
      <sheetName val="CHART_DATA"/>
    </sheetNames>
    <sheetDataSet>
      <sheetData sheetId="0"/>
      <sheetData sheetId="1"/>
      <sheetData sheetId="2"/>
      <sheetData sheetId="3"/>
      <sheetData sheetId="4">
        <row r="2">
          <cell r="C2" t="str">
            <v>Average of Price_per_Kg</v>
          </cell>
          <cell r="G2" t="str">
            <v>Average of Price_per_Kg</v>
          </cell>
        </row>
        <row r="3">
          <cell r="B3" t="str">
            <v>Beverage</v>
          </cell>
          <cell r="C3">
            <v>911.57729166666695</v>
          </cell>
          <cell r="F3" t="str">
            <v>Apple</v>
          </cell>
          <cell r="G3">
            <v>206.148387096774</v>
          </cell>
        </row>
        <row r="4">
          <cell r="B4" t="str">
            <v>Condiment</v>
          </cell>
          <cell r="C4">
            <v>450.66322580645198</v>
          </cell>
          <cell r="F4" t="str">
            <v>Banana</v>
          </cell>
          <cell r="G4">
            <v>121.609032258065</v>
          </cell>
        </row>
        <row r="5">
          <cell r="B5" t="str">
            <v>Dairy</v>
          </cell>
          <cell r="C5">
            <v>413.80085106383001</v>
          </cell>
          <cell r="F5" t="str">
            <v>Beef (Local)</v>
          </cell>
          <cell r="G5">
            <v>920.12567567567601</v>
          </cell>
        </row>
        <row r="6">
          <cell r="B6" t="str">
            <v>Fruit</v>
          </cell>
          <cell r="C6">
            <v>185.61826086956501</v>
          </cell>
          <cell r="F6" t="str">
            <v>Carrot</v>
          </cell>
          <cell r="G6">
            <v>141.74161290322601</v>
          </cell>
        </row>
        <row r="7">
          <cell r="B7" t="str">
            <v>Grain</v>
          </cell>
          <cell r="C7">
            <v>141.906222222222</v>
          </cell>
          <cell r="F7" t="str">
            <v>Cheese (Local)</v>
          </cell>
          <cell r="G7">
            <v>905.60259259259306</v>
          </cell>
        </row>
        <row r="8">
          <cell r="B8" t="str">
            <v>Meat</v>
          </cell>
          <cell r="C8">
            <v>847.79511494252904</v>
          </cell>
          <cell r="F8" t="str">
            <v>Chicken (Whole)</v>
          </cell>
          <cell r="G8">
            <v>533.45882352941203</v>
          </cell>
        </row>
        <row r="9">
          <cell r="B9" t="str">
            <v>Oil</v>
          </cell>
          <cell r="C9">
            <v>721.65015384615401</v>
          </cell>
          <cell r="F9" t="str">
            <v>Chicken Breast</v>
          </cell>
          <cell r="G9">
            <v>673.04079999999999</v>
          </cell>
        </row>
        <row r="10">
          <cell r="B10" t="str">
            <v>Pulses</v>
          </cell>
          <cell r="C10">
            <v>256.56627450980397</v>
          </cell>
          <cell r="F10" t="str">
            <v>Chickpeas</v>
          </cell>
          <cell r="G10">
            <v>203.25225806451601</v>
          </cell>
        </row>
        <row r="11">
          <cell r="B11" t="str">
            <v>Vegetable</v>
          </cell>
          <cell r="C11">
            <v>94.944502617801106</v>
          </cell>
          <cell r="F11" t="str">
            <v>Cooking Oil (Sunflower)</v>
          </cell>
          <cell r="G11">
            <v>368.73933333333298</v>
          </cell>
        </row>
        <row r="12">
          <cell r="F12" t="str">
            <v>Eggplant</v>
          </cell>
          <cell r="G12">
            <v>81.934666666666701</v>
          </cell>
        </row>
        <row r="13">
          <cell r="F13" t="str">
            <v>Fish (Pomfret)</v>
          </cell>
          <cell r="G13">
            <v>1113.4854166666701</v>
          </cell>
        </row>
        <row r="14">
          <cell r="F14" t="str">
            <v>Fish (Rohu)</v>
          </cell>
          <cell r="G14">
            <v>720.27689655172401</v>
          </cell>
        </row>
        <row r="15">
          <cell r="F15" t="str">
            <v>Flour (Atta)</v>
          </cell>
          <cell r="G15">
            <v>113.26108695652201</v>
          </cell>
        </row>
        <row r="16">
          <cell r="F16" t="str">
            <v>Ghee</v>
          </cell>
          <cell r="G16">
            <v>1024.1451428571399</v>
          </cell>
        </row>
        <row r="17">
          <cell r="F17" t="str">
            <v>Grapes</v>
          </cell>
          <cell r="G17">
            <v>226.566129032258</v>
          </cell>
        </row>
        <row r="18">
          <cell r="F18" t="str">
            <v>Guava</v>
          </cell>
          <cell r="G18">
            <v>132.90272727272699</v>
          </cell>
        </row>
        <row r="19">
          <cell r="F19" t="str">
            <v>Lentils (Masoor)</v>
          </cell>
          <cell r="G19">
            <v>249.29750000000001</v>
          </cell>
        </row>
        <row r="20">
          <cell r="F20" t="str">
            <v>Lentils (Moong)</v>
          </cell>
          <cell r="G20">
            <v>304.908205128205</v>
          </cell>
        </row>
        <row r="21">
          <cell r="F21" t="str">
            <v>Maize</v>
          </cell>
          <cell r="G21">
            <v>102.252857142857</v>
          </cell>
        </row>
        <row r="22">
          <cell r="F22" t="str">
            <v>Mango</v>
          </cell>
          <cell r="G22">
            <v>257.40029411764698</v>
          </cell>
        </row>
        <row r="23">
          <cell r="F23" t="str">
            <v>Milk</v>
          </cell>
          <cell r="G23">
            <v>206.78702702702699</v>
          </cell>
        </row>
        <row r="24">
          <cell r="F24" t="str">
            <v>Mutton</v>
          </cell>
          <cell r="G24">
            <v>1235.856</v>
          </cell>
        </row>
        <row r="25">
          <cell r="F25" t="str">
            <v>Onion</v>
          </cell>
          <cell r="G25">
            <v>90.269599999999997</v>
          </cell>
        </row>
        <row r="26">
          <cell r="F26" t="str">
            <v>Oranges</v>
          </cell>
          <cell r="G26">
            <v>151.264571428571</v>
          </cell>
        </row>
        <row r="27">
          <cell r="F27" t="str">
            <v>Potato</v>
          </cell>
          <cell r="G27">
            <v>70.278611111111104</v>
          </cell>
        </row>
        <row r="28">
          <cell r="F28" t="str">
            <v>Rice (Basmati)</v>
          </cell>
          <cell r="G28">
            <v>309.017272727273</v>
          </cell>
        </row>
        <row r="29">
          <cell r="F29" t="str">
            <v>Rice (Irri)</v>
          </cell>
          <cell r="G29">
            <v>140.29839999999999</v>
          </cell>
        </row>
        <row r="30">
          <cell r="F30" t="str">
            <v>Salt</v>
          </cell>
          <cell r="G30">
            <v>40.881379310344798</v>
          </cell>
        </row>
        <row r="31">
          <cell r="F31" t="str">
            <v>Spices (Mixed)</v>
          </cell>
          <cell r="G31">
            <v>810.774545454546</v>
          </cell>
        </row>
        <row r="32">
          <cell r="F32" t="str">
            <v>Spinach</v>
          </cell>
          <cell r="G32">
            <v>62.182121212121203</v>
          </cell>
        </row>
        <row r="33">
          <cell r="F33" t="str">
            <v>Sugar</v>
          </cell>
          <cell r="G33">
            <v>122.037714285714</v>
          </cell>
        </row>
        <row r="34">
          <cell r="F34" t="str">
            <v>Tea (Loose)</v>
          </cell>
          <cell r="G34">
            <v>911.57729166666695</v>
          </cell>
        </row>
        <row r="35">
          <cell r="F35" t="str">
            <v>Tomato</v>
          </cell>
          <cell r="G35">
            <v>123.433055555556</v>
          </cell>
        </row>
        <row r="36">
          <cell r="F36" t="str">
            <v>Wheat</v>
          </cell>
          <cell r="G36">
            <v>120.53625</v>
          </cell>
        </row>
        <row r="37">
          <cell r="F37" t="str">
            <v>Yogurt</v>
          </cell>
          <cell r="G37">
            <v>226.49633333333301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960E-51FD-473E-AFC3-FC9F71B2907B}">
  <dimension ref="B1:J37"/>
  <sheetViews>
    <sheetView showGridLines="0" tabSelected="1" topLeftCell="C1" workbookViewId="0">
      <selection activeCell="D11" sqref="D11"/>
    </sheetView>
  </sheetViews>
  <sheetFormatPr defaultColWidth="8.7265625" defaultRowHeight="15.5" x14ac:dyDescent="0.35"/>
  <cols>
    <col min="1" max="1" width="8.7265625" style="1"/>
    <col min="2" max="2" width="10.81640625" style="1" customWidth="1"/>
    <col min="3" max="3" width="23.36328125" style="1" customWidth="1"/>
    <col min="4" max="4" width="19.54296875" style="1" customWidth="1"/>
    <col min="5" max="5" width="9.90625" style="1" customWidth="1"/>
    <col min="6" max="6" width="22.1796875" style="1" customWidth="1"/>
    <col min="7" max="7" width="23.36328125" style="1" customWidth="1"/>
    <col min="8" max="8" width="8.7265625" style="1"/>
    <col min="9" max="9" width="15.54296875" style="1" customWidth="1"/>
    <col min="10" max="10" width="7.7265625" style="1" customWidth="1"/>
    <col min="11" max="16384" width="8.7265625" style="1"/>
  </cols>
  <sheetData>
    <row r="1" spans="2:10" ht="15.75" customHeight="1" thickBot="1" x14ac:dyDescent="0.4"/>
    <row r="2" spans="2:10" ht="15.75" customHeight="1" thickBot="1" x14ac:dyDescent="0.4">
      <c r="B2" s="2" t="s">
        <v>0</v>
      </c>
      <c r="C2" s="3" t="s">
        <v>1</v>
      </c>
      <c r="D2" s="4" t="s">
        <v>2</v>
      </c>
      <c r="E2" s="5" t="s">
        <v>3</v>
      </c>
      <c r="F2" s="6" t="s">
        <v>4</v>
      </c>
      <c r="G2" s="7" t="s">
        <v>1</v>
      </c>
      <c r="H2" s="8"/>
      <c r="I2" s="9" t="s">
        <v>5</v>
      </c>
      <c r="J2" s="10" t="s">
        <v>3</v>
      </c>
    </row>
    <row r="3" spans="2:10" ht="15" customHeight="1" x14ac:dyDescent="0.35">
      <c r="B3" s="11" t="s">
        <v>6</v>
      </c>
      <c r="C3" s="12">
        <v>911.57729166666695</v>
      </c>
      <c r="D3" s="13">
        <f>MAX(C3:C11)</f>
        <v>911.57729166666695</v>
      </c>
      <c r="E3" s="14" t="str">
        <f>INDEX(B3:B11,MATCH(D3,C3:C11,0))</f>
        <v>Beverage</v>
      </c>
      <c r="F3" s="15" t="s">
        <v>7</v>
      </c>
      <c r="G3" s="16">
        <v>206.148387096774</v>
      </c>
      <c r="H3" s="17"/>
      <c r="I3" s="18">
        <f>MAX(G3:G37)</f>
        <v>1235.856</v>
      </c>
      <c r="J3" s="17" t="str">
        <f>INDEX(F3:F37,MATCH(I3,G3:G37,0))</f>
        <v>Mutton</v>
      </c>
    </row>
    <row r="4" spans="2:10" ht="15" customHeight="1" x14ac:dyDescent="0.35">
      <c r="B4" s="11" t="s">
        <v>8</v>
      </c>
      <c r="C4" s="12">
        <v>450.66322580645198</v>
      </c>
      <c r="D4" s="19" t="s">
        <v>9</v>
      </c>
      <c r="E4" s="14"/>
      <c r="F4" s="17" t="s">
        <v>10</v>
      </c>
      <c r="G4" s="18">
        <v>121.609032258065</v>
      </c>
      <c r="H4" s="17"/>
      <c r="I4" s="9" t="s">
        <v>11</v>
      </c>
      <c r="J4" s="17"/>
    </row>
    <row r="5" spans="2:10" ht="15.75" customHeight="1" thickBot="1" x14ac:dyDescent="0.4">
      <c r="B5" s="11" t="s">
        <v>12</v>
      </c>
      <c r="C5" s="12">
        <v>413.80085106383001</v>
      </c>
      <c r="D5" s="13">
        <f>MIN(C3:C11)</f>
        <v>94.944502617801106</v>
      </c>
      <c r="E5" s="14" t="str">
        <f>INDEX(B3:B11,MATCH(D5,C3:C11,0))</f>
        <v>Vegetable</v>
      </c>
      <c r="F5" s="20" t="s">
        <v>13</v>
      </c>
      <c r="G5" s="21">
        <v>920.12567567567601</v>
      </c>
      <c r="H5" s="17"/>
      <c r="I5" s="18">
        <f>MIN(G3:G37)</f>
        <v>40.881379310344798</v>
      </c>
      <c r="J5" s="17" t="str">
        <f>INDEX(F3:F37,MATCH(I5,G3:G37,0))</f>
        <v>Salt</v>
      </c>
    </row>
    <row r="6" spans="2:10" ht="15" customHeight="1" x14ac:dyDescent="0.35">
      <c r="B6" s="11" t="s">
        <v>14</v>
      </c>
      <c r="C6" s="12">
        <v>185.61826086956501</v>
      </c>
      <c r="D6" s="22"/>
      <c r="E6" s="22"/>
      <c r="F6" s="23" t="s">
        <v>15</v>
      </c>
      <c r="G6" s="24">
        <v>141.74161290322601</v>
      </c>
    </row>
    <row r="7" spans="2:10" ht="15" customHeight="1" x14ac:dyDescent="0.35">
      <c r="B7" s="11" t="s">
        <v>16</v>
      </c>
      <c r="C7" s="12">
        <v>141.906222222222</v>
      </c>
      <c r="D7" s="22"/>
      <c r="E7" s="22"/>
      <c r="F7" s="25" t="s">
        <v>17</v>
      </c>
      <c r="G7" s="26">
        <v>905.60259259259306</v>
      </c>
    </row>
    <row r="8" spans="2:10" ht="15" customHeight="1" x14ac:dyDescent="0.35">
      <c r="B8" s="11" t="s">
        <v>18</v>
      </c>
      <c r="C8" s="12">
        <v>847.79511494252904</v>
      </c>
      <c r="D8" s="22"/>
      <c r="E8" s="22"/>
      <c r="F8" s="25" t="s">
        <v>19</v>
      </c>
      <c r="G8" s="26">
        <v>533.45882352941203</v>
      </c>
    </row>
    <row r="9" spans="2:10" ht="15" customHeight="1" x14ac:dyDescent="0.35">
      <c r="B9" s="11" t="s">
        <v>20</v>
      </c>
      <c r="C9" s="12">
        <v>721.65015384615401</v>
      </c>
      <c r="D9" s="22"/>
      <c r="E9" s="22"/>
      <c r="F9" s="25" t="s">
        <v>21</v>
      </c>
      <c r="G9" s="26">
        <v>673.04079999999999</v>
      </c>
    </row>
    <row r="10" spans="2:10" ht="15" customHeight="1" x14ac:dyDescent="0.35">
      <c r="B10" s="11" t="s">
        <v>22</v>
      </c>
      <c r="C10" s="12">
        <v>256.56627450980397</v>
      </c>
      <c r="D10" s="22"/>
      <c r="E10" s="22"/>
      <c r="F10" s="25" t="s">
        <v>23</v>
      </c>
      <c r="G10" s="26">
        <v>203.25225806451601</v>
      </c>
    </row>
    <row r="11" spans="2:10" ht="15.75" customHeight="1" thickBot="1" x14ac:dyDescent="0.4">
      <c r="B11" s="27" t="s">
        <v>24</v>
      </c>
      <c r="C11" s="28">
        <v>94.944502617801106</v>
      </c>
      <c r="D11" s="22"/>
      <c r="E11" s="22"/>
      <c r="F11" s="25" t="s">
        <v>25</v>
      </c>
      <c r="G11" s="26">
        <v>368.73933333333298</v>
      </c>
    </row>
    <row r="12" spans="2:10" ht="15" customHeight="1" x14ac:dyDescent="0.35">
      <c r="C12" s="22"/>
      <c r="D12" s="22"/>
      <c r="E12" s="22"/>
      <c r="F12" s="25" t="s">
        <v>26</v>
      </c>
      <c r="G12" s="26">
        <v>81.934666666666701</v>
      </c>
    </row>
    <row r="13" spans="2:10" ht="15" customHeight="1" x14ac:dyDescent="0.35">
      <c r="F13" s="25" t="s">
        <v>27</v>
      </c>
      <c r="G13" s="26">
        <v>1113.4854166666701</v>
      </c>
    </row>
    <row r="14" spans="2:10" ht="15" customHeight="1" x14ac:dyDescent="0.35">
      <c r="F14" s="25" t="s">
        <v>28</v>
      </c>
      <c r="G14" s="26">
        <v>720.27689655172401</v>
      </c>
    </row>
    <row r="15" spans="2:10" ht="15" customHeight="1" x14ac:dyDescent="0.35">
      <c r="F15" s="25" t="s">
        <v>29</v>
      </c>
      <c r="G15" s="26">
        <v>113.26108695652201</v>
      </c>
    </row>
    <row r="16" spans="2:10" ht="15" customHeight="1" x14ac:dyDescent="0.35">
      <c r="F16" s="25" t="s">
        <v>30</v>
      </c>
      <c r="G16" s="26">
        <v>1024.1451428571399</v>
      </c>
    </row>
    <row r="17" spans="6:7" ht="15" customHeight="1" x14ac:dyDescent="0.35">
      <c r="F17" s="25" t="s">
        <v>31</v>
      </c>
      <c r="G17" s="26">
        <v>226.566129032258</v>
      </c>
    </row>
    <row r="18" spans="6:7" ht="15" customHeight="1" x14ac:dyDescent="0.35">
      <c r="F18" s="25" t="s">
        <v>32</v>
      </c>
      <c r="G18" s="26">
        <v>132.90272727272699</v>
      </c>
    </row>
    <row r="19" spans="6:7" ht="15" customHeight="1" x14ac:dyDescent="0.35">
      <c r="F19" s="25" t="s">
        <v>33</v>
      </c>
      <c r="G19" s="26">
        <v>249.29750000000001</v>
      </c>
    </row>
    <row r="20" spans="6:7" ht="15" customHeight="1" x14ac:dyDescent="0.35">
      <c r="F20" s="25" t="s">
        <v>34</v>
      </c>
      <c r="G20" s="26">
        <v>304.908205128205</v>
      </c>
    </row>
    <row r="21" spans="6:7" ht="15" customHeight="1" x14ac:dyDescent="0.35">
      <c r="F21" s="25" t="s">
        <v>35</v>
      </c>
      <c r="G21" s="26">
        <v>102.252857142857</v>
      </c>
    </row>
    <row r="22" spans="6:7" ht="15" customHeight="1" x14ac:dyDescent="0.35">
      <c r="F22" s="25" t="s">
        <v>36</v>
      </c>
      <c r="G22" s="26">
        <v>257.40029411764698</v>
      </c>
    </row>
    <row r="23" spans="6:7" ht="15" customHeight="1" x14ac:dyDescent="0.35">
      <c r="F23" s="25" t="s">
        <v>37</v>
      </c>
      <c r="G23" s="26">
        <v>206.78702702702699</v>
      </c>
    </row>
    <row r="24" spans="6:7" ht="15" customHeight="1" x14ac:dyDescent="0.35">
      <c r="F24" s="25" t="s">
        <v>38</v>
      </c>
      <c r="G24" s="26">
        <v>1235.856</v>
      </c>
    </row>
    <row r="25" spans="6:7" ht="15" customHeight="1" x14ac:dyDescent="0.35">
      <c r="F25" s="25" t="s">
        <v>39</v>
      </c>
      <c r="G25" s="26">
        <v>90.269599999999997</v>
      </c>
    </row>
    <row r="26" spans="6:7" ht="15" customHeight="1" x14ac:dyDescent="0.35">
      <c r="F26" s="25" t="s">
        <v>40</v>
      </c>
      <c r="G26" s="26">
        <v>151.264571428571</v>
      </c>
    </row>
    <row r="27" spans="6:7" ht="15" customHeight="1" x14ac:dyDescent="0.35">
      <c r="F27" s="25" t="s">
        <v>41</v>
      </c>
      <c r="G27" s="26">
        <v>70.278611111111104</v>
      </c>
    </row>
    <row r="28" spans="6:7" ht="15" customHeight="1" x14ac:dyDescent="0.35">
      <c r="F28" s="25" t="s">
        <v>42</v>
      </c>
      <c r="G28" s="26">
        <v>309.017272727273</v>
      </c>
    </row>
    <row r="29" spans="6:7" ht="15" customHeight="1" x14ac:dyDescent="0.35">
      <c r="F29" s="25" t="s">
        <v>43</v>
      </c>
      <c r="G29" s="26">
        <v>140.29839999999999</v>
      </c>
    </row>
    <row r="30" spans="6:7" ht="15" customHeight="1" x14ac:dyDescent="0.35">
      <c r="F30" s="25" t="s">
        <v>44</v>
      </c>
      <c r="G30" s="26">
        <v>40.881379310344798</v>
      </c>
    </row>
    <row r="31" spans="6:7" ht="15" customHeight="1" x14ac:dyDescent="0.35">
      <c r="F31" s="25" t="s">
        <v>45</v>
      </c>
      <c r="G31" s="26">
        <v>810.774545454546</v>
      </c>
    </row>
    <row r="32" spans="6:7" ht="15" customHeight="1" x14ac:dyDescent="0.35">
      <c r="F32" s="25" t="s">
        <v>46</v>
      </c>
      <c r="G32" s="26">
        <v>62.182121212121203</v>
      </c>
    </row>
    <row r="33" spans="6:7" ht="15" customHeight="1" x14ac:dyDescent="0.35">
      <c r="F33" s="25" t="s">
        <v>47</v>
      </c>
      <c r="G33" s="26">
        <v>122.037714285714</v>
      </c>
    </row>
    <row r="34" spans="6:7" ht="15" customHeight="1" x14ac:dyDescent="0.35">
      <c r="F34" s="25" t="s">
        <v>48</v>
      </c>
      <c r="G34" s="26">
        <v>911.57729166666695</v>
      </c>
    </row>
    <row r="35" spans="6:7" ht="15" customHeight="1" x14ac:dyDescent="0.35">
      <c r="F35" s="25" t="s">
        <v>49</v>
      </c>
      <c r="G35" s="26">
        <v>123.433055555556</v>
      </c>
    </row>
    <row r="36" spans="6:7" ht="15" customHeight="1" x14ac:dyDescent="0.35">
      <c r="F36" s="25" t="s">
        <v>50</v>
      </c>
      <c r="G36" s="26">
        <v>120.53625</v>
      </c>
    </row>
    <row r="37" spans="6:7" ht="15.75" customHeight="1" thickBot="1" x14ac:dyDescent="0.4">
      <c r="F37" s="29" t="s">
        <v>51</v>
      </c>
      <c r="G37" s="30">
        <v>226.49633333333301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Price_Level pk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watsala innocent</dc:creator>
  <cp:lastModifiedBy>watsala innocent</cp:lastModifiedBy>
  <dcterms:created xsi:type="dcterms:W3CDTF">2026-03-05T09:25:55Z</dcterms:created>
  <dcterms:modified xsi:type="dcterms:W3CDTF">2026-03-05T09:29:56Z</dcterms:modified>
</cp:coreProperties>
</file>