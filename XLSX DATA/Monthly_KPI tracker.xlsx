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4" documentId="13_ncr:1_{09B44D9E-933A-4C35-976C-581F6EE851C1}" xr6:coauthVersionLast="47" xr6:coauthVersionMax="47" xr10:uidLastSave="{74CE4412-C374-49C0-AD38-8CB8FE2770E1}"/>
  <bookViews>
    <workbookView xWindow="-110" yWindow="-110" windowWidth="19420" windowHeight="11020" xr2:uid="{BD9392C6-A60F-4CFF-A12D-078647B1B013}"/>
  </bookViews>
  <sheets>
    <sheet name="Monthly_Track Kpl" sheetId="1" r:id="rId1"/>
  </sheets>
  <externalReferences>
    <externalReference r:id="rId2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E14" i="1"/>
  <c r="D14" i="1"/>
  <c r="C14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B9" i="1"/>
  <c r="N8" i="1"/>
  <c r="M8" i="1"/>
  <c r="L8" i="1"/>
  <c r="K8" i="1"/>
  <c r="J8" i="1"/>
  <c r="I8" i="1"/>
  <c r="H8" i="1"/>
  <c r="G8" i="1"/>
  <c r="F8" i="1"/>
  <c r="E8" i="1"/>
  <c r="D8" i="1"/>
  <c r="C8" i="1"/>
  <c r="I3" i="1"/>
  <c r="I2" i="1"/>
</calcChain>
</file>

<file path=xl/sharedStrings.xml><?xml version="1.0" encoding="utf-8"?>
<sst xmlns="http://schemas.openxmlformats.org/spreadsheetml/2006/main" count="22" uniqueCount="22">
  <si>
    <t>PRICE ABOVE AVERAGE</t>
  </si>
  <si>
    <t>PRICES BELOW AVERAGE</t>
  </si>
  <si>
    <t xml:space="preserve">                                                      KPL_Showing_Monthly_Sales_Trend</t>
  </si>
  <si>
    <t>June</t>
  </si>
  <si>
    <t>April</t>
  </si>
  <si>
    <t>October</t>
  </si>
  <si>
    <t>May</t>
  </si>
  <si>
    <t>December</t>
  </si>
  <si>
    <t>January</t>
  </si>
  <si>
    <t>August</t>
  </si>
  <si>
    <t>November</t>
  </si>
  <si>
    <t>July</t>
  </si>
  <si>
    <t>February</t>
  </si>
  <si>
    <t>March</t>
  </si>
  <si>
    <t>September</t>
  </si>
  <si>
    <t>No. OF ITEM</t>
  </si>
  <si>
    <t>Trend</t>
  </si>
  <si>
    <t>SUM</t>
  </si>
  <si>
    <t>AVERAGE</t>
  </si>
  <si>
    <t>MEDIAN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</si>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</sst>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_);_(\$* \(#,##0\);_(\$* \-??_);_(@_)"/>
  </numFmts>
  <fonts count="8"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6"/>
      <color rgb="FF0070C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D9D9D9"/>
      </patternFill>
    </fill>
    <fill>
      <patternFill patternType="solid">
        <fgColor theme="5" tint="0.59987182226020086"/>
        <bgColor rgb="FFF2CFE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0" fontId="1" fillId="0" borderId="2" xfId="0" applyFont="1" applyBorder="1"/>
    <xf numFmtId="0" fontId="3" fillId="0" borderId="2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  <sheetName val="PK_FOODS_DASHBOARD_2025"/>
    </sheetNames>
    <sheetDataSet>
      <sheetData sheetId="0"/>
      <sheetData sheetId="1">
        <row r="2">
          <cell r="E2">
            <v>188.93</v>
          </cell>
          <cell r="F2" t="str">
            <v>June</v>
          </cell>
        </row>
        <row r="3">
          <cell r="E3">
            <v>866.6</v>
          </cell>
          <cell r="F3" t="str">
            <v>April</v>
          </cell>
        </row>
        <row r="4">
          <cell r="E4">
            <v>243.67</v>
          </cell>
          <cell r="F4" t="str">
            <v>October</v>
          </cell>
        </row>
        <row r="5">
          <cell r="E5">
            <v>121.4</v>
          </cell>
          <cell r="F5" t="str">
            <v>June</v>
          </cell>
        </row>
        <row r="6">
          <cell r="E6">
            <v>127.83</v>
          </cell>
          <cell r="F6" t="str">
            <v>June</v>
          </cell>
        </row>
        <row r="7">
          <cell r="E7">
            <v>1109.04</v>
          </cell>
          <cell r="F7" t="str">
            <v>May</v>
          </cell>
        </row>
        <row r="8">
          <cell r="E8">
            <v>1010.15</v>
          </cell>
          <cell r="F8" t="str">
            <v>December</v>
          </cell>
        </row>
        <row r="9">
          <cell r="E9">
            <v>65.599999999999994</v>
          </cell>
          <cell r="F9" t="str">
            <v>January</v>
          </cell>
        </row>
        <row r="10">
          <cell r="E10">
            <v>281.27</v>
          </cell>
          <cell r="F10" t="str">
            <v>January</v>
          </cell>
        </row>
        <row r="11">
          <cell r="E11">
            <v>192.97</v>
          </cell>
          <cell r="F11" t="str">
            <v>August</v>
          </cell>
        </row>
        <row r="12">
          <cell r="E12">
            <v>1050.9100000000001</v>
          </cell>
          <cell r="F12" t="str">
            <v>June</v>
          </cell>
        </row>
        <row r="13">
          <cell r="E13">
            <v>105.53</v>
          </cell>
          <cell r="F13" t="str">
            <v>May</v>
          </cell>
        </row>
        <row r="14">
          <cell r="E14">
            <v>590.91999999999996</v>
          </cell>
          <cell r="F14" t="str">
            <v>January</v>
          </cell>
        </row>
        <row r="15">
          <cell r="E15">
            <v>111.74</v>
          </cell>
          <cell r="F15" t="str">
            <v>August</v>
          </cell>
        </row>
        <row r="16">
          <cell r="E16">
            <v>1281.94</v>
          </cell>
          <cell r="F16" t="str">
            <v>October</v>
          </cell>
        </row>
        <row r="17">
          <cell r="E17">
            <v>127.77</v>
          </cell>
          <cell r="F17" t="str">
            <v>June</v>
          </cell>
        </row>
        <row r="18">
          <cell r="E18">
            <v>84.96</v>
          </cell>
          <cell r="F18" t="str">
            <v>August</v>
          </cell>
        </row>
        <row r="19">
          <cell r="E19">
            <v>120.82</v>
          </cell>
          <cell r="F19" t="str">
            <v>May</v>
          </cell>
        </row>
        <row r="20">
          <cell r="E20">
            <v>70.290000000000006</v>
          </cell>
          <cell r="F20" t="str">
            <v>April</v>
          </cell>
        </row>
        <row r="21">
          <cell r="E21">
            <v>747.99</v>
          </cell>
          <cell r="F21" t="str">
            <v>January</v>
          </cell>
        </row>
        <row r="22">
          <cell r="E22">
            <v>771.03</v>
          </cell>
          <cell r="F22" t="str">
            <v>November</v>
          </cell>
        </row>
        <row r="23">
          <cell r="E23">
            <v>582.55999999999995</v>
          </cell>
          <cell r="F23" t="str">
            <v>October</v>
          </cell>
        </row>
        <row r="24">
          <cell r="E24">
            <v>216.45</v>
          </cell>
          <cell r="F24" t="str">
            <v>June</v>
          </cell>
        </row>
        <row r="25">
          <cell r="E25">
            <v>238.43</v>
          </cell>
          <cell r="F25" t="str">
            <v>July</v>
          </cell>
        </row>
        <row r="26">
          <cell r="E26">
            <v>131.91</v>
          </cell>
          <cell r="F26" t="str">
            <v>April</v>
          </cell>
        </row>
        <row r="27">
          <cell r="E27">
            <v>179.05</v>
          </cell>
          <cell r="F27" t="str">
            <v>October</v>
          </cell>
        </row>
        <row r="28">
          <cell r="E28">
            <v>1194.76</v>
          </cell>
          <cell r="F28" t="str">
            <v>February</v>
          </cell>
        </row>
        <row r="29">
          <cell r="E29">
            <v>1280.22</v>
          </cell>
          <cell r="F29" t="str">
            <v>December</v>
          </cell>
        </row>
        <row r="30">
          <cell r="E30">
            <v>814.16</v>
          </cell>
          <cell r="F30" t="str">
            <v>March</v>
          </cell>
        </row>
        <row r="31">
          <cell r="E31">
            <v>244.61</v>
          </cell>
          <cell r="F31" t="str">
            <v>June</v>
          </cell>
        </row>
        <row r="32">
          <cell r="E32">
            <v>982.68</v>
          </cell>
          <cell r="F32" t="str">
            <v>December</v>
          </cell>
        </row>
        <row r="33">
          <cell r="E33">
            <v>254.18</v>
          </cell>
          <cell r="F33" t="str">
            <v>April</v>
          </cell>
        </row>
        <row r="34">
          <cell r="E34">
            <v>120.63</v>
          </cell>
          <cell r="F34" t="str">
            <v>May</v>
          </cell>
        </row>
        <row r="35">
          <cell r="E35">
            <v>154.55000000000001</v>
          </cell>
          <cell r="F35" t="str">
            <v>January</v>
          </cell>
        </row>
        <row r="36">
          <cell r="E36">
            <v>163.29</v>
          </cell>
          <cell r="F36" t="str">
            <v>April</v>
          </cell>
        </row>
        <row r="37">
          <cell r="E37">
            <v>711</v>
          </cell>
          <cell r="F37" t="str">
            <v>June</v>
          </cell>
        </row>
        <row r="38">
          <cell r="E38">
            <v>235.43</v>
          </cell>
          <cell r="F38" t="str">
            <v>June</v>
          </cell>
        </row>
        <row r="39">
          <cell r="E39">
            <v>105.04</v>
          </cell>
          <cell r="F39" t="str">
            <v>November</v>
          </cell>
        </row>
        <row r="40">
          <cell r="E40">
            <v>68.81</v>
          </cell>
          <cell r="F40" t="str">
            <v>November</v>
          </cell>
        </row>
        <row r="41">
          <cell r="E41">
            <v>643.05999999999995</v>
          </cell>
          <cell r="F41" t="str">
            <v>August</v>
          </cell>
        </row>
        <row r="42">
          <cell r="E42">
            <v>910.93</v>
          </cell>
          <cell r="F42" t="str">
            <v>September</v>
          </cell>
        </row>
        <row r="43">
          <cell r="E43">
            <v>43.91</v>
          </cell>
          <cell r="F43" t="str">
            <v>February</v>
          </cell>
        </row>
        <row r="44">
          <cell r="E44">
            <v>343.24</v>
          </cell>
          <cell r="F44" t="str">
            <v>September</v>
          </cell>
        </row>
        <row r="45">
          <cell r="E45">
            <v>1185.1600000000001</v>
          </cell>
          <cell r="F45" t="str">
            <v>June</v>
          </cell>
        </row>
        <row r="46">
          <cell r="E46">
            <v>549.88</v>
          </cell>
          <cell r="F46" t="str">
            <v>January</v>
          </cell>
        </row>
        <row r="47">
          <cell r="E47">
            <v>154.72999999999999</v>
          </cell>
          <cell r="F47" t="str">
            <v>October</v>
          </cell>
        </row>
        <row r="48">
          <cell r="E48">
            <v>63.49</v>
          </cell>
          <cell r="F48" t="str">
            <v>June</v>
          </cell>
        </row>
        <row r="49">
          <cell r="E49">
            <v>1406.41</v>
          </cell>
          <cell r="F49" t="str">
            <v>May</v>
          </cell>
        </row>
        <row r="50">
          <cell r="E50">
            <v>115.59</v>
          </cell>
          <cell r="F50" t="str">
            <v>November</v>
          </cell>
        </row>
        <row r="51">
          <cell r="E51">
            <v>611.47</v>
          </cell>
          <cell r="F51" t="str">
            <v>February</v>
          </cell>
        </row>
        <row r="52">
          <cell r="E52">
            <v>959.24</v>
          </cell>
          <cell r="F52" t="str">
            <v>July</v>
          </cell>
        </row>
        <row r="53">
          <cell r="E53">
            <v>217.14</v>
          </cell>
          <cell r="F53" t="str">
            <v>May</v>
          </cell>
        </row>
        <row r="54">
          <cell r="E54">
            <v>349.83</v>
          </cell>
          <cell r="F54" t="str">
            <v>May</v>
          </cell>
        </row>
        <row r="55">
          <cell r="E55">
            <v>222.18</v>
          </cell>
          <cell r="F55" t="str">
            <v>April</v>
          </cell>
        </row>
        <row r="56">
          <cell r="E56">
            <v>957.43</v>
          </cell>
          <cell r="F56" t="str">
            <v>January</v>
          </cell>
        </row>
        <row r="57">
          <cell r="E57">
            <v>859.05</v>
          </cell>
          <cell r="F57" t="str">
            <v>September</v>
          </cell>
        </row>
        <row r="58">
          <cell r="E58">
            <v>91.38</v>
          </cell>
          <cell r="F58" t="str">
            <v>January</v>
          </cell>
        </row>
        <row r="59">
          <cell r="E59">
            <v>1009.59</v>
          </cell>
          <cell r="F59" t="str">
            <v>May</v>
          </cell>
        </row>
        <row r="60">
          <cell r="E60">
            <v>129.54</v>
          </cell>
          <cell r="F60" t="str">
            <v>May</v>
          </cell>
        </row>
        <row r="61">
          <cell r="E61">
            <v>144.36000000000001</v>
          </cell>
          <cell r="F61" t="str">
            <v>October</v>
          </cell>
        </row>
        <row r="62">
          <cell r="E62">
            <v>723.82</v>
          </cell>
          <cell r="F62" t="str">
            <v>November</v>
          </cell>
        </row>
        <row r="63">
          <cell r="E63">
            <v>99.94</v>
          </cell>
          <cell r="F63" t="str">
            <v>August</v>
          </cell>
        </row>
        <row r="64">
          <cell r="E64">
            <v>69.89</v>
          </cell>
          <cell r="F64" t="str">
            <v>June</v>
          </cell>
        </row>
        <row r="65">
          <cell r="E65">
            <v>373.56</v>
          </cell>
          <cell r="F65" t="str">
            <v>March</v>
          </cell>
        </row>
        <row r="66">
          <cell r="E66">
            <v>208.96</v>
          </cell>
          <cell r="F66" t="str">
            <v>December</v>
          </cell>
        </row>
        <row r="67">
          <cell r="E67">
            <v>272.89999999999998</v>
          </cell>
          <cell r="F67" t="str">
            <v>October</v>
          </cell>
        </row>
        <row r="68">
          <cell r="E68">
            <v>955.92</v>
          </cell>
          <cell r="F68" t="str">
            <v>November</v>
          </cell>
        </row>
        <row r="69">
          <cell r="E69">
            <v>344.25</v>
          </cell>
          <cell r="F69" t="str">
            <v>January</v>
          </cell>
        </row>
        <row r="70">
          <cell r="E70">
            <v>97.52</v>
          </cell>
          <cell r="F70" t="str">
            <v>April</v>
          </cell>
        </row>
        <row r="71">
          <cell r="E71">
            <v>992.48</v>
          </cell>
          <cell r="F71" t="str">
            <v>June</v>
          </cell>
        </row>
        <row r="72">
          <cell r="E72">
            <v>329.09</v>
          </cell>
          <cell r="F72" t="str">
            <v>June</v>
          </cell>
        </row>
        <row r="73">
          <cell r="E73">
            <v>285.01</v>
          </cell>
          <cell r="F73" t="str">
            <v>December</v>
          </cell>
        </row>
        <row r="74">
          <cell r="E74">
            <v>86.84</v>
          </cell>
          <cell r="F74" t="str">
            <v>February</v>
          </cell>
        </row>
        <row r="75">
          <cell r="E75">
            <v>220.63</v>
          </cell>
          <cell r="F75" t="str">
            <v>December</v>
          </cell>
        </row>
        <row r="76">
          <cell r="E76">
            <v>333.47</v>
          </cell>
          <cell r="F76" t="str">
            <v>April</v>
          </cell>
        </row>
        <row r="77">
          <cell r="E77">
            <v>79.22</v>
          </cell>
          <cell r="F77" t="str">
            <v>December</v>
          </cell>
        </row>
        <row r="78">
          <cell r="E78">
            <v>1046.05</v>
          </cell>
          <cell r="F78" t="str">
            <v>February</v>
          </cell>
        </row>
        <row r="79">
          <cell r="E79">
            <v>246.38</v>
          </cell>
          <cell r="F79" t="str">
            <v>February</v>
          </cell>
        </row>
        <row r="80">
          <cell r="E80">
            <v>744.03</v>
          </cell>
          <cell r="F80" t="str">
            <v>February</v>
          </cell>
        </row>
        <row r="81">
          <cell r="E81">
            <v>126.58</v>
          </cell>
          <cell r="F81" t="str">
            <v>July</v>
          </cell>
        </row>
        <row r="82">
          <cell r="E82">
            <v>124.5</v>
          </cell>
          <cell r="F82" t="str">
            <v>January</v>
          </cell>
        </row>
        <row r="83">
          <cell r="E83">
            <v>147.71</v>
          </cell>
          <cell r="F83" t="str">
            <v>June</v>
          </cell>
        </row>
        <row r="84">
          <cell r="E84">
            <v>176.24</v>
          </cell>
          <cell r="F84" t="str">
            <v>April</v>
          </cell>
        </row>
        <row r="85">
          <cell r="E85">
            <v>71.91</v>
          </cell>
          <cell r="F85" t="str">
            <v>March</v>
          </cell>
        </row>
        <row r="86">
          <cell r="E86">
            <v>146.81</v>
          </cell>
          <cell r="F86" t="str">
            <v>December</v>
          </cell>
        </row>
        <row r="87">
          <cell r="E87">
            <v>82.15</v>
          </cell>
          <cell r="F87" t="str">
            <v>June</v>
          </cell>
        </row>
        <row r="88">
          <cell r="E88">
            <v>130.16</v>
          </cell>
          <cell r="F88" t="str">
            <v>June</v>
          </cell>
        </row>
        <row r="89">
          <cell r="E89">
            <v>1246.3599999999999</v>
          </cell>
          <cell r="F89" t="str">
            <v>April</v>
          </cell>
        </row>
        <row r="90">
          <cell r="E90">
            <v>1130.8900000000001</v>
          </cell>
          <cell r="F90" t="str">
            <v>October</v>
          </cell>
        </row>
        <row r="91">
          <cell r="E91">
            <v>108.14</v>
          </cell>
          <cell r="F91" t="str">
            <v>March</v>
          </cell>
        </row>
        <row r="92">
          <cell r="E92">
            <v>985.21</v>
          </cell>
          <cell r="F92" t="str">
            <v>June</v>
          </cell>
        </row>
        <row r="93">
          <cell r="E93">
            <v>94.3</v>
          </cell>
          <cell r="F93" t="str">
            <v>July</v>
          </cell>
        </row>
        <row r="94">
          <cell r="E94">
            <v>252.05</v>
          </cell>
          <cell r="F94" t="str">
            <v>September</v>
          </cell>
        </row>
        <row r="95">
          <cell r="E95">
            <v>796.94</v>
          </cell>
          <cell r="F95" t="str">
            <v>August</v>
          </cell>
        </row>
        <row r="96">
          <cell r="E96">
            <v>1136.8499999999999</v>
          </cell>
          <cell r="F96" t="str">
            <v>April</v>
          </cell>
        </row>
        <row r="97">
          <cell r="E97">
            <v>161.65</v>
          </cell>
          <cell r="F97" t="str">
            <v>November</v>
          </cell>
        </row>
        <row r="98">
          <cell r="E98">
            <v>113.94</v>
          </cell>
          <cell r="F98" t="str">
            <v>April</v>
          </cell>
        </row>
        <row r="99">
          <cell r="E99">
            <v>206.53</v>
          </cell>
          <cell r="F99" t="str">
            <v>March</v>
          </cell>
        </row>
        <row r="100">
          <cell r="E100">
            <v>198.38</v>
          </cell>
          <cell r="F100" t="str">
            <v>December</v>
          </cell>
        </row>
        <row r="101">
          <cell r="E101">
            <v>201.72</v>
          </cell>
          <cell r="F101" t="str">
            <v>January</v>
          </cell>
        </row>
        <row r="102">
          <cell r="E102">
            <v>867.76</v>
          </cell>
          <cell r="F102" t="str">
            <v>August</v>
          </cell>
        </row>
        <row r="103">
          <cell r="E103">
            <v>281.47000000000003</v>
          </cell>
          <cell r="F103" t="str">
            <v>February</v>
          </cell>
        </row>
        <row r="104">
          <cell r="E104">
            <v>145.62</v>
          </cell>
          <cell r="F104" t="str">
            <v>February</v>
          </cell>
        </row>
        <row r="105">
          <cell r="E105">
            <v>60.74</v>
          </cell>
          <cell r="F105" t="str">
            <v>November</v>
          </cell>
        </row>
        <row r="106">
          <cell r="E106">
            <v>300.88</v>
          </cell>
          <cell r="F106" t="str">
            <v>November</v>
          </cell>
        </row>
        <row r="107">
          <cell r="E107">
            <v>125.9</v>
          </cell>
          <cell r="F107" t="str">
            <v>April</v>
          </cell>
        </row>
        <row r="108">
          <cell r="E108">
            <v>1023.75</v>
          </cell>
          <cell r="F108" t="str">
            <v>September</v>
          </cell>
        </row>
        <row r="109">
          <cell r="E109">
            <v>241.28</v>
          </cell>
          <cell r="F109" t="str">
            <v>August</v>
          </cell>
        </row>
        <row r="110">
          <cell r="E110">
            <v>113.16</v>
          </cell>
          <cell r="F110" t="str">
            <v>October</v>
          </cell>
        </row>
        <row r="111">
          <cell r="E111">
            <v>75.260000000000005</v>
          </cell>
          <cell r="F111" t="str">
            <v>November</v>
          </cell>
        </row>
        <row r="112">
          <cell r="E112">
            <v>138.75</v>
          </cell>
          <cell r="F112" t="str">
            <v>November</v>
          </cell>
        </row>
        <row r="113">
          <cell r="E113">
            <v>113.19</v>
          </cell>
          <cell r="F113" t="str">
            <v>October</v>
          </cell>
        </row>
        <row r="114">
          <cell r="E114">
            <v>746.1</v>
          </cell>
          <cell r="F114" t="str">
            <v>July</v>
          </cell>
        </row>
        <row r="115">
          <cell r="E115">
            <v>109.03</v>
          </cell>
          <cell r="F115" t="str">
            <v>March</v>
          </cell>
        </row>
        <row r="116">
          <cell r="E116">
            <v>72.05</v>
          </cell>
          <cell r="F116" t="str">
            <v>March</v>
          </cell>
        </row>
        <row r="117">
          <cell r="E117">
            <v>134.58000000000001</v>
          </cell>
          <cell r="F117" t="str">
            <v>December</v>
          </cell>
        </row>
        <row r="118">
          <cell r="E118">
            <v>245.89</v>
          </cell>
          <cell r="F118" t="str">
            <v>March</v>
          </cell>
        </row>
        <row r="119">
          <cell r="E119">
            <v>327.5</v>
          </cell>
          <cell r="F119" t="str">
            <v>December</v>
          </cell>
        </row>
        <row r="120">
          <cell r="E120">
            <v>108.73</v>
          </cell>
          <cell r="F120" t="str">
            <v>November</v>
          </cell>
        </row>
        <row r="121">
          <cell r="E121">
            <v>744.81</v>
          </cell>
          <cell r="F121" t="str">
            <v>July</v>
          </cell>
        </row>
        <row r="122">
          <cell r="E122">
            <v>97.28</v>
          </cell>
          <cell r="F122" t="str">
            <v>May</v>
          </cell>
        </row>
        <row r="123">
          <cell r="E123">
            <v>116.8</v>
          </cell>
          <cell r="F123" t="str">
            <v>March</v>
          </cell>
        </row>
        <row r="124">
          <cell r="E124">
            <v>82.11</v>
          </cell>
          <cell r="F124" t="str">
            <v>May</v>
          </cell>
        </row>
        <row r="125">
          <cell r="E125">
            <v>205.12</v>
          </cell>
          <cell r="F125" t="str">
            <v>July</v>
          </cell>
        </row>
        <row r="126">
          <cell r="E126">
            <v>1288.19</v>
          </cell>
          <cell r="F126" t="str">
            <v>October</v>
          </cell>
        </row>
        <row r="127">
          <cell r="E127">
            <v>71.27</v>
          </cell>
          <cell r="F127" t="str">
            <v>October</v>
          </cell>
        </row>
        <row r="128">
          <cell r="E128">
            <v>129.88</v>
          </cell>
          <cell r="F128" t="str">
            <v>February</v>
          </cell>
        </row>
        <row r="129">
          <cell r="E129">
            <v>238.14</v>
          </cell>
          <cell r="F129" t="str">
            <v>December</v>
          </cell>
        </row>
        <row r="130">
          <cell r="E130">
            <v>262.29000000000002</v>
          </cell>
          <cell r="F130" t="str">
            <v>July</v>
          </cell>
        </row>
        <row r="131">
          <cell r="E131">
            <v>125.92</v>
          </cell>
          <cell r="F131" t="str">
            <v>April</v>
          </cell>
        </row>
        <row r="132">
          <cell r="E132">
            <v>796.23</v>
          </cell>
          <cell r="F132" t="str">
            <v>July</v>
          </cell>
        </row>
        <row r="133">
          <cell r="E133">
            <v>129.01</v>
          </cell>
          <cell r="F133" t="str">
            <v>March</v>
          </cell>
        </row>
        <row r="134">
          <cell r="E134">
            <v>227.86</v>
          </cell>
          <cell r="F134" t="str">
            <v>April</v>
          </cell>
        </row>
        <row r="135">
          <cell r="E135">
            <v>206.64</v>
          </cell>
          <cell r="F135" t="str">
            <v>October</v>
          </cell>
        </row>
        <row r="136">
          <cell r="E136">
            <v>237.64</v>
          </cell>
          <cell r="F136" t="str">
            <v>October</v>
          </cell>
        </row>
        <row r="137">
          <cell r="E137">
            <v>131.1</v>
          </cell>
          <cell r="F137" t="str">
            <v>December</v>
          </cell>
        </row>
        <row r="138">
          <cell r="E138">
            <v>66.63</v>
          </cell>
          <cell r="F138" t="str">
            <v>October</v>
          </cell>
        </row>
        <row r="139">
          <cell r="E139">
            <v>309.81</v>
          </cell>
          <cell r="F139" t="str">
            <v>September</v>
          </cell>
        </row>
        <row r="140">
          <cell r="E140">
            <v>96.53</v>
          </cell>
          <cell r="F140" t="str">
            <v>March</v>
          </cell>
        </row>
        <row r="141">
          <cell r="E141">
            <v>221.74</v>
          </cell>
          <cell r="F141" t="str">
            <v>July</v>
          </cell>
        </row>
        <row r="142">
          <cell r="E142">
            <v>700.59</v>
          </cell>
          <cell r="F142" t="str">
            <v>July</v>
          </cell>
        </row>
        <row r="143">
          <cell r="E143">
            <v>257.39999999999998</v>
          </cell>
          <cell r="F143" t="str">
            <v>November</v>
          </cell>
        </row>
        <row r="144">
          <cell r="E144">
            <v>1202.58</v>
          </cell>
          <cell r="F144" t="str">
            <v>December</v>
          </cell>
        </row>
        <row r="145">
          <cell r="E145">
            <v>229.35</v>
          </cell>
          <cell r="F145" t="str">
            <v>January</v>
          </cell>
        </row>
        <row r="146">
          <cell r="E146">
            <v>151.88</v>
          </cell>
          <cell r="F146" t="str">
            <v>May</v>
          </cell>
        </row>
        <row r="147">
          <cell r="E147">
            <v>46.38</v>
          </cell>
          <cell r="F147" t="str">
            <v>December</v>
          </cell>
        </row>
        <row r="148">
          <cell r="E148">
            <v>220.81</v>
          </cell>
          <cell r="F148" t="str">
            <v>October</v>
          </cell>
        </row>
        <row r="149">
          <cell r="E149">
            <v>1030.25</v>
          </cell>
          <cell r="F149" t="str">
            <v>March</v>
          </cell>
        </row>
        <row r="150">
          <cell r="E150">
            <v>221.43</v>
          </cell>
          <cell r="F150" t="str">
            <v>November</v>
          </cell>
        </row>
        <row r="151">
          <cell r="E151">
            <v>535.87</v>
          </cell>
          <cell r="F151" t="str">
            <v>October</v>
          </cell>
        </row>
        <row r="152">
          <cell r="E152">
            <v>724.1</v>
          </cell>
          <cell r="F152" t="str">
            <v>July</v>
          </cell>
        </row>
        <row r="153">
          <cell r="E153">
            <v>559.20000000000005</v>
          </cell>
          <cell r="F153" t="str">
            <v>November</v>
          </cell>
        </row>
        <row r="154">
          <cell r="E154">
            <v>208.12</v>
          </cell>
          <cell r="F154" t="str">
            <v>April</v>
          </cell>
        </row>
        <row r="155">
          <cell r="E155">
            <v>120.45</v>
          </cell>
          <cell r="F155" t="str">
            <v>July</v>
          </cell>
        </row>
        <row r="156">
          <cell r="E156">
            <v>865.28</v>
          </cell>
          <cell r="F156" t="str">
            <v>February</v>
          </cell>
        </row>
        <row r="157">
          <cell r="E157">
            <v>85.04</v>
          </cell>
          <cell r="F157" t="str">
            <v>July</v>
          </cell>
        </row>
        <row r="158">
          <cell r="E158">
            <v>134.29</v>
          </cell>
          <cell r="F158" t="str">
            <v>December</v>
          </cell>
        </row>
        <row r="159">
          <cell r="E159">
            <v>216.18</v>
          </cell>
          <cell r="F159" t="str">
            <v>October</v>
          </cell>
        </row>
        <row r="160">
          <cell r="E160">
            <v>221.55</v>
          </cell>
          <cell r="F160" t="str">
            <v>January</v>
          </cell>
        </row>
        <row r="161">
          <cell r="E161">
            <v>83.36</v>
          </cell>
          <cell r="F161" t="str">
            <v>December</v>
          </cell>
        </row>
        <row r="162">
          <cell r="E162">
            <v>935.09</v>
          </cell>
          <cell r="F162" t="str">
            <v>February</v>
          </cell>
        </row>
        <row r="163">
          <cell r="E163">
            <v>77.430000000000007</v>
          </cell>
          <cell r="F163" t="str">
            <v>November</v>
          </cell>
        </row>
        <row r="164">
          <cell r="E164">
            <v>239.33</v>
          </cell>
          <cell r="F164" t="str">
            <v>April</v>
          </cell>
        </row>
        <row r="165">
          <cell r="E165">
            <v>851.76</v>
          </cell>
          <cell r="F165" t="str">
            <v>January</v>
          </cell>
        </row>
        <row r="166">
          <cell r="E166">
            <v>78.37</v>
          </cell>
          <cell r="F166" t="str">
            <v>August</v>
          </cell>
        </row>
        <row r="167">
          <cell r="E167">
            <v>145.5</v>
          </cell>
          <cell r="F167" t="str">
            <v>September</v>
          </cell>
        </row>
        <row r="168">
          <cell r="E168">
            <v>346.17</v>
          </cell>
          <cell r="F168" t="str">
            <v>April</v>
          </cell>
        </row>
        <row r="169">
          <cell r="E169">
            <v>145.81</v>
          </cell>
          <cell r="F169" t="str">
            <v>October</v>
          </cell>
        </row>
        <row r="170">
          <cell r="E170">
            <v>106.41</v>
          </cell>
          <cell r="F170" t="str">
            <v>February</v>
          </cell>
        </row>
        <row r="171">
          <cell r="E171">
            <v>907.96</v>
          </cell>
          <cell r="F171" t="str">
            <v>October</v>
          </cell>
        </row>
        <row r="172">
          <cell r="E172">
            <v>120.99</v>
          </cell>
          <cell r="F172" t="str">
            <v>November</v>
          </cell>
        </row>
        <row r="173">
          <cell r="E173">
            <v>196.14</v>
          </cell>
          <cell r="F173" t="str">
            <v>July</v>
          </cell>
        </row>
        <row r="174">
          <cell r="E174">
            <v>168.18</v>
          </cell>
          <cell r="F174" t="str">
            <v>June</v>
          </cell>
        </row>
        <row r="175">
          <cell r="E175">
            <v>121.71</v>
          </cell>
          <cell r="F175" t="str">
            <v>September</v>
          </cell>
        </row>
        <row r="176">
          <cell r="E176">
            <v>847.14</v>
          </cell>
          <cell r="F176" t="str">
            <v>July</v>
          </cell>
        </row>
        <row r="177">
          <cell r="E177">
            <v>121.65</v>
          </cell>
          <cell r="F177" t="str">
            <v>July</v>
          </cell>
        </row>
        <row r="178">
          <cell r="E178">
            <v>785.94</v>
          </cell>
          <cell r="F178" t="str">
            <v>May</v>
          </cell>
        </row>
        <row r="179">
          <cell r="E179">
            <v>938.46</v>
          </cell>
          <cell r="F179" t="str">
            <v>July</v>
          </cell>
        </row>
        <row r="180">
          <cell r="E180">
            <v>90.37</v>
          </cell>
          <cell r="F180" t="str">
            <v>November</v>
          </cell>
        </row>
        <row r="181">
          <cell r="E181">
            <v>215.64</v>
          </cell>
          <cell r="F181" t="str">
            <v>September</v>
          </cell>
        </row>
        <row r="182">
          <cell r="E182">
            <v>211.99</v>
          </cell>
          <cell r="F182" t="str">
            <v>August</v>
          </cell>
        </row>
        <row r="183">
          <cell r="E183">
            <v>204.67</v>
          </cell>
          <cell r="F183" t="str">
            <v>October</v>
          </cell>
        </row>
        <row r="184">
          <cell r="E184">
            <v>63.23</v>
          </cell>
          <cell r="F184" t="str">
            <v>September</v>
          </cell>
        </row>
        <row r="185">
          <cell r="E185">
            <v>106.65</v>
          </cell>
          <cell r="F185" t="str">
            <v>July</v>
          </cell>
        </row>
        <row r="186">
          <cell r="E186">
            <v>226.09</v>
          </cell>
          <cell r="F186" t="str">
            <v>February</v>
          </cell>
        </row>
        <row r="187">
          <cell r="E187">
            <v>852.38</v>
          </cell>
          <cell r="F187" t="str">
            <v>March</v>
          </cell>
        </row>
        <row r="188">
          <cell r="E188">
            <v>110.49</v>
          </cell>
          <cell r="F188" t="str">
            <v>July</v>
          </cell>
        </row>
        <row r="189">
          <cell r="E189">
            <v>226.48</v>
          </cell>
          <cell r="F189" t="str">
            <v>September</v>
          </cell>
        </row>
        <row r="190">
          <cell r="E190">
            <v>64.099999999999994</v>
          </cell>
          <cell r="F190" t="str">
            <v>March</v>
          </cell>
        </row>
        <row r="191">
          <cell r="E191">
            <v>205.84</v>
          </cell>
          <cell r="F191" t="str">
            <v>March</v>
          </cell>
        </row>
        <row r="192">
          <cell r="E192">
            <v>1304.0899999999999</v>
          </cell>
          <cell r="F192" t="str">
            <v>January</v>
          </cell>
        </row>
        <row r="193">
          <cell r="E193">
            <v>210.52</v>
          </cell>
          <cell r="F193" t="str">
            <v>June</v>
          </cell>
        </row>
        <row r="194">
          <cell r="E194">
            <v>754.34</v>
          </cell>
          <cell r="F194" t="str">
            <v>November</v>
          </cell>
        </row>
        <row r="195">
          <cell r="E195">
            <v>52.81</v>
          </cell>
          <cell r="F195" t="str">
            <v>October</v>
          </cell>
        </row>
        <row r="196">
          <cell r="E196">
            <v>284.04000000000002</v>
          </cell>
          <cell r="F196" t="str">
            <v>September</v>
          </cell>
        </row>
        <row r="197">
          <cell r="E197">
            <v>126.74</v>
          </cell>
          <cell r="F197" t="str">
            <v>June</v>
          </cell>
        </row>
        <row r="198">
          <cell r="E198">
            <v>125.69</v>
          </cell>
          <cell r="F198" t="str">
            <v>October</v>
          </cell>
        </row>
        <row r="199">
          <cell r="E199">
            <v>125.19</v>
          </cell>
          <cell r="F199" t="str">
            <v>November</v>
          </cell>
        </row>
        <row r="200">
          <cell r="E200">
            <v>272.98</v>
          </cell>
          <cell r="F200" t="str">
            <v>April</v>
          </cell>
        </row>
        <row r="201">
          <cell r="E201">
            <v>42.47</v>
          </cell>
          <cell r="F201" t="str">
            <v>November</v>
          </cell>
        </row>
        <row r="202">
          <cell r="E202">
            <v>281.36</v>
          </cell>
          <cell r="F202" t="str">
            <v>August</v>
          </cell>
        </row>
        <row r="203">
          <cell r="E203">
            <v>65.7</v>
          </cell>
          <cell r="F203" t="str">
            <v>May</v>
          </cell>
        </row>
        <row r="204">
          <cell r="E204">
            <v>92.93</v>
          </cell>
          <cell r="F204" t="str">
            <v>August</v>
          </cell>
        </row>
        <row r="205">
          <cell r="E205">
            <v>200.51</v>
          </cell>
          <cell r="F205" t="str">
            <v>August</v>
          </cell>
        </row>
        <row r="206">
          <cell r="E206">
            <v>243.61</v>
          </cell>
          <cell r="F206" t="str">
            <v>July</v>
          </cell>
        </row>
        <row r="207">
          <cell r="E207">
            <v>218.35</v>
          </cell>
          <cell r="F207" t="str">
            <v>February</v>
          </cell>
        </row>
        <row r="208">
          <cell r="E208">
            <v>1025.27</v>
          </cell>
          <cell r="F208" t="str">
            <v>June</v>
          </cell>
        </row>
        <row r="209">
          <cell r="E209">
            <v>914.04</v>
          </cell>
          <cell r="F209" t="str">
            <v>March</v>
          </cell>
        </row>
        <row r="210">
          <cell r="E210">
            <v>104.5</v>
          </cell>
          <cell r="F210" t="str">
            <v>December</v>
          </cell>
        </row>
        <row r="211">
          <cell r="E211">
            <v>1014.03</v>
          </cell>
          <cell r="F211" t="str">
            <v>July</v>
          </cell>
        </row>
        <row r="212">
          <cell r="E212">
            <v>127.37</v>
          </cell>
          <cell r="F212" t="str">
            <v>August</v>
          </cell>
        </row>
        <row r="213">
          <cell r="E213">
            <v>721.32</v>
          </cell>
          <cell r="F213" t="str">
            <v>September</v>
          </cell>
        </row>
        <row r="214">
          <cell r="E214">
            <v>517.21</v>
          </cell>
          <cell r="F214" t="str">
            <v>August</v>
          </cell>
        </row>
        <row r="215">
          <cell r="E215">
            <v>109.58</v>
          </cell>
          <cell r="F215" t="str">
            <v>January</v>
          </cell>
        </row>
        <row r="216">
          <cell r="E216">
            <v>528.86</v>
          </cell>
          <cell r="F216" t="str">
            <v>October</v>
          </cell>
        </row>
        <row r="217">
          <cell r="E217">
            <v>255.91</v>
          </cell>
          <cell r="F217" t="str">
            <v>April</v>
          </cell>
        </row>
        <row r="218">
          <cell r="E218">
            <v>958.53</v>
          </cell>
          <cell r="F218" t="str">
            <v>February</v>
          </cell>
        </row>
        <row r="219">
          <cell r="E219">
            <v>997.38</v>
          </cell>
          <cell r="F219" t="str">
            <v>October</v>
          </cell>
        </row>
        <row r="220">
          <cell r="E220">
            <v>122.71</v>
          </cell>
          <cell r="F220" t="str">
            <v>May</v>
          </cell>
        </row>
        <row r="221">
          <cell r="E221">
            <v>249.84</v>
          </cell>
          <cell r="F221" t="str">
            <v>September</v>
          </cell>
        </row>
        <row r="222">
          <cell r="E222">
            <v>870.1</v>
          </cell>
          <cell r="F222" t="str">
            <v>January</v>
          </cell>
        </row>
        <row r="223">
          <cell r="E223">
            <v>211.03</v>
          </cell>
          <cell r="F223" t="str">
            <v>August</v>
          </cell>
        </row>
        <row r="224">
          <cell r="E224">
            <v>641.19000000000005</v>
          </cell>
          <cell r="F224" t="str">
            <v>April</v>
          </cell>
        </row>
        <row r="225">
          <cell r="E225">
            <v>100.21</v>
          </cell>
          <cell r="F225" t="str">
            <v>July</v>
          </cell>
        </row>
        <row r="226">
          <cell r="E226">
            <v>145.19999999999999</v>
          </cell>
          <cell r="F226" t="str">
            <v>April</v>
          </cell>
        </row>
        <row r="227">
          <cell r="E227">
            <v>491.19</v>
          </cell>
          <cell r="F227" t="str">
            <v>May</v>
          </cell>
        </row>
        <row r="228">
          <cell r="E228">
            <v>1067.6300000000001</v>
          </cell>
          <cell r="F228" t="str">
            <v>October</v>
          </cell>
        </row>
        <row r="229">
          <cell r="E229">
            <v>77.069999999999993</v>
          </cell>
          <cell r="F229" t="str">
            <v>February</v>
          </cell>
        </row>
        <row r="230">
          <cell r="E230">
            <v>119.41</v>
          </cell>
          <cell r="F230" t="str">
            <v>May</v>
          </cell>
        </row>
        <row r="231">
          <cell r="E231">
            <v>46.21</v>
          </cell>
          <cell r="F231" t="str">
            <v>October</v>
          </cell>
        </row>
        <row r="232">
          <cell r="E232">
            <v>136.38999999999999</v>
          </cell>
          <cell r="F232" t="str">
            <v>March</v>
          </cell>
        </row>
        <row r="233">
          <cell r="E233">
            <v>89.75</v>
          </cell>
          <cell r="F233" t="str">
            <v>February</v>
          </cell>
        </row>
        <row r="234">
          <cell r="E234">
            <v>858.66</v>
          </cell>
          <cell r="F234" t="str">
            <v>May</v>
          </cell>
        </row>
        <row r="235">
          <cell r="E235">
            <v>695.91</v>
          </cell>
          <cell r="F235" t="str">
            <v>May</v>
          </cell>
        </row>
        <row r="236">
          <cell r="E236">
            <v>738.27</v>
          </cell>
          <cell r="F236" t="str">
            <v>June</v>
          </cell>
        </row>
        <row r="237">
          <cell r="E237">
            <v>34.92</v>
          </cell>
          <cell r="F237" t="str">
            <v>July</v>
          </cell>
        </row>
        <row r="238">
          <cell r="E238">
            <v>325.52</v>
          </cell>
          <cell r="F238" t="str">
            <v>February</v>
          </cell>
        </row>
        <row r="239">
          <cell r="E239">
            <v>209.09</v>
          </cell>
          <cell r="F239" t="str">
            <v>January</v>
          </cell>
        </row>
        <row r="240">
          <cell r="E240">
            <v>139.53</v>
          </cell>
          <cell r="F240" t="str">
            <v>November</v>
          </cell>
        </row>
        <row r="241">
          <cell r="E241">
            <v>1186.3599999999999</v>
          </cell>
          <cell r="F241" t="str">
            <v>July</v>
          </cell>
        </row>
        <row r="242">
          <cell r="E242">
            <v>274.08</v>
          </cell>
          <cell r="F242" t="str">
            <v>August</v>
          </cell>
        </row>
        <row r="243">
          <cell r="E243">
            <v>127.39</v>
          </cell>
          <cell r="F243" t="str">
            <v>January</v>
          </cell>
        </row>
        <row r="244">
          <cell r="E244">
            <v>136.4</v>
          </cell>
          <cell r="F244" t="str">
            <v>November</v>
          </cell>
        </row>
        <row r="245">
          <cell r="E245">
            <v>102.99</v>
          </cell>
          <cell r="F245" t="str">
            <v>February</v>
          </cell>
        </row>
        <row r="246">
          <cell r="E246">
            <v>287.66000000000003</v>
          </cell>
          <cell r="F246" t="str">
            <v>October</v>
          </cell>
        </row>
        <row r="247">
          <cell r="E247">
            <v>114.98</v>
          </cell>
          <cell r="F247" t="str">
            <v>February</v>
          </cell>
        </row>
        <row r="248">
          <cell r="E248">
            <v>107.69</v>
          </cell>
          <cell r="F248" t="str">
            <v>June</v>
          </cell>
        </row>
        <row r="249">
          <cell r="E249">
            <v>114.43</v>
          </cell>
          <cell r="F249" t="str">
            <v>April</v>
          </cell>
        </row>
        <row r="250">
          <cell r="E250">
            <v>224.25</v>
          </cell>
          <cell r="F250" t="str">
            <v>February</v>
          </cell>
        </row>
        <row r="251">
          <cell r="E251">
            <v>238.7</v>
          </cell>
          <cell r="F251" t="str">
            <v>January</v>
          </cell>
        </row>
        <row r="252">
          <cell r="E252">
            <v>143.31</v>
          </cell>
          <cell r="F252" t="str">
            <v>May</v>
          </cell>
        </row>
        <row r="253">
          <cell r="E253">
            <v>203.71</v>
          </cell>
          <cell r="F253" t="str">
            <v>January</v>
          </cell>
        </row>
        <row r="254">
          <cell r="E254">
            <v>240.98</v>
          </cell>
          <cell r="F254" t="str">
            <v>April</v>
          </cell>
        </row>
        <row r="255">
          <cell r="E255">
            <v>170.49</v>
          </cell>
          <cell r="F255" t="str">
            <v>March</v>
          </cell>
        </row>
        <row r="256">
          <cell r="E256">
            <v>276.99</v>
          </cell>
          <cell r="F256" t="str">
            <v>August</v>
          </cell>
        </row>
        <row r="257">
          <cell r="E257">
            <v>127.61</v>
          </cell>
          <cell r="F257" t="str">
            <v>January</v>
          </cell>
        </row>
        <row r="258">
          <cell r="E258">
            <v>779.72</v>
          </cell>
          <cell r="F258" t="str">
            <v>December</v>
          </cell>
        </row>
        <row r="259">
          <cell r="E259">
            <v>942.3</v>
          </cell>
          <cell r="F259" t="str">
            <v>October</v>
          </cell>
        </row>
        <row r="260">
          <cell r="E260">
            <v>663.02</v>
          </cell>
          <cell r="F260" t="str">
            <v>December</v>
          </cell>
        </row>
        <row r="261">
          <cell r="E261">
            <v>124.32</v>
          </cell>
          <cell r="F261" t="str">
            <v>March</v>
          </cell>
        </row>
        <row r="262">
          <cell r="E262">
            <v>74.489999999999995</v>
          </cell>
          <cell r="F262" t="str">
            <v>August</v>
          </cell>
        </row>
        <row r="263">
          <cell r="E263">
            <v>972.32</v>
          </cell>
          <cell r="F263" t="str">
            <v>September</v>
          </cell>
        </row>
        <row r="264">
          <cell r="E264">
            <v>235.78</v>
          </cell>
          <cell r="F264" t="str">
            <v>January</v>
          </cell>
        </row>
        <row r="265">
          <cell r="E265">
            <v>115.34</v>
          </cell>
          <cell r="F265" t="str">
            <v>June</v>
          </cell>
        </row>
        <row r="266">
          <cell r="E266">
            <v>311.04000000000002</v>
          </cell>
          <cell r="F266" t="str">
            <v>June</v>
          </cell>
        </row>
        <row r="267">
          <cell r="E267">
            <v>1009.06</v>
          </cell>
          <cell r="F267" t="str">
            <v>August</v>
          </cell>
        </row>
        <row r="268">
          <cell r="E268">
            <v>1027.18</v>
          </cell>
          <cell r="F268" t="str">
            <v>June</v>
          </cell>
        </row>
        <row r="269">
          <cell r="E269">
            <v>223.75</v>
          </cell>
          <cell r="F269" t="str">
            <v>January</v>
          </cell>
        </row>
        <row r="270">
          <cell r="E270">
            <v>218.55</v>
          </cell>
          <cell r="F270" t="str">
            <v>August</v>
          </cell>
        </row>
        <row r="271">
          <cell r="E271">
            <v>124.76</v>
          </cell>
          <cell r="F271" t="str">
            <v>February</v>
          </cell>
        </row>
        <row r="272">
          <cell r="E272">
            <v>132.44999999999999</v>
          </cell>
          <cell r="F272" t="str">
            <v>June</v>
          </cell>
        </row>
        <row r="273">
          <cell r="E273">
            <v>486.69</v>
          </cell>
          <cell r="F273" t="str">
            <v>November</v>
          </cell>
        </row>
        <row r="274">
          <cell r="E274">
            <v>93.81</v>
          </cell>
          <cell r="F274" t="str">
            <v>October</v>
          </cell>
        </row>
        <row r="275">
          <cell r="E275">
            <v>190.34</v>
          </cell>
          <cell r="F275" t="str">
            <v>March</v>
          </cell>
        </row>
        <row r="276">
          <cell r="E276">
            <v>214.39</v>
          </cell>
          <cell r="F276" t="str">
            <v>December</v>
          </cell>
        </row>
        <row r="277">
          <cell r="E277">
            <v>220.74</v>
          </cell>
          <cell r="F277" t="str">
            <v>May</v>
          </cell>
        </row>
        <row r="278">
          <cell r="E278">
            <v>870.47</v>
          </cell>
          <cell r="F278" t="str">
            <v>April</v>
          </cell>
        </row>
        <row r="279">
          <cell r="E279">
            <v>39.549999999999997</v>
          </cell>
          <cell r="F279" t="str">
            <v>May</v>
          </cell>
        </row>
        <row r="280">
          <cell r="E280">
            <v>192.02</v>
          </cell>
          <cell r="F280" t="str">
            <v>September</v>
          </cell>
        </row>
        <row r="281">
          <cell r="E281">
            <v>121.13</v>
          </cell>
          <cell r="F281" t="str">
            <v>July</v>
          </cell>
        </row>
        <row r="282">
          <cell r="E282">
            <v>76.150000000000006</v>
          </cell>
          <cell r="F282" t="str">
            <v>October</v>
          </cell>
        </row>
        <row r="283">
          <cell r="E283">
            <v>63.76</v>
          </cell>
          <cell r="F283" t="str">
            <v>February</v>
          </cell>
        </row>
        <row r="284">
          <cell r="E284">
            <v>705.93</v>
          </cell>
          <cell r="F284" t="str">
            <v>September</v>
          </cell>
        </row>
        <row r="285">
          <cell r="E285">
            <v>207.01</v>
          </cell>
          <cell r="F285" t="str">
            <v>December</v>
          </cell>
        </row>
        <row r="286">
          <cell r="E286">
            <v>279.47000000000003</v>
          </cell>
          <cell r="F286" t="str">
            <v>April</v>
          </cell>
        </row>
        <row r="287">
          <cell r="E287">
            <v>879.59</v>
          </cell>
          <cell r="F287" t="str">
            <v>July</v>
          </cell>
        </row>
        <row r="288">
          <cell r="E288">
            <v>1134.31</v>
          </cell>
          <cell r="F288" t="str">
            <v>January</v>
          </cell>
        </row>
        <row r="289">
          <cell r="E289">
            <v>893.74</v>
          </cell>
          <cell r="F289" t="str">
            <v>April</v>
          </cell>
        </row>
        <row r="290">
          <cell r="E290">
            <v>132.93</v>
          </cell>
          <cell r="F290" t="str">
            <v>January</v>
          </cell>
        </row>
        <row r="291">
          <cell r="E291">
            <v>810.27</v>
          </cell>
          <cell r="F291" t="str">
            <v>July</v>
          </cell>
        </row>
        <row r="292">
          <cell r="E292">
            <v>726.49</v>
          </cell>
          <cell r="F292" t="str">
            <v>March</v>
          </cell>
        </row>
        <row r="293">
          <cell r="E293">
            <v>394.5</v>
          </cell>
          <cell r="F293" t="str">
            <v>December</v>
          </cell>
        </row>
        <row r="294">
          <cell r="E294">
            <v>74.12</v>
          </cell>
          <cell r="F294" t="str">
            <v>July</v>
          </cell>
        </row>
        <row r="295">
          <cell r="E295">
            <v>191.01</v>
          </cell>
          <cell r="F295" t="str">
            <v>June</v>
          </cell>
        </row>
        <row r="296">
          <cell r="E296">
            <v>187.93</v>
          </cell>
          <cell r="F296" t="str">
            <v>August</v>
          </cell>
        </row>
        <row r="297">
          <cell r="E297">
            <v>148.99</v>
          </cell>
          <cell r="F297" t="str">
            <v>May</v>
          </cell>
        </row>
        <row r="298">
          <cell r="E298">
            <v>894.52</v>
          </cell>
          <cell r="F298" t="str">
            <v>June</v>
          </cell>
        </row>
        <row r="299">
          <cell r="E299">
            <v>1099.82</v>
          </cell>
          <cell r="F299" t="str">
            <v>July</v>
          </cell>
        </row>
        <row r="300">
          <cell r="E300">
            <v>89.35</v>
          </cell>
          <cell r="F300" t="str">
            <v>December</v>
          </cell>
        </row>
        <row r="301">
          <cell r="E301">
            <v>112.78</v>
          </cell>
          <cell r="F301" t="str">
            <v>July</v>
          </cell>
        </row>
        <row r="302">
          <cell r="E302">
            <v>114.06</v>
          </cell>
          <cell r="F302" t="str">
            <v>September</v>
          </cell>
        </row>
        <row r="303">
          <cell r="E303">
            <v>117.5</v>
          </cell>
          <cell r="F303" t="str">
            <v>July</v>
          </cell>
        </row>
        <row r="304">
          <cell r="E304">
            <v>264.43</v>
          </cell>
          <cell r="F304" t="str">
            <v>May</v>
          </cell>
        </row>
        <row r="305">
          <cell r="E305">
            <v>781.32</v>
          </cell>
          <cell r="F305" t="str">
            <v>May</v>
          </cell>
        </row>
        <row r="306">
          <cell r="E306">
            <v>133.96</v>
          </cell>
          <cell r="F306" t="str">
            <v>October</v>
          </cell>
        </row>
        <row r="307">
          <cell r="E307">
            <v>122.63</v>
          </cell>
          <cell r="F307" t="str">
            <v>February</v>
          </cell>
        </row>
        <row r="308">
          <cell r="E308">
            <v>154.13999999999999</v>
          </cell>
          <cell r="F308" t="str">
            <v>June</v>
          </cell>
        </row>
        <row r="309">
          <cell r="E309">
            <v>119.37</v>
          </cell>
          <cell r="F309" t="str">
            <v>September</v>
          </cell>
        </row>
        <row r="310">
          <cell r="E310">
            <v>66.86</v>
          </cell>
          <cell r="F310" t="str">
            <v>February</v>
          </cell>
        </row>
        <row r="311">
          <cell r="E311">
            <v>994.02</v>
          </cell>
          <cell r="F311" t="str">
            <v>April</v>
          </cell>
        </row>
        <row r="312">
          <cell r="E312">
            <v>289.77</v>
          </cell>
          <cell r="F312" t="str">
            <v>August</v>
          </cell>
        </row>
        <row r="313">
          <cell r="E313">
            <v>901.3</v>
          </cell>
          <cell r="F313" t="str">
            <v>October</v>
          </cell>
        </row>
        <row r="314">
          <cell r="E314">
            <v>145.62</v>
          </cell>
          <cell r="F314" t="str">
            <v>February</v>
          </cell>
        </row>
        <row r="315">
          <cell r="E315">
            <v>114.37</v>
          </cell>
          <cell r="F315" t="str">
            <v>July</v>
          </cell>
        </row>
        <row r="316">
          <cell r="E316">
            <v>89.36</v>
          </cell>
          <cell r="F316" t="str">
            <v>February</v>
          </cell>
        </row>
        <row r="317">
          <cell r="E317">
            <v>211.62</v>
          </cell>
          <cell r="F317" t="str">
            <v>February</v>
          </cell>
        </row>
        <row r="318">
          <cell r="E318">
            <v>227.21</v>
          </cell>
          <cell r="F318" t="str">
            <v>March</v>
          </cell>
        </row>
        <row r="319">
          <cell r="E319">
            <v>150.37</v>
          </cell>
          <cell r="F319" t="str">
            <v>August</v>
          </cell>
        </row>
        <row r="320">
          <cell r="E320">
            <v>1111.79</v>
          </cell>
          <cell r="F320" t="str">
            <v>April</v>
          </cell>
        </row>
        <row r="321">
          <cell r="E321">
            <v>215.47</v>
          </cell>
          <cell r="F321" t="str">
            <v>March</v>
          </cell>
        </row>
        <row r="322">
          <cell r="E322">
            <v>205.45</v>
          </cell>
          <cell r="F322" t="str">
            <v>September</v>
          </cell>
        </row>
        <row r="323">
          <cell r="E323">
            <v>224.46</v>
          </cell>
          <cell r="F323" t="str">
            <v>December</v>
          </cell>
        </row>
        <row r="324">
          <cell r="E324">
            <v>535.13</v>
          </cell>
          <cell r="F324" t="str">
            <v>August</v>
          </cell>
        </row>
        <row r="325">
          <cell r="E325">
            <v>712.38</v>
          </cell>
          <cell r="F325" t="str">
            <v>November</v>
          </cell>
        </row>
        <row r="326">
          <cell r="E326">
            <v>568.64</v>
          </cell>
          <cell r="F326" t="str">
            <v>February</v>
          </cell>
        </row>
        <row r="327">
          <cell r="E327">
            <v>829.6</v>
          </cell>
          <cell r="F327" t="str">
            <v>January</v>
          </cell>
        </row>
        <row r="328">
          <cell r="E328">
            <v>927.99</v>
          </cell>
          <cell r="F328" t="str">
            <v>July</v>
          </cell>
        </row>
        <row r="329">
          <cell r="E329">
            <v>1018.59</v>
          </cell>
          <cell r="F329" t="str">
            <v>May</v>
          </cell>
        </row>
        <row r="330">
          <cell r="E330">
            <v>631.91</v>
          </cell>
          <cell r="F330" t="str">
            <v>April</v>
          </cell>
        </row>
        <row r="331">
          <cell r="E331">
            <v>114.77</v>
          </cell>
          <cell r="F331" t="str">
            <v>November</v>
          </cell>
        </row>
        <row r="332">
          <cell r="E332">
            <v>830.6</v>
          </cell>
          <cell r="F332" t="str">
            <v>April</v>
          </cell>
        </row>
        <row r="333">
          <cell r="E333">
            <v>143.72</v>
          </cell>
          <cell r="F333" t="str">
            <v>April</v>
          </cell>
        </row>
        <row r="334">
          <cell r="E334">
            <v>119.94</v>
          </cell>
          <cell r="F334" t="str">
            <v>April</v>
          </cell>
        </row>
        <row r="335">
          <cell r="E335">
            <v>230.35</v>
          </cell>
          <cell r="F335" t="str">
            <v>December</v>
          </cell>
        </row>
        <row r="336">
          <cell r="E336">
            <v>117.46</v>
          </cell>
          <cell r="F336" t="str">
            <v>February</v>
          </cell>
        </row>
        <row r="337">
          <cell r="E337">
            <v>62.84</v>
          </cell>
          <cell r="F337" t="str">
            <v>March</v>
          </cell>
        </row>
        <row r="338">
          <cell r="E338">
            <v>101.76</v>
          </cell>
          <cell r="F338" t="str">
            <v>January</v>
          </cell>
        </row>
        <row r="339">
          <cell r="E339">
            <v>326.83999999999997</v>
          </cell>
          <cell r="F339" t="str">
            <v>December</v>
          </cell>
        </row>
        <row r="340">
          <cell r="E340">
            <v>764.14</v>
          </cell>
          <cell r="F340" t="str">
            <v>November</v>
          </cell>
        </row>
        <row r="341">
          <cell r="E341">
            <v>191.77</v>
          </cell>
          <cell r="F341" t="str">
            <v>October</v>
          </cell>
        </row>
        <row r="342">
          <cell r="E342">
            <v>966.79</v>
          </cell>
          <cell r="F342" t="str">
            <v>December</v>
          </cell>
        </row>
        <row r="343">
          <cell r="E343">
            <v>129.35</v>
          </cell>
          <cell r="F343" t="str">
            <v>March</v>
          </cell>
        </row>
        <row r="344">
          <cell r="E344">
            <v>117.65</v>
          </cell>
          <cell r="F344" t="str">
            <v>May</v>
          </cell>
        </row>
        <row r="345">
          <cell r="E345">
            <v>127.43</v>
          </cell>
          <cell r="F345" t="str">
            <v>February</v>
          </cell>
        </row>
        <row r="346">
          <cell r="E346">
            <v>112.42</v>
          </cell>
          <cell r="F346" t="str">
            <v>March</v>
          </cell>
        </row>
        <row r="347">
          <cell r="E347">
            <v>119.91</v>
          </cell>
          <cell r="F347" t="str">
            <v>February</v>
          </cell>
        </row>
        <row r="348">
          <cell r="E348">
            <v>703.81</v>
          </cell>
          <cell r="F348" t="str">
            <v>October</v>
          </cell>
        </row>
        <row r="349">
          <cell r="E349">
            <v>344.63</v>
          </cell>
          <cell r="F349" t="str">
            <v>September</v>
          </cell>
        </row>
        <row r="350">
          <cell r="E350">
            <v>103.92</v>
          </cell>
          <cell r="F350" t="str">
            <v>July</v>
          </cell>
        </row>
        <row r="351">
          <cell r="E351">
            <v>254.88</v>
          </cell>
          <cell r="F351" t="str">
            <v>March</v>
          </cell>
        </row>
        <row r="352">
          <cell r="E352">
            <v>163.4</v>
          </cell>
          <cell r="F352" t="str">
            <v>March</v>
          </cell>
        </row>
        <row r="353">
          <cell r="E353">
            <v>1267.76</v>
          </cell>
          <cell r="F353" t="str">
            <v>February</v>
          </cell>
        </row>
        <row r="354">
          <cell r="E354">
            <v>67.650000000000006</v>
          </cell>
          <cell r="F354" t="str">
            <v>September</v>
          </cell>
        </row>
        <row r="355">
          <cell r="E355">
            <v>252.74</v>
          </cell>
          <cell r="F355" t="str">
            <v>May</v>
          </cell>
        </row>
        <row r="356">
          <cell r="E356">
            <v>242.61</v>
          </cell>
          <cell r="F356" t="str">
            <v>September</v>
          </cell>
        </row>
        <row r="357">
          <cell r="E357">
            <v>283.63</v>
          </cell>
          <cell r="F357" t="str">
            <v>April</v>
          </cell>
        </row>
        <row r="358">
          <cell r="E358">
            <v>204.46</v>
          </cell>
          <cell r="F358" t="str">
            <v>December</v>
          </cell>
        </row>
        <row r="359">
          <cell r="E359">
            <v>300.31</v>
          </cell>
          <cell r="F359" t="str">
            <v>December</v>
          </cell>
        </row>
        <row r="360">
          <cell r="E360">
            <v>1130.31</v>
          </cell>
          <cell r="F360" t="str">
            <v>July</v>
          </cell>
        </row>
        <row r="361">
          <cell r="E361">
            <v>111.93</v>
          </cell>
          <cell r="F361" t="str">
            <v>August</v>
          </cell>
        </row>
        <row r="362">
          <cell r="E362">
            <v>914.23</v>
          </cell>
          <cell r="F362" t="str">
            <v>February</v>
          </cell>
        </row>
        <row r="363">
          <cell r="E363">
            <v>353.03</v>
          </cell>
          <cell r="F363" t="str">
            <v>June</v>
          </cell>
        </row>
        <row r="364">
          <cell r="E364">
            <v>858.41</v>
          </cell>
          <cell r="F364" t="str">
            <v>April</v>
          </cell>
        </row>
        <row r="365">
          <cell r="E365">
            <v>133.22999999999999</v>
          </cell>
          <cell r="F365" t="str">
            <v>March</v>
          </cell>
        </row>
        <row r="366">
          <cell r="E366">
            <v>214.29</v>
          </cell>
          <cell r="F366" t="str">
            <v>March</v>
          </cell>
        </row>
        <row r="367">
          <cell r="E367">
            <v>936.02</v>
          </cell>
          <cell r="F367" t="str">
            <v>December</v>
          </cell>
        </row>
        <row r="368">
          <cell r="E368">
            <v>198</v>
          </cell>
          <cell r="F368" t="str">
            <v>August</v>
          </cell>
        </row>
        <row r="369">
          <cell r="E369">
            <v>574.28</v>
          </cell>
          <cell r="F369" t="str">
            <v>November</v>
          </cell>
        </row>
        <row r="370">
          <cell r="E370">
            <v>91.07</v>
          </cell>
          <cell r="F370" t="str">
            <v>March</v>
          </cell>
        </row>
        <row r="371">
          <cell r="E371">
            <v>829.85</v>
          </cell>
          <cell r="F371" t="str">
            <v>January</v>
          </cell>
        </row>
        <row r="372">
          <cell r="E372">
            <v>78.66</v>
          </cell>
          <cell r="F372" t="str">
            <v>September</v>
          </cell>
        </row>
        <row r="373">
          <cell r="E373">
            <v>135.63999999999999</v>
          </cell>
          <cell r="F373" t="str">
            <v>June</v>
          </cell>
        </row>
        <row r="374">
          <cell r="E374">
            <v>817.23</v>
          </cell>
          <cell r="F374" t="str">
            <v>January</v>
          </cell>
        </row>
        <row r="375">
          <cell r="E375">
            <v>180.23</v>
          </cell>
          <cell r="F375" t="str">
            <v>February</v>
          </cell>
        </row>
        <row r="376">
          <cell r="E376">
            <v>724.37</v>
          </cell>
          <cell r="F376" t="str">
            <v>July</v>
          </cell>
        </row>
        <row r="377">
          <cell r="E377">
            <v>62.78</v>
          </cell>
          <cell r="F377" t="str">
            <v>July</v>
          </cell>
        </row>
        <row r="378">
          <cell r="E378">
            <v>349.36</v>
          </cell>
          <cell r="F378" t="str">
            <v>November</v>
          </cell>
        </row>
        <row r="379">
          <cell r="E379">
            <v>261.07</v>
          </cell>
          <cell r="F379" t="str">
            <v>June</v>
          </cell>
        </row>
        <row r="380">
          <cell r="E380">
            <v>186.42</v>
          </cell>
          <cell r="F380" t="str">
            <v>November</v>
          </cell>
        </row>
        <row r="381">
          <cell r="E381">
            <v>132.21</v>
          </cell>
          <cell r="F381" t="str">
            <v>February</v>
          </cell>
        </row>
        <row r="382">
          <cell r="E382">
            <v>157.44</v>
          </cell>
          <cell r="F382" t="str">
            <v>November</v>
          </cell>
        </row>
        <row r="383">
          <cell r="E383">
            <v>36.979999999999997</v>
          </cell>
          <cell r="F383" t="str">
            <v>February</v>
          </cell>
        </row>
        <row r="384">
          <cell r="E384">
            <v>897.31</v>
          </cell>
          <cell r="F384" t="str">
            <v>May</v>
          </cell>
        </row>
        <row r="385">
          <cell r="E385">
            <v>188.97</v>
          </cell>
          <cell r="F385" t="str">
            <v>July</v>
          </cell>
        </row>
        <row r="386">
          <cell r="E386">
            <v>70.17</v>
          </cell>
          <cell r="F386" t="str">
            <v>March</v>
          </cell>
        </row>
        <row r="387">
          <cell r="E387">
            <v>127.23</v>
          </cell>
          <cell r="F387" t="str">
            <v>August</v>
          </cell>
        </row>
        <row r="388">
          <cell r="E388">
            <v>129.72</v>
          </cell>
          <cell r="F388" t="str">
            <v>April</v>
          </cell>
        </row>
        <row r="389">
          <cell r="E389">
            <v>940.64</v>
          </cell>
          <cell r="F389" t="str">
            <v>July</v>
          </cell>
        </row>
        <row r="390">
          <cell r="E390">
            <v>1226.06</v>
          </cell>
          <cell r="F390" t="str">
            <v>August</v>
          </cell>
        </row>
        <row r="391">
          <cell r="E391">
            <v>66.13</v>
          </cell>
          <cell r="F391" t="str">
            <v>August</v>
          </cell>
        </row>
        <row r="392">
          <cell r="E392">
            <v>727.74</v>
          </cell>
          <cell r="F392" t="str">
            <v>May</v>
          </cell>
        </row>
        <row r="393">
          <cell r="E393">
            <v>184.37</v>
          </cell>
          <cell r="F393" t="str">
            <v>September</v>
          </cell>
        </row>
        <row r="394">
          <cell r="E394">
            <v>81.510000000000005</v>
          </cell>
          <cell r="F394" t="str">
            <v>September</v>
          </cell>
        </row>
        <row r="395">
          <cell r="E395">
            <v>144.28</v>
          </cell>
          <cell r="F395" t="str">
            <v>July</v>
          </cell>
        </row>
        <row r="396">
          <cell r="E396">
            <v>1235.8800000000001</v>
          </cell>
          <cell r="F396" t="str">
            <v>March</v>
          </cell>
        </row>
        <row r="397">
          <cell r="E397">
            <v>215.54</v>
          </cell>
          <cell r="F397" t="str">
            <v>April</v>
          </cell>
        </row>
        <row r="398">
          <cell r="E398">
            <v>674.45</v>
          </cell>
          <cell r="F398" t="str">
            <v>April</v>
          </cell>
        </row>
        <row r="399">
          <cell r="E399">
            <v>210.99</v>
          </cell>
          <cell r="F399" t="str">
            <v>June</v>
          </cell>
        </row>
        <row r="400">
          <cell r="E400">
            <v>375.19</v>
          </cell>
          <cell r="F400" t="str">
            <v>June</v>
          </cell>
        </row>
        <row r="401">
          <cell r="E401">
            <v>1215.3900000000001</v>
          </cell>
          <cell r="F401" t="str">
            <v>January</v>
          </cell>
        </row>
        <row r="402">
          <cell r="E402">
            <v>247.03</v>
          </cell>
          <cell r="F402" t="str">
            <v>May</v>
          </cell>
        </row>
        <row r="403">
          <cell r="E403">
            <v>75.67</v>
          </cell>
          <cell r="F403" t="str">
            <v>July</v>
          </cell>
        </row>
        <row r="404">
          <cell r="E404">
            <v>281.8</v>
          </cell>
          <cell r="F404" t="str">
            <v>June</v>
          </cell>
        </row>
        <row r="405">
          <cell r="E405">
            <v>327.76</v>
          </cell>
          <cell r="F405" t="str">
            <v>June</v>
          </cell>
        </row>
        <row r="406">
          <cell r="E406">
            <v>247</v>
          </cell>
          <cell r="F406" t="str">
            <v>May</v>
          </cell>
        </row>
        <row r="407">
          <cell r="E407">
            <v>163.69</v>
          </cell>
          <cell r="F407" t="str">
            <v>July</v>
          </cell>
        </row>
        <row r="408">
          <cell r="E408">
            <v>231.76</v>
          </cell>
          <cell r="F408" t="str">
            <v>December</v>
          </cell>
        </row>
        <row r="409">
          <cell r="E409">
            <v>322.63</v>
          </cell>
          <cell r="F409" t="str">
            <v>September</v>
          </cell>
        </row>
        <row r="410">
          <cell r="E410">
            <v>244.25</v>
          </cell>
          <cell r="F410" t="str">
            <v>July</v>
          </cell>
        </row>
        <row r="411">
          <cell r="E411">
            <v>221.75</v>
          </cell>
          <cell r="F411" t="str">
            <v>October</v>
          </cell>
        </row>
        <row r="412">
          <cell r="E412">
            <v>960.28</v>
          </cell>
          <cell r="F412" t="str">
            <v>November</v>
          </cell>
        </row>
        <row r="413">
          <cell r="E413">
            <v>128.36000000000001</v>
          </cell>
          <cell r="F413" t="str">
            <v>July</v>
          </cell>
        </row>
        <row r="414">
          <cell r="E414">
            <v>154.29</v>
          </cell>
          <cell r="F414" t="str">
            <v>March</v>
          </cell>
        </row>
        <row r="415">
          <cell r="E415">
            <v>115.34</v>
          </cell>
          <cell r="F415" t="str">
            <v>June</v>
          </cell>
        </row>
        <row r="416">
          <cell r="E416">
            <v>134.29</v>
          </cell>
          <cell r="F416" t="str">
            <v>February</v>
          </cell>
        </row>
        <row r="417">
          <cell r="E417">
            <v>145.01</v>
          </cell>
          <cell r="F417" t="str">
            <v>September</v>
          </cell>
        </row>
        <row r="418">
          <cell r="E418">
            <v>176.85</v>
          </cell>
          <cell r="F418" t="str">
            <v>July</v>
          </cell>
        </row>
        <row r="419">
          <cell r="E419">
            <v>858.94</v>
          </cell>
          <cell r="F419" t="str">
            <v>January</v>
          </cell>
        </row>
        <row r="420">
          <cell r="E420">
            <v>199.46</v>
          </cell>
          <cell r="F420" t="str">
            <v>March</v>
          </cell>
        </row>
        <row r="421">
          <cell r="E421">
            <v>480.98</v>
          </cell>
          <cell r="F421" t="str">
            <v>May</v>
          </cell>
        </row>
        <row r="422">
          <cell r="E422">
            <v>1224.05</v>
          </cell>
          <cell r="F422" t="str">
            <v>August</v>
          </cell>
        </row>
        <row r="423">
          <cell r="E423">
            <v>59.97</v>
          </cell>
          <cell r="F423" t="str">
            <v>July</v>
          </cell>
        </row>
        <row r="424">
          <cell r="E424">
            <v>107.63</v>
          </cell>
          <cell r="F424" t="str">
            <v>March</v>
          </cell>
        </row>
        <row r="425">
          <cell r="E425">
            <v>893.86</v>
          </cell>
          <cell r="F425" t="str">
            <v>June</v>
          </cell>
        </row>
        <row r="426">
          <cell r="E426">
            <v>728.58</v>
          </cell>
          <cell r="F426" t="str">
            <v>November</v>
          </cell>
        </row>
        <row r="427">
          <cell r="E427">
            <v>106.4</v>
          </cell>
          <cell r="F427" t="str">
            <v>June</v>
          </cell>
        </row>
        <row r="428">
          <cell r="E428">
            <v>387.23</v>
          </cell>
          <cell r="F428" t="str">
            <v>April</v>
          </cell>
        </row>
        <row r="429">
          <cell r="E429">
            <v>251.34</v>
          </cell>
          <cell r="F429" t="str">
            <v>May</v>
          </cell>
        </row>
        <row r="430">
          <cell r="E430">
            <v>65.959999999999994</v>
          </cell>
          <cell r="F430" t="str">
            <v>March</v>
          </cell>
        </row>
        <row r="431">
          <cell r="E431">
            <v>744.38</v>
          </cell>
          <cell r="F431" t="str">
            <v>November</v>
          </cell>
        </row>
        <row r="432">
          <cell r="E432">
            <v>215.96</v>
          </cell>
          <cell r="F432" t="str">
            <v>September</v>
          </cell>
        </row>
        <row r="433">
          <cell r="E433">
            <v>134.06</v>
          </cell>
          <cell r="F433" t="str">
            <v>June</v>
          </cell>
        </row>
        <row r="434">
          <cell r="E434">
            <v>87.96</v>
          </cell>
          <cell r="F434" t="str">
            <v>October</v>
          </cell>
        </row>
        <row r="435">
          <cell r="E435">
            <v>220.89</v>
          </cell>
          <cell r="F435" t="str">
            <v>June</v>
          </cell>
        </row>
        <row r="436">
          <cell r="E436">
            <v>144.68</v>
          </cell>
          <cell r="F436" t="str">
            <v>August</v>
          </cell>
        </row>
        <row r="437">
          <cell r="E437">
            <v>135.71</v>
          </cell>
          <cell r="F437" t="str">
            <v>September</v>
          </cell>
        </row>
        <row r="438">
          <cell r="E438">
            <v>419.19</v>
          </cell>
          <cell r="F438" t="str">
            <v>December</v>
          </cell>
        </row>
        <row r="439">
          <cell r="E439">
            <v>824.25</v>
          </cell>
          <cell r="F439" t="str">
            <v>October</v>
          </cell>
        </row>
        <row r="440">
          <cell r="E440">
            <v>125.34</v>
          </cell>
          <cell r="F440" t="str">
            <v>October</v>
          </cell>
        </row>
        <row r="441">
          <cell r="E441">
            <v>89.68</v>
          </cell>
          <cell r="F441" t="str">
            <v>December</v>
          </cell>
        </row>
        <row r="442">
          <cell r="E442">
            <v>960.71</v>
          </cell>
          <cell r="F442" t="str">
            <v>May</v>
          </cell>
        </row>
        <row r="443">
          <cell r="E443">
            <v>1081.03</v>
          </cell>
          <cell r="F443" t="str">
            <v>November</v>
          </cell>
        </row>
        <row r="444">
          <cell r="E444">
            <v>281.57</v>
          </cell>
          <cell r="F444" t="str">
            <v>February</v>
          </cell>
        </row>
        <row r="445">
          <cell r="E445">
            <v>227.84</v>
          </cell>
          <cell r="F445" t="str">
            <v>January</v>
          </cell>
        </row>
        <row r="446">
          <cell r="E446">
            <v>129.38</v>
          </cell>
          <cell r="F446" t="str">
            <v>December</v>
          </cell>
        </row>
        <row r="447">
          <cell r="E447">
            <v>312.02</v>
          </cell>
          <cell r="F447" t="str">
            <v>February</v>
          </cell>
        </row>
        <row r="448">
          <cell r="E448">
            <v>129.29</v>
          </cell>
          <cell r="F448" t="str">
            <v>March</v>
          </cell>
        </row>
        <row r="449">
          <cell r="E449">
            <v>111.54</v>
          </cell>
          <cell r="F449" t="str">
            <v>November</v>
          </cell>
        </row>
        <row r="450">
          <cell r="E450">
            <v>59.32</v>
          </cell>
          <cell r="F450" t="str">
            <v>August</v>
          </cell>
        </row>
        <row r="451">
          <cell r="E451">
            <v>111.59</v>
          </cell>
          <cell r="F451" t="str">
            <v>August</v>
          </cell>
        </row>
        <row r="452">
          <cell r="E452">
            <v>115.24</v>
          </cell>
          <cell r="F452" t="str">
            <v>December</v>
          </cell>
        </row>
        <row r="453">
          <cell r="E453">
            <v>496.31</v>
          </cell>
          <cell r="F453" t="str">
            <v>March</v>
          </cell>
        </row>
        <row r="454">
          <cell r="E454">
            <v>861</v>
          </cell>
          <cell r="F454" t="str">
            <v>August</v>
          </cell>
        </row>
        <row r="455">
          <cell r="E455">
            <v>123.06</v>
          </cell>
          <cell r="F455" t="str">
            <v>December</v>
          </cell>
        </row>
        <row r="456">
          <cell r="E456">
            <v>231.54</v>
          </cell>
          <cell r="F456" t="str">
            <v>February</v>
          </cell>
        </row>
        <row r="457">
          <cell r="E457">
            <v>144.85</v>
          </cell>
          <cell r="F457" t="str">
            <v>December</v>
          </cell>
        </row>
        <row r="458">
          <cell r="E458">
            <v>253.99</v>
          </cell>
          <cell r="F458" t="str">
            <v>May</v>
          </cell>
        </row>
        <row r="459">
          <cell r="E459">
            <v>128.33000000000001</v>
          </cell>
          <cell r="F459" t="str">
            <v>July</v>
          </cell>
        </row>
        <row r="460">
          <cell r="E460">
            <v>397.39</v>
          </cell>
          <cell r="F460" t="str">
            <v>November</v>
          </cell>
        </row>
        <row r="461">
          <cell r="E461">
            <v>79.63</v>
          </cell>
          <cell r="F461" t="str">
            <v>November</v>
          </cell>
        </row>
        <row r="462">
          <cell r="E462">
            <v>930.03</v>
          </cell>
          <cell r="F462" t="str">
            <v>August</v>
          </cell>
        </row>
        <row r="463">
          <cell r="E463">
            <v>875.12</v>
          </cell>
          <cell r="F463" t="str">
            <v>April</v>
          </cell>
        </row>
        <row r="464">
          <cell r="E464">
            <v>1104.78</v>
          </cell>
          <cell r="F464" t="str">
            <v>September</v>
          </cell>
        </row>
        <row r="465">
          <cell r="E465">
            <v>490.55</v>
          </cell>
          <cell r="F465" t="str">
            <v>June</v>
          </cell>
        </row>
        <row r="466">
          <cell r="E466">
            <v>720.63</v>
          </cell>
          <cell r="F466" t="str">
            <v>August</v>
          </cell>
        </row>
        <row r="467">
          <cell r="E467">
            <v>135.27000000000001</v>
          </cell>
          <cell r="F467" t="str">
            <v>August</v>
          </cell>
        </row>
        <row r="468">
          <cell r="E468">
            <v>108.48</v>
          </cell>
          <cell r="F468" t="str">
            <v>September</v>
          </cell>
        </row>
        <row r="469">
          <cell r="E469">
            <v>118.35</v>
          </cell>
          <cell r="F469" t="str">
            <v>October</v>
          </cell>
        </row>
        <row r="470">
          <cell r="E470">
            <v>70.75</v>
          </cell>
          <cell r="F470" t="str">
            <v>July</v>
          </cell>
        </row>
        <row r="471">
          <cell r="E471">
            <v>927.84</v>
          </cell>
          <cell r="F471" t="str">
            <v>August</v>
          </cell>
        </row>
        <row r="472">
          <cell r="E472">
            <v>123.77</v>
          </cell>
          <cell r="F472" t="str">
            <v>November</v>
          </cell>
        </row>
        <row r="473">
          <cell r="E473">
            <v>93.97</v>
          </cell>
          <cell r="F473" t="str">
            <v>July</v>
          </cell>
        </row>
        <row r="474">
          <cell r="E474">
            <v>206.71</v>
          </cell>
          <cell r="F474" t="str">
            <v>September</v>
          </cell>
        </row>
        <row r="475">
          <cell r="E475">
            <v>110.06</v>
          </cell>
          <cell r="F475" t="str">
            <v>January</v>
          </cell>
        </row>
        <row r="476">
          <cell r="E476">
            <v>86.92</v>
          </cell>
          <cell r="F476" t="str">
            <v>December</v>
          </cell>
        </row>
        <row r="477">
          <cell r="E477">
            <v>977.54</v>
          </cell>
          <cell r="F477" t="str">
            <v>June</v>
          </cell>
        </row>
        <row r="478">
          <cell r="E478">
            <v>1018.52</v>
          </cell>
          <cell r="F478" t="str">
            <v>October</v>
          </cell>
        </row>
        <row r="479">
          <cell r="E479">
            <v>145.41</v>
          </cell>
          <cell r="F479" t="str">
            <v>November</v>
          </cell>
        </row>
        <row r="480">
          <cell r="E480">
            <v>150.85</v>
          </cell>
          <cell r="F480" t="str">
            <v>March</v>
          </cell>
        </row>
        <row r="481">
          <cell r="E481">
            <v>494.45</v>
          </cell>
          <cell r="F481" t="str">
            <v>August</v>
          </cell>
        </row>
        <row r="482">
          <cell r="E482">
            <v>117.61</v>
          </cell>
          <cell r="F482" t="str">
            <v>March</v>
          </cell>
        </row>
        <row r="483">
          <cell r="E483">
            <v>1302.9000000000001</v>
          </cell>
          <cell r="F483" t="str">
            <v>October</v>
          </cell>
        </row>
        <row r="484">
          <cell r="E484">
            <v>863.94</v>
          </cell>
          <cell r="F484" t="str">
            <v>September</v>
          </cell>
        </row>
        <row r="485">
          <cell r="E485">
            <v>875.36</v>
          </cell>
          <cell r="F485" t="str">
            <v>July</v>
          </cell>
        </row>
        <row r="486">
          <cell r="E486">
            <v>132.76</v>
          </cell>
          <cell r="F486" t="str">
            <v>November</v>
          </cell>
        </row>
        <row r="487">
          <cell r="E487">
            <v>55.72</v>
          </cell>
          <cell r="F487" t="str">
            <v>October</v>
          </cell>
        </row>
        <row r="488">
          <cell r="E488">
            <v>82</v>
          </cell>
          <cell r="F488" t="str">
            <v>April</v>
          </cell>
        </row>
        <row r="489">
          <cell r="E489">
            <v>126.29</v>
          </cell>
          <cell r="F489" t="str">
            <v>January</v>
          </cell>
        </row>
        <row r="490">
          <cell r="E490">
            <v>907.98</v>
          </cell>
          <cell r="F490" t="str">
            <v>August</v>
          </cell>
        </row>
        <row r="491">
          <cell r="E491">
            <v>330.09</v>
          </cell>
          <cell r="F491" t="str">
            <v>April</v>
          </cell>
        </row>
        <row r="492">
          <cell r="E492">
            <v>653.88</v>
          </cell>
          <cell r="F492" t="str">
            <v>February</v>
          </cell>
        </row>
        <row r="493">
          <cell r="E493">
            <v>330.8</v>
          </cell>
          <cell r="F493" t="str">
            <v>May</v>
          </cell>
        </row>
        <row r="494">
          <cell r="E494">
            <v>234.02</v>
          </cell>
          <cell r="F494" t="str">
            <v>January</v>
          </cell>
        </row>
        <row r="495">
          <cell r="E495">
            <v>126.55</v>
          </cell>
          <cell r="F495" t="str">
            <v>October</v>
          </cell>
        </row>
        <row r="496">
          <cell r="E496">
            <v>1009.2</v>
          </cell>
          <cell r="F496" t="str">
            <v>December</v>
          </cell>
        </row>
        <row r="497">
          <cell r="E497">
            <v>62.14</v>
          </cell>
          <cell r="F497" t="str">
            <v>August</v>
          </cell>
        </row>
        <row r="498">
          <cell r="E498">
            <v>1073.9000000000001</v>
          </cell>
          <cell r="F498" t="str">
            <v>November</v>
          </cell>
        </row>
        <row r="499">
          <cell r="E499">
            <v>153.72999999999999</v>
          </cell>
          <cell r="F499" t="str">
            <v>January</v>
          </cell>
        </row>
        <row r="500">
          <cell r="E500">
            <v>814.18</v>
          </cell>
          <cell r="F500" t="str">
            <v>October</v>
          </cell>
        </row>
        <row r="501">
          <cell r="E501">
            <v>358.87</v>
          </cell>
          <cell r="F501" t="str">
            <v>August</v>
          </cell>
        </row>
        <row r="502">
          <cell r="E502">
            <v>216.4</v>
          </cell>
          <cell r="F502" t="str">
            <v>March</v>
          </cell>
        </row>
        <row r="503">
          <cell r="E503">
            <v>281.49</v>
          </cell>
          <cell r="F503" t="str">
            <v>February</v>
          </cell>
        </row>
        <row r="504">
          <cell r="E504">
            <v>119.67</v>
          </cell>
          <cell r="F504" t="str">
            <v>September</v>
          </cell>
        </row>
        <row r="505">
          <cell r="E505">
            <v>183.59</v>
          </cell>
          <cell r="F505" t="str">
            <v>October</v>
          </cell>
        </row>
        <row r="506">
          <cell r="E506">
            <v>163.75</v>
          </cell>
          <cell r="F506" t="str">
            <v>December</v>
          </cell>
        </row>
        <row r="507">
          <cell r="E507">
            <v>1057.54</v>
          </cell>
          <cell r="F507" t="str">
            <v>March</v>
          </cell>
        </row>
        <row r="508">
          <cell r="E508">
            <v>219.63</v>
          </cell>
          <cell r="F508" t="str">
            <v>January</v>
          </cell>
        </row>
        <row r="509">
          <cell r="E509">
            <v>115.69</v>
          </cell>
          <cell r="F509" t="str">
            <v>August</v>
          </cell>
        </row>
        <row r="510">
          <cell r="E510">
            <v>276.66000000000003</v>
          </cell>
          <cell r="F510" t="str">
            <v>February</v>
          </cell>
        </row>
        <row r="511">
          <cell r="E511">
            <v>247.9</v>
          </cell>
          <cell r="F511" t="str">
            <v>December</v>
          </cell>
        </row>
        <row r="512">
          <cell r="E512">
            <v>87.75</v>
          </cell>
          <cell r="F512" t="str">
            <v>June</v>
          </cell>
        </row>
        <row r="513">
          <cell r="E513">
            <v>126.33</v>
          </cell>
          <cell r="F513" t="str">
            <v>May</v>
          </cell>
        </row>
        <row r="514">
          <cell r="E514">
            <v>151.63999999999999</v>
          </cell>
          <cell r="F514" t="str">
            <v>December</v>
          </cell>
        </row>
        <row r="515">
          <cell r="E515">
            <v>931.78</v>
          </cell>
          <cell r="F515" t="str">
            <v>January</v>
          </cell>
        </row>
        <row r="516">
          <cell r="E516">
            <v>45.2</v>
          </cell>
          <cell r="F516" t="str">
            <v>February</v>
          </cell>
        </row>
        <row r="517">
          <cell r="E517">
            <v>203.56</v>
          </cell>
          <cell r="F517" t="str">
            <v>April</v>
          </cell>
        </row>
        <row r="518">
          <cell r="E518">
            <v>77.17</v>
          </cell>
          <cell r="F518" t="str">
            <v>February</v>
          </cell>
        </row>
        <row r="519">
          <cell r="E519">
            <v>1077.05</v>
          </cell>
          <cell r="F519" t="str">
            <v>September</v>
          </cell>
        </row>
        <row r="520">
          <cell r="E520">
            <v>286.48</v>
          </cell>
          <cell r="F520" t="str">
            <v>October</v>
          </cell>
        </row>
        <row r="521">
          <cell r="E521">
            <v>777.87</v>
          </cell>
          <cell r="F521" t="str">
            <v>October</v>
          </cell>
        </row>
        <row r="522">
          <cell r="E522">
            <v>929.79</v>
          </cell>
          <cell r="F522" t="str">
            <v>June</v>
          </cell>
        </row>
        <row r="523">
          <cell r="E523">
            <v>115.21</v>
          </cell>
          <cell r="F523" t="str">
            <v>February</v>
          </cell>
        </row>
        <row r="524">
          <cell r="E524">
            <v>111.14</v>
          </cell>
          <cell r="F524" t="str">
            <v>April</v>
          </cell>
        </row>
        <row r="525">
          <cell r="E525">
            <v>199.57</v>
          </cell>
          <cell r="F525" t="str">
            <v>February</v>
          </cell>
        </row>
        <row r="526">
          <cell r="E526">
            <v>991.62</v>
          </cell>
          <cell r="F526" t="str">
            <v>January</v>
          </cell>
        </row>
        <row r="527">
          <cell r="E527">
            <v>127.83</v>
          </cell>
          <cell r="F527" t="str">
            <v>May</v>
          </cell>
        </row>
        <row r="528">
          <cell r="E528">
            <v>569.76</v>
          </cell>
          <cell r="F528" t="str">
            <v>August</v>
          </cell>
        </row>
        <row r="529">
          <cell r="E529">
            <v>208.48</v>
          </cell>
          <cell r="F529" t="str">
            <v>September</v>
          </cell>
        </row>
        <row r="530">
          <cell r="E530">
            <v>813.93</v>
          </cell>
          <cell r="F530" t="str">
            <v>June</v>
          </cell>
        </row>
        <row r="531">
          <cell r="E531">
            <v>187.9</v>
          </cell>
          <cell r="F531" t="str">
            <v>May</v>
          </cell>
        </row>
        <row r="532">
          <cell r="E532">
            <v>71.95</v>
          </cell>
          <cell r="F532" t="str">
            <v>October</v>
          </cell>
        </row>
        <row r="533">
          <cell r="E533">
            <v>178.62</v>
          </cell>
          <cell r="F533" t="str">
            <v>August</v>
          </cell>
        </row>
        <row r="534">
          <cell r="E534">
            <v>854.06</v>
          </cell>
          <cell r="F534" t="str">
            <v>January</v>
          </cell>
        </row>
        <row r="535">
          <cell r="E535">
            <v>91.03</v>
          </cell>
          <cell r="F535" t="str">
            <v>January</v>
          </cell>
        </row>
        <row r="536">
          <cell r="E536">
            <v>212.41</v>
          </cell>
          <cell r="F536" t="str">
            <v>August</v>
          </cell>
        </row>
        <row r="537">
          <cell r="E537">
            <v>106.1</v>
          </cell>
          <cell r="F537" t="str">
            <v>April</v>
          </cell>
        </row>
        <row r="538">
          <cell r="E538">
            <v>91.25</v>
          </cell>
          <cell r="F538" t="str">
            <v>November</v>
          </cell>
        </row>
        <row r="539">
          <cell r="E539">
            <v>1079.6500000000001</v>
          </cell>
          <cell r="F539" t="str">
            <v>May</v>
          </cell>
        </row>
        <row r="540">
          <cell r="E540">
            <v>39.86</v>
          </cell>
          <cell r="F540" t="str">
            <v>November</v>
          </cell>
        </row>
        <row r="541">
          <cell r="E541">
            <v>292.64</v>
          </cell>
          <cell r="F541" t="str">
            <v>February</v>
          </cell>
        </row>
        <row r="542">
          <cell r="E542">
            <v>306.01</v>
          </cell>
          <cell r="F542" t="str">
            <v>December</v>
          </cell>
        </row>
        <row r="543">
          <cell r="E543">
            <v>130.66999999999999</v>
          </cell>
          <cell r="F543" t="str">
            <v>November</v>
          </cell>
        </row>
        <row r="544">
          <cell r="E544">
            <v>187.98</v>
          </cell>
          <cell r="F544" t="str">
            <v>September</v>
          </cell>
        </row>
        <row r="545">
          <cell r="E545">
            <v>119.94</v>
          </cell>
          <cell r="F545" t="str">
            <v>May</v>
          </cell>
        </row>
        <row r="546">
          <cell r="E546">
            <v>232.37</v>
          </cell>
          <cell r="F546" t="str">
            <v>October</v>
          </cell>
        </row>
        <row r="547">
          <cell r="E547">
            <v>276.77</v>
          </cell>
          <cell r="F547" t="str">
            <v>December</v>
          </cell>
        </row>
        <row r="548">
          <cell r="E548">
            <v>40.130000000000003</v>
          </cell>
          <cell r="F548" t="str">
            <v>October</v>
          </cell>
        </row>
        <row r="549">
          <cell r="E549">
            <v>266.14999999999998</v>
          </cell>
          <cell r="F549" t="str">
            <v>February</v>
          </cell>
        </row>
        <row r="550">
          <cell r="E550">
            <v>145.16</v>
          </cell>
          <cell r="F550" t="str">
            <v>October</v>
          </cell>
        </row>
        <row r="551">
          <cell r="E551">
            <v>214.31</v>
          </cell>
          <cell r="F551" t="str">
            <v>March</v>
          </cell>
        </row>
        <row r="552">
          <cell r="E552">
            <v>268.31</v>
          </cell>
          <cell r="F552" t="str">
            <v>April</v>
          </cell>
        </row>
        <row r="553">
          <cell r="E553">
            <v>1358.35</v>
          </cell>
          <cell r="F553" t="str">
            <v>January</v>
          </cell>
        </row>
        <row r="554">
          <cell r="E554">
            <v>95.01</v>
          </cell>
          <cell r="F554" t="str">
            <v>February</v>
          </cell>
        </row>
        <row r="555">
          <cell r="E555">
            <v>68.45</v>
          </cell>
          <cell r="F555" t="str">
            <v>September</v>
          </cell>
        </row>
        <row r="556">
          <cell r="E556">
            <v>108.58</v>
          </cell>
          <cell r="F556" t="str">
            <v>September</v>
          </cell>
        </row>
        <row r="557">
          <cell r="E557">
            <v>97.2</v>
          </cell>
          <cell r="F557" t="str">
            <v>November</v>
          </cell>
        </row>
        <row r="558">
          <cell r="E558">
            <v>109.98</v>
          </cell>
          <cell r="F558" t="str">
            <v>July</v>
          </cell>
        </row>
        <row r="559">
          <cell r="E559">
            <v>213.45</v>
          </cell>
          <cell r="F559" t="str">
            <v>August</v>
          </cell>
        </row>
        <row r="560">
          <cell r="E560">
            <v>85.04</v>
          </cell>
          <cell r="F560" t="str">
            <v>July</v>
          </cell>
        </row>
        <row r="561">
          <cell r="E561">
            <v>917.57</v>
          </cell>
          <cell r="F561" t="str">
            <v>November</v>
          </cell>
        </row>
        <row r="562">
          <cell r="E562">
            <v>166.23</v>
          </cell>
          <cell r="F562" t="str">
            <v>December</v>
          </cell>
        </row>
        <row r="563">
          <cell r="E563">
            <v>142.33000000000001</v>
          </cell>
          <cell r="F563" t="str">
            <v>August</v>
          </cell>
        </row>
        <row r="564">
          <cell r="E564">
            <v>133.71</v>
          </cell>
          <cell r="F564" t="str">
            <v>July</v>
          </cell>
        </row>
        <row r="565">
          <cell r="E565">
            <v>99.03</v>
          </cell>
          <cell r="F565" t="str">
            <v>March</v>
          </cell>
        </row>
        <row r="566">
          <cell r="E566">
            <v>206.98</v>
          </cell>
          <cell r="F566" t="str">
            <v>July</v>
          </cell>
        </row>
        <row r="567">
          <cell r="E567">
            <v>117.54</v>
          </cell>
          <cell r="F567" t="str">
            <v>May</v>
          </cell>
        </row>
        <row r="568">
          <cell r="E568">
            <v>1034.1400000000001</v>
          </cell>
          <cell r="F568" t="str">
            <v>December</v>
          </cell>
        </row>
        <row r="569">
          <cell r="E569">
            <v>685.87</v>
          </cell>
          <cell r="F569" t="str">
            <v>September</v>
          </cell>
        </row>
        <row r="570">
          <cell r="E570">
            <v>234.01</v>
          </cell>
          <cell r="F570" t="str">
            <v>November</v>
          </cell>
        </row>
        <row r="571">
          <cell r="E571">
            <v>223.93</v>
          </cell>
          <cell r="F571" t="str">
            <v>April</v>
          </cell>
        </row>
        <row r="572">
          <cell r="E572">
            <v>124.77</v>
          </cell>
          <cell r="F572" t="str">
            <v>October</v>
          </cell>
        </row>
        <row r="573">
          <cell r="E573">
            <v>193.87</v>
          </cell>
          <cell r="F573" t="str">
            <v>September</v>
          </cell>
        </row>
        <row r="574">
          <cell r="E574">
            <v>115.58</v>
          </cell>
          <cell r="F574" t="str">
            <v>August</v>
          </cell>
        </row>
        <row r="575">
          <cell r="E575">
            <v>285.13</v>
          </cell>
          <cell r="F575" t="str">
            <v>May</v>
          </cell>
        </row>
        <row r="576">
          <cell r="E576">
            <v>821.71</v>
          </cell>
          <cell r="F576" t="str">
            <v>August</v>
          </cell>
        </row>
        <row r="577">
          <cell r="E577">
            <v>128.09</v>
          </cell>
          <cell r="F577" t="str">
            <v>July</v>
          </cell>
        </row>
        <row r="578">
          <cell r="E578">
            <v>1154.17</v>
          </cell>
          <cell r="F578" t="str">
            <v>November</v>
          </cell>
        </row>
        <row r="579">
          <cell r="E579">
            <v>117.63</v>
          </cell>
          <cell r="F579" t="str">
            <v>October</v>
          </cell>
        </row>
        <row r="580">
          <cell r="E580">
            <v>197.77</v>
          </cell>
          <cell r="F580" t="str">
            <v>June</v>
          </cell>
        </row>
        <row r="581">
          <cell r="E581">
            <v>632.66999999999996</v>
          </cell>
          <cell r="F581" t="str">
            <v>October</v>
          </cell>
        </row>
        <row r="582">
          <cell r="E582">
            <v>233.73</v>
          </cell>
          <cell r="F582" t="str">
            <v>January</v>
          </cell>
        </row>
        <row r="583">
          <cell r="E583">
            <v>301.77</v>
          </cell>
          <cell r="F583" t="str">
            <v>March</v>
          </cell>
        </row>
        <row r="584">
          <cell r="E584">
            <v>221.64</v>
          </cell>
          <cell r="F584" t="str">
            <v>December</v>
          </cell>
        </row>
        <row r="585">
          <cell r="E585">
            <v>58.68</v>
          </cell>
          <cell r="F585" t="str">
            <v>May</v>
          </cell>
        </row>
        <row r="586">
          <cell r="E586">
            <v>227.89</v>
          </cell>
          <cell r="F586" t="str">
            <v>January</v>
          </cell>
        </row>
        <row r="587">
          <cell r="E587">
            <v>840.79</v>
          </cell>
          <cell r="F587" t="str">
            <v>December</v>
          </cell>
        </row>
        <row r="588">
          <cell r="E588">
            <v>810.62</v>
          </cell>
          <cell r="F588" t="str">
            <v>June</v>
          </cell>
        </row>
        <row r="589">
          <cell r="E589">
            <v>215.79</v>
          </cell>
          <cell r="F589" t="str">
            <v>February</v>
          </cell>
        </row>
        <row r="590">
          <cell r="E590">
            <v>216.26</v>
          </cell>
          <cell r="F590" t="str">
            <v>April</v>
          </cell>
        </row>
        <row r="591">
          <cell r="E591">
            <v>150.91</v>
          </cell>
          <cell r="F591" t="str">
            <v>March</v>
          </cell>
        </row>
        <row r="592">
          <cell r="E592">
            <v>146.61000000000001</v>
          </cell>
          <cell r="F592" t="str">
            <v>May</v>
          </cell>
        </row>
        <row r="593">
          <cell r="E593">
            <v>273.82</v>
          </cell>
          <cell r="F593" t="str">
            <v>February</v>
          </cell>
        </row>
        <row r="594">
          <cell r="E594">
            <v>308</v>
          </cell>
          <cell r="F594" t="str">
            <v>August</v>
          </cell>
        </row>
        <row r="595">
          <cell r="E595">
            <v>711.13</v>
          </cell>
          <cell r="F595" t="str">
            <v>December</v>
          </cell>
        </row>
        <row r="596">
          <cell r="E596">
            <v>630.28</v>
          </cell>
          <cell r="F596" t="str">
            <v>February</v>
          </cell>
        </row>
        <row r="597">
          <cell r="E597">
            <v>912.99</v>
          </cell>
          <cell r="F597" t="str">
            <v>December</v>
          </cell>
        </row>
        <row r="598">
          <cell r="E598">
            <v>262.89</v>
          </cell>
          <cell r="F598" t="str">
            <v>November</v>
          </cell>
        </row>
        <row r="599">
          <cell r="E599">
            <v>141.22</v>
          </cell>
          <cell r="F599" t="str">
            <v>December</v>
          </cell>
        </row>
        <row r="600">
          <cell r="E600">
            <v>1049.1400000000001</v>
          </cell>
          <cell r="F600" t="str">
            <v>September</v>
          </cell>
        </row>
        <row r="601">
          <cell r="E601">
            <v>755.66</v>
          </cell>
          <cell r="F601" t="str">
            <v>November</v>
          </cell>
        </row>
        <row r="602">
          <cell r="E602">
            <v>112.27</v>
          </cell>
          <cell r="F602" t="str">
            <v>September</v>
          </cell>
        </row>
        <row r="603">
          <cell r="E603">
            <v>1028.53</v>
          </cell>
          <cell r="F603" t="str">
            <v>March</v>
          </cell>
        </row>
        <row r="604">
          <cell r="E604">
            <v>286.74</v>
          </cell>
          <cell r="F604" t="str">
            <v>November</v>
          </cell>
        </row>
        <row r="605">
          <cell r="E605">
            <v>109.19</v>
          </cell>
          <cell r="F605" t="str">
            <v>January</v>
          </cell>
        </row>
        <row r="606">
          <cell r="E606">
            <v>255.8</v>
          </cell>
          <cell r="F606" t="str">
            <v>May</v>
          </cell>
        </row>
        <row r="607">
          <cell r="E607">
            <v>1125.71</v>
          </cell>
          <cell r="F607" t="str">
            <v>September</v>
          </cell>
        </row>
        <row r="608">
          <cell r="E608">
            <v>991.1</v>
          </cell>
          <cell r="F608" t="str">
            <v>June</v>
          </cell>
        </row>
        <row r="609">
          <cell r="E609">
            <v>793.87</v>
          </cell>
          <cell r="F609" t="str">
            <v>November</v>
          </cell>
        </row>
        <row r="610">
          <cell r="E610">
            <v>57.15</v>
          </cell>
          <cell r="F610" t="str">
            <v>July</v>
          </cell>
        </row>
        <row r="611">
          <cell r="E611">
            <v>232.62</v>
          </cell>
          <cell r="F611" t="str">
            <v>April</v>
          </cell>
        </row>
        <row r="612">
          <cell r="E612">
            <v>36.869999999999997</v>
          </cell>
          <cell r="F612" t="str">
            <v>May</v>
          </cell>
        </row>
        <row r="613">
          <cell r="E613">
            <v>345.7</v>
          </cell>
          <cell r="F613" t="str">
            <v>June</v>
          </cell>
        </row>
        <row r="614">
          <cell r="E614">
            <v>125.32</v>
          </cell>
          <cell r="F614" t="str">
            <v>October</v>
          </cell>
        </row>
        <row r="615">
          <cell r="E615">
            <v>1257.53</v>
          </cell>
          <cell r="F615" t="str">
            <v>September</v>
          </cell>
        </row>
        <row r="616">
          <cell r="E616">
            <v>471.42</v>
          </cell>
          <cell r="F616" t="str">
            <v>September</v>
          </cell>
        </row>
        <row r="617">
          <cell r="E617">
            <v>126.17</v>
          </cell>
          <cell r="F617" t="str">
            <v>January</v>
          </cell>
        </row>
        <row r="618">
          <cell r="E618">
            <v>103.53</v>
          </cell>
          <cell r="F618" t="str">
            <v>March</v>
          </cell>
        </row>
        <row r="619">
          <cell r="E619">
            <v>1103.53</v>
          </cell>
          <cell r="F619" t="str">
            <v>February</v>
          </cell>
        </row>
        <row r="620">
          <cell r="E620">
            <v>286.3</v>
          </cell>
          <cell r="F620" t="str">
            <v>November</v>
          </cell>
        </row>
        <row r="621">
          <cell r="E621">
            <v>43.35</v>
          </cell>
          <cell r="F621" t="str">
            <v>July</v>
          </cell>
        </row>
        <row r="622">
          <cell r="E622">
            <v>105.08</v>
          </cell>
          <cell r="F622" t="str">
            <v>June</v>
          </cell>
        </row>
        <row r="623">
          <cell r="E623">
            <v>910.09</v>
          </cell>
          <cell r="F623" t="str">
            <v>March</v>
          </cell>
        </row>
        <row r="624">
          <cell r="E624">
            <v>278.57</v>
          </cell>
          <cell r="F624" t="str">
            <v>August</v>
          </cell>
        </row>
        <row r="625">
          <cell r="E625">
            <v>140.07</v>
          </cell>
          <cell r="F625" t="str">
            <v>June</v>
          </cell>
        </row>
        <row r="626">
          <cell r="E626">
            <v>69.430000000000007</v>
          </cell>
          <cell r="F626" t="str">
            <v>November</v>
          </cell>
        </row>
        <row r="627">
          <cell r="E627">
            <v>1152.3499999999999</v>
          </cell>
          <cell r="F627" t="str">
            <v>November</v>
          </cell>
        </row>
        <row r="628">
          <cell r="E628">
            <v>515.34</v>
          </cell>
          <cell r="F628" t="str">
            <v>July</v>
          </cell>
        </row>
        <row r="629">
          <cell r="E629">
            <v>1359.06</v>
          </cell>
          <cell r="F629" t="str">
            <v>July</v>
          </cell>
        </row>
        <row r="630">
          <cell r="E630">
            <v>64.040000000000006</v>
          </cell>
          <cell r="F630" t="str">
            <v>May</v>
          </cell>
        </row>
        <row r="631">
          <cell r="E631">
            <v>81.67</v>
          </cell>
          <cell r="F631" t="str">
            <v>October</v>
          </cell>
        </row>
        <row r="632">
          <cell r="E632">
            <v>792.85</v>
          </cell>
          <cell r="F632" t="str">
            <v>December</v>
          </cell>
        </row>
        <row r="633">
          <cell r="E633">
            <v>150.52000000000001</v>
          </cell>
          <cell r="F633" t="str">
            <v>May</v>
          </cell>
        </row>
        <row r="634">
          <cell r="E634">
            <v>399.98</v>
          </cell>
          <cell r="F634" t="str">
            <v>October</v>
          </cell>
        </row>
        <row r="635">
          <cell r="E635">
            <v>436.31</v>
          </cell>
          <cell r="F635" t="str">
            <v>July</v>
          </cell>
        </row>
        <row r="636">
          <cell r="E636">
            <v>46.32</v>
          </cell>
          <cell r="F636" t="str">
            <v>April</v>
          </cell>
        </row>
        <row r="637">
          <cell r="E637">
            <v>91.73</v>
          </cell>
          <cell r="F637" t="str">
            <v>March</v>
          </cell>
        </row>
        <row r="638">
          <cell r="E638">
            <v>126.4</v>
          </cell>
          <cell r="F638" t="str">
            <v>January</v>
          </cell>
        </row>
        <row r="639">
          <cell r="E639">
            <v>672.13</v>
          </cell>
          <cell r="F639" t="str">
            <v>November</v>
          </cell>
        </row>
        <row r="640">
          <cell r="E640">
            <v>608.46</v>
          </cell>
          <cell r="F640" t="str">
            <v>March</v>
          </cell>
        </row>
        <row r="641">
          <cell r="E641">
            <v>120.75</v>
          </cell>
          <cell r="F641" t="str">
            <v>January</v>
          </cell>
        </row>
        <row r="642">
          <cell r="E642">
            <v>221.47</v>
          </cell>
          <cell r="F642" t="str">
            <v>December</v>
          </cell>
        </row>
        <row r="643">
          <cell r="E643">
            <v>145.65</v>
          </cell>
          <cell r="F643" t="str">
            <v>December</v>
          </cell>
        </row>
        <row r="644">
          <cell r="E644">
            <v>1169.8800000000001</v>
          </cell>
          <cell r="F644" t="str">
            <v>June</v>
          </cell>
        </row>
        <row r="645">
          <cell r="E645">
            <v>1065.04</v>
          </cell>
          <cell r="F645" t="str">
            <v>November</v>
          </cell>
        </row>
        <row r="646">
          <cell r="E646">
            <v>149.80000000000001</v>
          </cell>
          <cell r="F646" t="str">
            <v>April</v>
          </cell>
        </row>
        <row r="647">
          <cell r="E647">
            <v>132.06</v>
          </cell>
          <cell r="F647" t="str">
            <v>June</v>
          </cell>
        </row>
        <row r="648">
          <cell r="E648">
            <v>1136.26</v>
          </cell>
          <cell r="F648" t="str">
            <v>June</v>
          </cell>
        </row>
        <row r="649">
          <cell r="E649">
            <v>330.64</v>
          </cell>
          <cell r="F649" t="str">
            <v>June</v>
          </cell>
        </row>
        <row r="650">
          <cell r="E650">
            <v>914.3</v>
          </cell>
          <cell r="F650" t="str">
            <v>September</v>
          </cell>
        </row>
        <row r="651">
          <cell r="E651">
            <v>143.85</v>
          </cell>
          <cell r="F651" t="str">
            <v>July</v>
          </cell>
        </row>
        <row r="652">
          <cell r="E652">
            <v>241.01</v>
          </cell>
          <cell r="F652" t="str">
            <v>April</v>
          </cell>
        </row>
        <row r="653">
          <cell r="E653">
            <v>112.71</v>
          </cell>
          <cell r="F653" t="str">
            <v>September</v>
          </cell>
        </row>
        <row r="654">
          <cell r="E654">
            <v>228.23</v>
          </cell>
          <cell r="F654" t="str">
            <v>August</v>
          </cell>
        </row>
        <row r="655">
          <cell r="E655">
            <v>206.49</v>
          </cell>
          <cell r="F655" t="str">
            <v>December</v>
          </cell>
        </row>
        <row r="656">
          <cell r="E656">
            <v>282.33</v>
          </cell>
          <cell r="F656" t="str">
            <v>May</v>
          </cell>
        </row>
        <row r="657">
          <cell r="E657">
            <v>140.49</v>
          </cell>
          <cell r="F657" t="str">
            <v>March</v>
          </cell>
        </row>
        <row r="658">
          <cell r="E658">
            <v>251.19</v>
          </cell>
          <cell r="F658" t="str">
            <v>April</v>
          </cell>
        </row>
        <row r="659">
          <cell r="E659">
            <v>339.82</v>
          </cell>
          <cell r="F659" t="str">
            <v>November</v>
          </cell>
        </row>
        <row r="660">
          <cell r="E660">
            <v>291.39999999999998</v>
          </cell>
          <cell r="F660" t="str">
            <v>October</v>
          </cell>
        </row>
        <row r="661">
          <cell r="E661">
            <v>111.34</v>
          </cell>
          <cell r="F661" t="str">
            <v>February</v>
          </cell>
        </row>
        <row r="662">
          <cell r="E662">
            <v>535.02</v>
          </cell>
          <cell r="F662" t="str">
            <v>September</v>
          </cell>
        </row>
        <row r="663">
          <cell r="E663">
            <v>103.57</v>
          </cell>
          <cell r="F663" t="str">
            <v>August</v>
          </cell>
        </row>
        <row r="664">
          <cell r="E664">
            <v>286.05</v>
          </cell>
          <cell r="F664" t="str">
            <v>September</v>
          </cell>
        </row>
        <row r="665">
          <cell r="E665">
            <v>418.22</v>
          </cell>
          <cell r="F665" t="str">
            <v>June</v>
          </cell>
        </row>
        <row r="666">
          <cell r="E666">
            <v>1015.62</v>
          </cell>
          <cell r="F666" t="str">
            <v>October</v>
          </cell>
        </row>
        <row r="667">
          <cell r="E667">
            <v>132.09</v>
          </cell>
          <cell r="F667" t="str">
            <v>February</v>
          </cell>
        </row>
        <row r="668">
          <cell r="E668">
            <v>61.28</v>
          </cell>
          <cell r="F668" t="str">
            <v>June</v>
          </cell>
        </row>
        <row r="669">
          <cell r="E669">
            <v>1119.33</v>
          </cell>
          <cell r="F669" t="str">
            <v>January</v>
          </cell>
        </row>
        <row r="670">
          <cell r="E670">
            <v>196.8</v>
          </cell>
          <cell r="F670" t="str">
            <v>April</v>
          </cell>
        </row>
        <row r="671">
          <cell r="E671">
            <v>125.02</v>
          </cell>
          <cell r="F671" t="str">
            <v>December</v>
          </cell>
        </row>
        <row r="672">
          <cell r="E672">
            <v>129.24</v>
          </cell>
          <cell r="F672" t="str">
            <v>June</v>
          </cell>
        </row>
        <row r="673">
          <cell r="E673">
            <v>876.29</v>
          </cell>
          <cell r="F673" t="str">
            <v>August</v>
          </cell>
        </row>
        <row r="674">
          <cell r="E674">
            <v>106.22</v>
          </cell>
          <cell r="F674" t="str">
            <v>July</v>
          </cell>
        </row>
        <row r="675">
          <cell r="E675">
            <v>105.49</v>
          </cell>
          <cell r="F675" t="str">
            <v>March</v>
          </cell>
        </row>
        <row r="676">
          <cell r="E676">
            <v>978.39</v>
          </cell>
          <cell r="F676" t="str">
            <v>April</v>
          </cell>
        </row>
        <row r="677">
          <cell r="E677">
            <v>813.03</v>
          </cell>
          <cell r="F677" t="str">
            <v>February</v>
          </cell>
        </row>
        <row r="678">
          <cell r="E678">
            <v>305.68</v>
          </cell>
          <cell r="F678" t="str">
            <v>June</v>
          </cell>
        </row>
        <row r="679">
          <cell r="E679">
            <v>1047.04</v>
          </cell>
          <cell r="F679" t="str">
            <v>March</v>
          </cell>
        </row>
        <row r="680">
          <cell r="E680">
            <v>207.46</v>
          </cell>
          <cell r="F680" t="str">
            <v>November</v>
          </cell>
        </row>
        <row r="681">
          <cell r="E681">
            <v>72.73</v>
          </cell>
          <cell r="F681" t="str">
            <v>August</v>
          </cell>
        </row>
        <row r="682">
          <cell r="E682">
            <v>619.4</v>
          </cell>
          <cell r="F682" t="str">
            <v>November</v>
          </cell>
        </row>
        <row r="683">
          <cell r="E683">
            <v>554.73</v>
          </cell>
          <cell r="F683" t="str">
            <v>July</v>
          </cell>
        </row>
        <row r="684">
          <cell r="E684">
            <v>663.97</v>
          </cell>
          <cell r="F684" t="str">
            <v>June</v>
          </cell>
        </row>
        <row r="685">
          <cell r="E685">
            <v>218.89</v>
          </cell>
          <cell r="F685" t="str">
            <v>December</v>
          </cell>
        </row>
        <row r="686">
          <cell r="E686">
            <v>185.56</v>
          </cell>
          <cell r="F686" t="str">
            <v>March</v>
          </cell>
        </row>
        <row r="687">
          <cell r="E687">
            <v>92.14</v>
          </cell>
          <cell r="F687" t="str">
            <v>December</v>
          </cell>
        </row>
        <row r="688">
          <cell r="E688">
            <v>129.19999999999999</v>
          </cell>
          <cell r="F688" t="str">
            <v>April</v>
          </cell>
        </row>
        <row r="689">
          <cell r="E689">
            <v>334.31</v>
          </cell>
          <cell r="F689" t="str">
            <v>October</v>
          </cell>
        </row>
        <row r="690">
          <cell r="E690">
            <v>991.07</v>
          </cell>
          <cell r="F690" t="str">
            <v>November</v>
          </cell>
        </row>
        <row r="691">
          <cell r="E691">
            <v>228.57</v>
          </cell>
          <cell r="F691" t="str">
            <v>June</v>
          </cell>
        </row>
        <row r="692">
          <cell r="E692">
            <v>110.57</v>
          </cell>
          <cell r="F692" t="str">
            <v>April</v>
          </cell>
        </row>
        <row r="693">
          <cell r="E693">
            <v>755.7</v>
          </cell>
          <cell r="F693" t="str">
            <v>June</v>
          </cell>
        </row>
        <row r="694">
          <cell r="E694">
            <v>956.77</v>
          </cell>
          <cell r="F694" t="str">
            <v>November</v>
          </cell>
        </row>
        <row r="695">
          <cell r="E695">
            <v>116.13</v>
          </cell>
          <cell r="F695" t="str">
            <v>April</v>
          </cell>
        </row>
        <row r="696">
          <cell r="E696">
            <v>195.16</v>
          </cell>
          <cell r="F696" t="str">
            <v>March</v>
          </cell>
        </row>
        <row r="697">
          <cell r="E697">
            <v>217.66</v>
          </cell>
          <cell r="F697" t="str">
            <v>October</v>
          </cell>
        </row>
        <row r="698">
          <cell r="E698">
            <v>585.86</v>
          </cell>
          <cell r="F698" t="str">
            <v>January</v>
          </cell>
        </row>
        <row r="699">
          <cell r="E699">
            <v>1178.68</v>
          </cell>
          <cell r="F699" t="str">
            <v>June</v>
          </cell>
        </row>
        <row r="700">
          <cell r="E700">
            <v>229.74</v>
          </cell>
          <cell r="F700" t="str">
            <v>November</v>
          </cell>
        </row>
        <row r="701">
          <cell r="E701">
            <v>134.29</v>
          </cell>
          <cell r="F701" t="str">
            <v>March</v>
          </cell>
        </row>
        <row r="702">
          <cell r="E702">
            <v>999.98</v>
          </cell>
          <cell r="F702" t="str">
            <v>November</v>
          </cell>
        </row>
        <row r="703">
          <cell r="E703">
            <v>868.04</v>
          </cell>
          <cell r="F703" t="str">
            <v>June</v>
          </cell>
        </row>
        <row r="704">
          <cell r="E704">
            <v>834.83</v>
          </cell>
          <cell r="F704" t="str">
            <v>August</v>
          </cell>
        </row>
        <row r="705">
          <cell r="E705">
            <v>53.38</v>
          </cell>
          <cell r="F705" t="str">
            <v>September</v>
          </cell>
        </row>
        <row r="706">
          <cell r="E706">
            <v>829.06</v>
          </cell>
          <cell r="F706" t="str">
            <v>August</v>
          </cell>
        </row>
        <row r="707">
          <cell r="E707">
            <v>58.93</v>
          </cell>
          <cell r="F707" t="str">
            <v>May</v>
          </cell>
        </row>
        <row r="708">
          <cell r="E708">
            <v>154.41999999999999</v>
          </cell>
          <cell r="F708" t="str">
            <v>September</v>
          </cell>
        </row>
        <row r="709">
          <cell r="E709">
            <v>73.81</v>
          </cell>
          <cell r="F709" t="str">
            <v>October</v>
          </cell>
        </row>
        <row r="710">
          <cell r="E710">
            <v>82.45</v>
          </cell>
          <cell r="F710" t="str">
            <v>April</v>
          </cell>
        </row>
        <row r="711">
          <cell r="E711">
            <v>951.1</v>
          </cell>
          <cell r="F711" t="str">
            <v>November</v>
          </cell>
        </row>
        <row r="712">
          <cell r="E712">
            <v>832.63</v>
          </cell>
          <cell r="F712" t="str">
            <v>March</v>
          </cell>
        </row>
        <row r="713">
          <cell r="E713">
            <v>921.15</v>
          </cell>
          <cell r="F713" t="str">
            <v>May</v>
          </cell>
        </row>
        <row r="714">
          <cell r="E714">
            <v>1359.63</v>
          </cell>
          <cell r="F714" t="str">
            <v>June</v>
          </cell>
        </row>
        <row r="715">
          <cell r="E715">
            <v>40.57</v>
          </cell>
          <cell r="F715" t="str">
            <v>May</v>
          </cell>
        </row>
        <row r="716">
          <cell r="E716">
            <v>363.92</v>
          </cell>
          <cell r="F716" t="str">
            <v>February</v>
          </cell>
        </row>
        <row r="717">
          <cell r="E717">
            <v>355.41</v>
          </cell>
          <cell r="F717" t="str">
            <v>January</v>
          </cell>
        </row>
        <row r="718">
          <cell r="E718">
            <v>64.61</v>
          </cell>
          <cell r="F718" t="str">
            <v>June</v>
          </cell>
        </row>
        <row r="719">
          <cell r="E719">
            <v>221.14</v>
          </cell>
          <cell r="F719" t="str">
            <v>October</v>
          </cell>
        </row>
        <row r="720">
          <cell r="E720">
            <v>225.36</v>
          </cell>
          <cell r="F720" t="str">
            <v>February</v>
          </cell>
        </row>
        <row r="721">
          <cell r="E721">
            <v>162.62</v>
          </cell>
          <cell r="F721" t="str">
            <v>November</v>
          </cell>
        </row>
        <row r="722">
          <cell r="E722">
            <v>174.32</v>
          </cell>
          <cell r="F722" t="str">
            <v>January</v>
          </cell>
        </row>
        <row r="723">
          <cell r="E723">
            <v>798.49</v>
          </cell>
          <cell r="F723" t="str">
            <v>February</v>
          </cell>
        </row>
        <row r="724">
          <cell r="E724">
            <v>131.93</v>
          </cell>
          <cell r="F724" t="str">
            <v>May</v>
          </cell>
        </row>
        <row r="725">
          <cell r="E725">
            <v>325.55</v>
          </cell>
          <cell r="F725" t="str">
            <v>June</v>
          </cell>
        </row>
        <row r="726">
          <cell r="E726">
            <v>868.32</v>
          </cell>
          <cell r="F726" t="str">
            <v>May</v>
          </cell>
        </row>
        <row r="727">
          <cell r="E727">
            <v>123.79</v>
          </cell>
          <cell r="F727" t="str">
            <v>December</v>
          </cell>
        </row>
        <row r="728">
          <cell r="E728">
            <v>55.43</v>
          </cell>
          <cell r="F728" t="str">
            <v>October</v>
          </cell>
        </row>
        <row r="729">
          <cell r="E729">
            <v>130.13</v>
          </cell>
          <cell r="F729" t="str">
            <v>August</v>
          </cell>
        </row>
        <row r="730">
          <cell r="E730">
            <v>120.96</v>
          </cell>
          <cell r="F730" t="str">
            <v>June</v>
          </cell>
        </row>
        <row r="731">
          <cell r="E731">
            <v>127.92</v>
          </cell>
          <cell r="F731" t="str">
            <v>April</v>
          </cell>
        </row>
        <row r="732">
          <cell r="E732">
            <v>161.54</v>
          </cell>
          <cell r="F732" t="str">
            <v>April</v>
          </cell>
        </row>
        <row r="733">
          <cell r="E733">
            <v>216.12</v>
          </cell>
          <cell r="F733" t="str">
            <v>September</v>
          </cell>
        </row>
        <row r="734">
          <cell r="E734">
            <v>148.09</v>
          </cell>
          <cell r="F734" t="str">
            <v>May</v>
          </cell>
        </row>
        <row r="735">
          <cell r="E735">
            <v>257.62</v>
          </cell>
          <cell r="F735" t="str">
            <v>December</v>
          </cell>
        </row>
        <row r="736">
          <cell r="E736">
            <v>345.47</v>
          </cell>
          <cell r="F736" t="str">
            <v>January</v>
          </cell>
        </row>
        <row r="737">
          <cell r="E737">
            <v>853.04</v>
          </cell>
          <cell r="F737" t="str">
            <v>June</v>
          </cell>
        </row>
        <row r="738">
          <cell r="E738">
            <v>67.89</v>
          </cell>
          <cell r="F738" t="str">
            <v>December</v>
          </cell>
        </row>
        <row r="739">
          <cell r="E739">
            <v>119.86</v>
          </cell>
          <cell r="F739" t="str">
            <v>April</v>
          </cell>
        </row>
        <row r="740">
          <cell r="E740">
            <v>93.44</v>
          </cell>
          <cell r="F740" t="str">
            <v>August</v>
          </cell>
        </row>
        <row r="741">
          <cell r="E741">
            <v>37.25</v>
          </cell>
          <cell r="F741" t="str">
            <v>October</v>
          </cell>
        </row>
        <row r="742">
          <cell r="E742">
            <v>74.400000000000006</v>
          </cell>
          <cell r="F742" t="str">
            <v>January</v>
          </cell>
        </row>
        <row r="743">
          <cell r="E743">
            <v>221</v>
          </cell>
          <cell r="F743" t="str">
            <v>January</v>
          </cell>
        </row>
        <row r="744">
          <cell r="E744">
            <v>36.89</v>
          </cell>
          <cell r="F744" t="str">
            <v>April</v>
          </cell>
        </row>
        <row r="745">
          <cell r="E745">
            <v>114.13</v>
          </cell>
          <cell r="F745" t="str">
            <v>February</v>
          </cell>
        </row>
        <row r="746">
          <cell r="E746">
            <v>883.43</v>
          </cell>
          <cell r="F746" t="str">
            <v>December</v>
          </cell>
        </row>
        <row r="747">
          <cell r="E747">
            <v>277.88</v>
          </cell>
          <cell r="F747" t="str">
            <v>June</v>
          </cell>
        </row>
        <row r="748">
          <cell r="E748">
            <v>367.03</v>
          </cell>
          <cell r="F748" t="str">
            <v>October</v>
          </cell>
        </row>
        <row r="749">
          <cell r="E749">
            <v>293.89999999999998</v>
          </cell>
          <cell r="F749" t="str">
            <v>January</v>
          </cell>
        </row>
        <row r="750">
          <cell r="E750">
            <v>222.11</v>
          </cell>
          <cell r="F750" t="str">
            <v>September</v>
          </cell>
        </row>
        <row r="751">
          <cell r="E751">
            <v>236.08</v>
          </cell>
          <cell r="F751" t="str">
            <v>January</v>
          </cell>
        </row>
        <row r="752">
          <cell r="E752">
            <v>129.88999999999999</v>
          </cell>
          <cell r="F752" t="str">
            <v>February</v>
          </cell>
        </row>
        <row r="753">
          <cell r="E753">
            <v>255.05</v>
          </cell>
          <cell r="F753" t="str">
            <v>May</v>
          </cell>
        </row>
        <row r="754">
          <cell r="E754">
            <v>129.84</v>
          </cell>
          <cell r="F754" t="str">
            <v>May</v>
          </cell>
        </row>
        <row r="755">
          <cell r="E755">
            <v>144.54</v>
          </cell>
          <cell r="F755" t="str">
            <v>April</v>
          </cell>
        </row>
        <row r="756">
          <cell r="E756">
            <v>113.03</v>
          </cell>
          <cell r="F756" t="str">
            <v>December</v>
          </cell>
        </row>
        <row r="757">
          <cell r="E757">
            <v>515.49</v>
          </cell>
          <cell r="F757" t="str">
            <v>January</v>
          </cell>
        </row>
        <row r="758">
          <cell r="E758">
            <v>349.01</v>
          </cell>
          <cell r="F758" t="str">
            <v>February</v>
          </cell>
        </row>
        <row r="759">
          <cell r="E759">
            <v>226.12</v>
          </cell>
          <cell r="F759" t="str">
            <v>June</v>
          </cell>
        </row>
        <row r="760">
          <cell r="E760">
            <v>270.45</v>
          </cell>
          <cell r="F760" t="str">
            <v>July</v>
          </cell>
        </row>
        <row r="761">
          <cell r="E761">
            <v>197.31</v>
          </cell>
          <cell r="F761" t="str">
            <v>January</v>
          </cell>
        </row>
        <row r="762">
          <cell r="E762">
            <v>907.25</v>
          </cell>
          <cell r="F762" t="str">
            <v>November</v>
          </cell>
        </row>
        <row r="763">
          <cell r="E763">
            <v>215.45</v>
          </cell>
          <cell r="F763" t="str">
            <v>June</v>
          </cell>
        </row>
        <row r="764">
          <cell r="E764">
            <v>793.31</v>
          </cell>
          <cell r="F764" t="str">
            <v>November</v>
          </cell>
        </row>
        <row r="765">
          <cell r="E765">
            <v>42.26</v>
          </cell>
          <cell r="F765" t="str">
            <v>December</v>
          </cell>
        </row>
        <row r="766">
          <cell r="E766">
            <v>1304.8599999999999</v>
          </cell>
          <cell r="F766" t="str">
            <v>August</v>
          </cell>
        </row>
        <row r="767">
          <cell r="E767">
            <v>223.89</v>
          </cell>
          <cell r="F767" t="str">
            <v>October</v>
          </cell>
        </row>
        <row r="768">
          <cell r="E768">
            <v>37.06</v>
          </cell>
          <cell r="F768" t="str">
            <v>September</v>
          </cell>
        </row>
        <row r="769">
          <cell r="E769">
            <v>1006.84</v>
          </cell>
          <cell r="F769" t="str">
            <v>April</v>
          </cell>
        </row>
        <row r="770">
          <cell r="E770">
            <v>236.84</v>
          </cell>
          <cell r="F770" t="str">
            <v>August</v>
          </cell>
        </row>
        <row r="771">
          <cell r="E771">
            <v>105.97</v>
          </cell>
          <cell r="F771" t="str">
            <v>November</v>
          </cell>
        </row>
        <row r="772">
          <cell r="E772">
            <v>151.78</v>
          </cell>
          <cell r="F772" t="str">
            <v>December</v>
          </cell>
        </row>
        <row r="773">
          <cell r="E773">
            <v>122.12</v>
          </cell>
          <cell r="F773" t="str">
            <v>November</v>
          </cell>
        </row>
        <row r="774">
          <cell r="E774">
            <v>105.27</v>
          </cell>
          <cell r="F774" t="str">
            <v>June</v>
          </cell>
        </row>
        <row r="775">
          <cell r="E775">
            <v>274.98</v>
          </cell>
          <cell r="F775" t="str">
            <v>July</v>
          </cell>
        </row>
        <row r="776">
          <cell r="E776">
            <v>202.35</v>
          </cell>
          <cell r="F776" t="str">
            <v>June</v>
          </cell>
        </row>
        <row r="777">
          <cell r="E777">
            <v>934.15</v>
          </cell>
          <cell r="F777" t="str">
            <v>July</v>
          </cell>
        </row>
        <row r="778">
          <cell r="E778">
            <v>865.01</v>
          </cell>
          <cell r="F778" t="str">
            <v>March</v>
          </cell>
        </row>
        <row r="779">
          <cell r="E779">
            <v>126.51</v>
          </cell>
          <cell r="F779" t="str">
            <v>July</v>
          </cell>
        </row>
        <row r="780">
          <cell r="E780">
            <v>856.6</v>
          </cell>
          <cell r="F780" t="str">
            <v>June</v>
          </cell>
        </row>
        <row r="781">
          <cell r="E781">
            <v>143.66</v>
          </cell>
          <cell r="F781" t="str">
            <v>September</v>
          </cell>
        </row>
        <row r="782">
          <cell r="E782">
            <v>234.31</v>
          </cell>
          <cell r="F782" t="str">
            <v>June</v>
          </cell>
        </row>
        <row r="783">
          <cell r="E783">
            <v>974.62</v>
          </cell>
          <cell r="F783" t="str">
            <v>March</v>
          </cell>
        </row>
        <row r="784">
          <cell r="E784">
            <v>102.87</v>
          </cell>
          <cell r="F784" t="str">
            <v>July</v>
          </cell>
        </row>
        <row r="785">
          <cell r="E785">
            <v>1017.77</v>
          </cell>
          <cell r="F785" t="str">
            <v>October</v>
          </cell>
        </row>
        <row r="786">
          <cell r="E786">
            <v>112.13</v>
          </cell>
          <cell r="F786" t="str">
            <v>November</v>
          </cell>
        </row>
        <row r="787">
          <cell r="E787">
            <v>131.96</v>
          </cell>
          <cell r="F787" t="str">
            <v>June</v>
          </cell>
        </row>
        <row r="788">
          <cell r="E788">
            <v>251.71</v>
          </cell>
          <cell r="F788" t="str">
            <v>July</v>
          </cell>
        </row>
        <row r="789">
          <cell r="E789">
            <v>91.14</v>
          </cell>
          <cell r="F789" t="str">
            <v>April</v>
          </cell>
        </row>
        <row r="790">
          <cell r="E790">
            <v>684.9</v>
          </cell>
          <cell r="F790" t="str">
            <v>August</v>
          </cell>
        </row>
        <row r="791">
          <cell r="E791">
            <v>121.44</v>
          </cell>
          <cell r="F791" t="str">
            <v>December</v>
          </cell>
        </row>
        <row r="792">
          <cell r="E792">
            <v>221.05</v>
          </cell>
          <cell r="F792" t="str">
            <v>December</v>
          </cell>
        </row>
        <row r="793">
          <cell r="E793">
            <v>843.19</v>
          </cell>
          <cell r="F793" t="str">
            <v>July</v>
          </cell>
        </row>
        <row r="794">
          <cell r="E794">
            <v>83.99</v>
          </cell>
          <cell r="F794" t="str">
            <v>January</v>
          </cell>
        </row>
        <row r="795">
          <cell r="E795">
            <v>827.79</v>
          </cell>
          <cell r="F795" t="str">
            <v>April</v>
          </cell>
        </row>
        <row r="796">
          <cell r="E796">
            <v>850.96</v>
          </cell>
          <cell r="F796" t="str">
            <v>March</v>
          </cell>
        </row>
        <row r="797">
          <cell r="E797">
            <v>104.91</v>
          </cell>
          <cell r="F797" t="str">
            <v>May</v>
          </cell>
        </row>
        <row r="798">
          <cell r="E798">
            <v>137.15</v>
          </cell>
          <cell r="F798" t="str">
            <v>February</v>
          </cell>
        </row>
        <row r="799">
          <cell r="E799">
            <v>109.16</v>
          </cell>
          <cell r="F799" t="str">
            <v>September</v>
          </cell>
        </row>
        <row r="800">
          <cell r="E800">
            <v>695.33</v>
          </cell>
          <cell r="F800" t="str">
            <v>October</v>
          </cell>
        </row>
        <row r="801">
          <cell r="E801">
            <v>180.44</v>
          </cell>
          <cell r="F801" t="str">
            <v>September</v>
          </cell>
        </row>
        <row r="802">
          <cell r="E802">
            <v>274.79000000000002</v>
          </cell>
          <cell r="F802" t="str">
            <v>May</v>
          </cell>
        </row>
        <row r="803">
          <cell r="E803">
            <v>218.63</v>
          </cell>
          <cell r="F803" t="str">
            <v>June</v>
          </cell>
        </row>
        <row r="804">
          <cell r="E804">
            <v>118.51</v>
          </cell>
          <cell r="F804" t="str">
            <v>April</v>
          </cell>
        </row>
        <row r="805">
          <cell r="E805">
            <v>899.59</v>
          </cell>
          <cell r="F805" t="str">
            <v>October</v>
          </cell>
        </row>
        <row r="806">
          <cell r="E806">
            <v>126.44</v>
          </cell>
          <cell r="F806" t="str">
            <v>June</v>
          </cell>
        </row>
        <row r="807">
          <cell r="E807">
            <v>238.99</v>
          </cell>
          <cell r="F807" t="str">
            <v>January</v>
          </cell>
        </row>
        <row r="808">
          <cell r="E808">
            <v>316.85000000000002</v>
          </cell>
          <cell r="F808" t="str">
            <v>October</v>
          </cell>
        </row>
        <row r="809">
          <cell r="E809">
            <v>620.44000000000005</v>
          </cell>
          <cell r="F809" t="str">
            <v>December</v>
          </cell>
        </row>
        <row r="810">
          <cell r="E810">
            <v>494.87</v>
          </cell>
          <cell r="F810" t="str">
            <v>April</v>
          </cell>
        </row>
        <row r="811">
          <cell r="E811">
            <v>975.55</v>
          </cell>
          <cell r="F811" t="str">
            <v>September</v>
          </cell>
        </row>
        <row r="812">
          <cell r="E812">
            <v>57.41</v>
          </cell>
          <cell r="F812" t="str">
            <v>September</v>
          </cell>
        </row>
        <row r="813">
          <cell r="E813">
            <v>134.38999999999999</v>
          </cell>
          <cell r="F813" t="str">
            <v>January</v>
          </cell>
        </row>
        <row r="814">
          <cell r="E814">
            <v>77.34</v>
          </cell>
          <cell r="F814" t="str">
            <v>September</v>
          </cell>
        </row>
        <row r="815">
          <cell r="E815">
            <v>75.44</v>
          </cell>
          <cell r="F815" t="str">
            <v>June</v>
          </cell>
        </row>
        <row r="816">
          <cell r="E816">
            <v>125.39</v>
          </cell>
          <cell r="F816" t="str">
            <v>August</v>
          </cell>
        </row>
        <row r="817">
          <cell r="E817">
            <v>221.82</v>
          </cell>
          <cell r="F817" t="str">
            <v>December</v>
          </cell>
        </row>
        <row r="818">
          <cell r="E818">
            <v>228.73</v>
          </cell>
          <cell r="F818" t="str">
            <v>January</v>
          </cell>
        </row>
        <row r="819">
          <cell r="E819">
            <v>137.97</v>
          </cell>
          <cell r="F819" t="str">
            <v>December</v>
          </cell>
        </row>
        <row r="820">
          <cell r="E820">
            <v>850.04</v>
          </cell>
          <cell r="F820" t="str">
            <v>April</v>
          </cell>
        </row>
        <row r="821">
          <cell r="E821">
            <v>225.74</v>
          </cell>
          <cell r="F821" t="str">
            <v>August</v>
          </cell>
        </row>
        <row r="822">
          <cell r="E822">
            <v>943.09</v>
          </cell>
          <cell r="F822" t="str">
            <v>October</v>
          </cell>
        </row>
        <row r="823">
          <cell r="E823">
            <v>39.020000000000003</v>
          </cell>
          <cell r="F823" t="str">
            <v>October</v>
          </cell>
        </row>
        <row r="824">
          <cell r="E824">
            <v>857.35</v>
          </cell>
          <cell r="F824" t="str">
            <v>January</v>
          </cell>
        </row>
        <row r="825">
          <cell r="E825">
            <v>211.65</v>
          </cell>
          <cell r="F825" t="str">
            <v>May</v>
          </cell>
        </row>
        <row r="826">
          <cell r="E826">
            <v>38.86</v>
          </cell>
          <cell r="F826" t="str">
            <v>September</v>
          </cell>
        </row>
        <row r="827">
          <cell r="E827">
            <v>39.01</v>
          </cell>
          <cell r="F827" t="str">
            <v>December</v>
          </cell>
        </row>
        <row r="828">
          <cell r="E828">
            <v>183.83</v>
          </cell>
          <cell r="F828" t="str">
            <v>October</v>
          </cell>
        </row>
        <row r="829">
          <cell r="E829">
            <v>66.290000000000006</v>
          </cell>
          <cell r="F829" t="str">
            <v>October</v>
          </cell>
        </row>
        <row r="830">
          <cell r="E830">
            <v>117</v>
          </cell>
          <cell r="F830" t="str">
            <v>October</v>
          </cell>
        </row>
        <row r="831">
          <cell r="E831">
            <v>233.49</v>
          </cell>
          <cell r="F831" t="str">
            <v>December</v>
          </cell>
        </row>
        <row r="832">
          <cell r="E832">
            <v>114.95</v>
          </cell>
          <cell r="F832" t="str">
            <v>May</v>
          </cell>
        </row>
        <row r="833">
          <cell r="E833">
            <v>189.75</v>
          </cell>
          <cell r="F833" t="str">
            <v>November</v>
          </cell>
        </row>
        <row r="834">
          <cell r="E834">
            <v>973.35</v>
          </cell>
          <cell r="F834" t="str">
            <v>December</v>
          </cell>
        </row>
        <row r="835">
          <cell r="E835">
            <v>110.28</v>
          </cell>
          <cell r="F835" t="str">
            <v>March</v>
          </cell>
        </row>
        <row r="836">
          <cell r="E836">
            <v>865.41</v>
          </cell>
          <cell r="F836" t="str">
            <v>September</v>
          </cell>
        </row>
        <row r="837">
          <cell r="E837">
            <v>96.22</v>
          </cell>
          <cell r="F837" t="str">
            <v>June</v>
          </cell>
        </row>
        <row r="838">
          <cell r="E838">
            <v>627.49</v>
          </cell>
          <cell r="F838" t="str">
            <v>January</v>
          </cell>
        </row>
        <row r="839">
          <cell r="E839">
            <v>142.05000000000001</v>
          </cell>
          <cell r="F839" t="str">
            <v>November</v>
          </cell>
        </row>
        <row r="840">
          <cell r="E840">
            <v>795.19</v>
          </cell>
          <cell r="F840" t="str">
            <v>April</v>
          </cell>
        </row>
        <row r="841">
          <cell r="E841">
            <v>138.27000000000001</v>
          </cell>
          <cell r="F841" t="str">
            <v>April</v>
          </cell>
        </row>
        <row r="842">
          <cell r="E842">
            <v>125.28</v>
          </cell>
          <cell r="F842" t="str">
            <v>November</v>
          </cell>
        </row>
        <row r="843">
          <cell r="E843">
            <v>64.069999999999993</v>
          </cell>
          <cell r="F843" t="str">
            <v>December</v>
          </cell>
        </row>
        <row r="844">
          <cell r="E844">
            <v>1271.27</v>
          </cell>
          <cell r="F844" t="str">
            <v>December</v>
          </cell>
        </row>
        <row r="845">
          <cell r="E845">
            <v>44.41</v>
          </cell>
          <cell r="F845" t="str">
            <v>July</v>
          </cell>
        </row>
        <row r="846">
          <cell r="E846">
            <v>751.87</v>
          </cell>
          <cell r="F846" t="str">
            <v>December</v>
          </cell>
        </row>
        <row r="847">
          <cell r="E847">
            <v>128.87</v>
          </cell>
          <cell r="F847" t="str">
            <v>April</v>
          </cell>
        </row>
        <row r="848">
          <cell r="E848">
            <v>244.94</v>
          </cell>
          <cell r="F848" t="str">
            <v>November</v>
          </cell>
        </row>
        <row r="849">
          <cell r="E849">
            <v>314.41000000000003</v>
          </cell>
          <cell r="F849" t="str">
            <v>December</v>
          </cell>
        </row>
        <row r="850">
          <cell r="E850">
            <v>370.07</v>
          </cell>
          <cell r="F850" t="str">
            <v>March</v>
          </cell>
        </row>
        <row r="851">
          <cell r="E851">
            <v>206</v>
          </cell>
          <cell r="F851" t="str">
            <v>February</v>
          </cell>
        </row>
        <row r="852">
          <cell r="E852">
            <v>571.30999999999995</v>
          </cell>
          <cell r="F852" t="str">
            <v>January</v>
          </cell>
        </row>
        <row r="853">
          <cell r="E853">
            <v>126.45</v>
          </cell>
          <cell r="F853" t="str">
            <v>July</v>
          </cell>
        </row>
        <row r="854">
          <cell r="E854">
            <v>122.57</v>
          </cell>
          <cell r="F854" t="str">
            <v>September</v>
          </cell>
        </row>
        <row r="855">
          <cell r="E855">
            <v>53</v>
          </cell>
          <cell r="F855" t="str">
            <v>September</v>
          </cell>
        </row>
        <row r="856">
          <cell r="E856">
            <v>182.38</v>
          </cell>
          <cell r="F856" t="str">
            <v>August</v>
          </cell>
        </row>
        <row r="857">
          <cell r="E857">
            <v>211.44</v>
          </cell>
          <cell r="F857" t="str">
            <v>November</v>
          </cell>
        </row>
        <row r="858">
          <cell r="E858">
            <v>105.52</v>
          </cell>
          <cell r="F858" t="str">
            <v>May</v>
          </cell>
        </row>
        <row r="859">
          <cell r="E859">
            <v>402.76</v>
          </cell>
          <cell r="F859" t="str">
            <v>April</v>
          </cell>
        </row>
        <row r="860">
          <cell r="E860">
            <v>686.38</v>
          </cell>
          <cell r="F860" t="str">
            <v>August</v>
          </cell>
        </row>
        <row r="861">
          <cell r="E861">
            <v>90.63</v>
          </cell>
          <cell r="F861" t="str">
            <v>September</v>
          </cell>
        </row>
        <row r="862">
          <cell r="E862">
            <v>148.97</v>
          </cell>
          <cell r="F862" t="str">
            <v>December</v>
          </cell>
        </row>
        <row r="863">
          <cell r="E863">
            <v>120.36</v>
          </cell>
          <cell r="F863" t="str">
            <v>November</v>
          </cell>
        </row>
        <row r="864">
          <cell r="E864">
            <v>139.19</v>
          </cell>
          <cell r="F864" t="str">
            <v>August</v>
          </cell>
        </row>
        <row r="865">
          <cell r="E865">
            <v>128.96</v>
          </cell>
          <cell r="F865" t="str">
            <v>December</v>
          </cell>
        </row>
        <row r="866">
          <cell r="E866">
            <v>334.68</v>
          </cell>
          <cell r="F866" t="str">
            <v>November</v>
          </cell>
        </row>
        <row r="867">
          <cell r="E867">
            <v>275.05</v>
          </cell>
          <cell r="F867" t="str">
            <v>July</v>
          </cell>
        </row>
        <row r="868">
          <cell r="E868">
            <v>123.33</v>
          </cell>
          <cell r="F868" t="str">
            <v>December</v>
          </cell>
        </row>
        <row r="869">
          <cell r="E869">
            <v>842.44</v>
          </cell>
          <cell r="F869" t="str">
            <v>July</v>
          </cell>
        </row>
        <row r="870">
          <cell r="E870">
            <v>344.42</v>
          </cell>
          <cell r="F870" t="str">
            <v>January</v>
          </cell>
        </row>
        <row r="871">
          <cell r="E871">
            <v>1304.5999999999999</v>
          </cell>
          <cell r="F871" t="str">
            <v>December</v>
          </cell>
        </row>
        <row r="872">
          <cell r="E872">
            <v>45.5</v>
          </cell>
          <cell r="F872" t="str">
            <v>March</v>
          </cell>
        </row>
        <row r="873">
          <cell r="E873">
            <v>1024.05</v>
          </cell>
          <cell r="F873" t="str">
            <v>September</v>
          </cell>
        </row>
        <row r="874">
          <cell r="E874">
            <v>1000.55</v>
          </cell>
          <cell r="F874" t="str">
            <v>February</v>
          </cell>
        </row>
        <row r="875">
          <cell r="E875">
            <v>87.84</v>
          </cell>
          <cell r="F875" t="str">
            <v>January</v>
          </cell>
        </row>
        <row r="876">
          <cell r="E876">
            <v>196.1</v>
          </cell>
          <cell r="F876" t="str">
            <v>September</v>
          </cell>
        </row>
        <row r="877">
          <cell r="E877">
            <v>64.17</v>
          </cell>
          <cell r="F877" t="str">
            <v>October</v>
          </cell>
        </row>
        <row r="878">
          <cell r="E878">
            <v>787.89</v>
          </cell>
          <cell r="F878" t="str">
            <v>March</v>
          </cell>
        </row>
        <row r="879">
          <cell r="E879">
            <v>238.06</v>
          </cell>
          <cell r="F879" t="str">
            <v>June</v>
          </cell>
        </row>
        <row r="880">
          <cell r="E880">
            <v>177.34</v>
          </cell>
          <cell r="F880" t="str">
            <v>July</v>
          </cell>
        </row>
        <row r="881">
          <cell r="E881">
            <v>61.73</v>
          </cell>
          <cell r="F881" t="str">
            <v>February</v>
          </cell>
        </row>
        <row r="882">
          <cell r="E882">
            <v>84.06</v>
          </cell>
          <cell r="F882" t="str">
            <v>December</v>
          </cell>
        </row>
        <row r="883">
          <cell r="E883">
            <v>191.75</v>
          </cell>
          <cell r="F883" t="str">
            <v>September</v>
          </cell>
        </row>
        <row r="884">
          <cell r="E884">
            <v>43.74</v>
          </cell>
          <cell r="F884" t="str">
            <v>July</v>
          </cell>
        </row>
        <row r="885">
          <cell r="E885">
            <v>122.53</v>
          </cell>
          <cell r="F885" t="str">
            <v>March</v>
          </cell>
        </row>
        <row r="886">
          <cell r="E886">
            <v>1046.5</v>
          </cell>
          <cell r="F886" t="str">
            <v>November</v>
          </cell>
        </row>
        <row r="887">
          <cell r="E887">
            <v>899.01</v>
          </cell>
          <cell r="F887" t="str">
            <v>July</v>
          </cell>
        </row>
        <row r="888">
          <cell r="E888">
            <v>363.83</v>
          </cell>
          <cell r="F888" t="str">
            <v>June</v>
          </cell>
        </row>
        <row r="889">
          <cell r="E889">
            <v>75.209999999999994</v>
          </cell>
          <cell r="F889" t="str">
            <v>May</v>
          </cell>
        </row>
        <row r="890">
          <cell r="E890">
            <v>42.72</v>
          </cell>
          <cell r="F890" t="str">
            <v>May</v>
          </cell>
        </row>
        <row r="891">
          <cell r="E891">
            <v>126.62</v>
          </cell>
          <cell r="F891" t="str">
            <v>November</v>
          </cell>
        </row>
        <row r="892">
          <cell r="E892">
            <v>287.14999999999998</v>
          </cell>
          <cell r="F892" t="str">
            <v>November</v>
          </cell>
        </row>
        <row r="893">
          <cell r="E893">
            <v>68.62</v>
          </cell>
          <cell r="F893" t="str">
            <v>March</v>
          </cell>
        </row>
        <row r="894">
          <cell r="E894">
            <v>985.43</v>
          </cell>
          <cell r="F894" t="str">
            <v>April</v>
          </cell>
        </row>
        <row r="895">
          <cell r="E895">
            <v>513.55999999999995</v>
          </cell>
          <cell r="F895" t="str">
            <v>April</v>
          </cell>
        </row>
        <row r="896">
          <cell r="E896">
            <v>401.97</v>
          </cell>
          <cell r="F896" t="str">
            <v>January</v>
          </cell>
        </row>
        <row r="897">
          <cell r="E897">
            <v>62.21</v>
          </cell>
          <cell r="F897" t="str">
            <v>April</v>
          </cell>
        </row>
        <row r="898">
          <cell r="E898">
            <v>405.87</v>
          </cell>
          <cell r="F898" t="str">
            <v>May</v>
          </cell>
        </row>
        <row r="899">
          <cell r="E899">
            <v>67.59</v>
          </cell>
          <cell r="F899" t="str">
            <v>December</v>
          </cell>
        </row>
        <row r="900">
          <cell r="E900">
            <v>153.09</v>
          </cell>
          <cell r="F900" t="str">
            <v>December</v>
          </cell>
        </row>
        <row r="901">
          <cell r="E901">
            <v>78.83</v>
          </cell>
          <cell r="F901" t="str">
            <v>February</v>
          </cell>
        </row>
        <row r="902">
          <cell r="E902">
            <v>323</v>
          </cell>
          <cell r="F902" t="str">
            <v>May</v>
          </cell>
        </row>
        <row r="903">
          <cell r="E903">
            <v>604.41</v>
          </cell>
          <cell r="F903" t="str">
            <v>January</v>
          </cell>
        </row>
        <row r="904">
          <cell r="E904">
            <v>216.67</v>
          </cell>
          <cell r="F904" t="str">
            <v>October</v>
          </cell>
        </row>
        <row r="905">
          <cell r="E905">
            <v>142.84</v>
          </cell>
          <cell r="F905" t="str">
            <v>May</v>
          </cell>
        </row>
        <row r="906">
          <cell r="E906">
            <v>253.9</v>
          </cell>
          <cell r="F906" t="str">
            <v>September</v>
          </cell>
        </row>
        <row r="907">
          <cell r="E907">
            <v>720.95</v>
          </cell>
          <cell r="F907" t="str">
            <v>July</v>
          </cell>
        </row>
        <row r="908">
          <cell r="E908">
            <v>128.9</v>
          </cell>
          <cell r="F908" t="str">
            <v>December</v>
          </cell>
        </row>
        <row r="909">
          <cell r="E909">
            <v>114.94</v>
          </cell>
          <cell r="F909" t="str">
            <v>August</v>
          </cell>
        </row>
        <row r="910">
          <cell r="E910">
            <v>154.77000000000001</v>
          </cell>
          <cell r="F910" t="str">
            <v>October</v>
          </cell>
        </row>
        <row r="911">
          <cell r="E911">
            <v>192.56</v>
          </cell>
          <cell r="F911" t="str">
            <v>November</v>
          </cell>
        </row>
        <row r="912">
          <cell r="E912">
            <v>636.71</v>
          </cell>
          <cell r="F912" t="str">
            <v>September</v>
          </cell>
        </row>
        <row r="913">
          <cell r="E913">
            <v>977.75</v>
          </cell>
          <cell r="F913" t="str">
            <v>July</v>
          </cell>
        </row>
        <row r="914">
          <cell r="E914">
            <v>314.83999999999997</v>
          </cell>
          <cell r="F914" t="str">
            <v>August</v>
          </cell>
        </row>
        <row r="915">
          <cell r="E915">
            <v>117.93</v>
          </cell>
          <cell r="F915" t="str">
            <v>May</v>
          </cell>
        </row>
        <row r="916">
          <cell r="E916">
            <v>110.66</v>
          </cell>
          <cell r="F916" t="str">
            <v>November</v>
          </cell>
        </row>
        <row r="917">
          <cell r="E917">
            <v>1053.0899999999999</v>
          </cell>
          <cell r="F917" t="str">
            <v>December</v>
          </cell>
        </row>
        <row r="918">
          <cell r="E918">
            <v>888.46</v>
          </cell>
          <cell r="F918" t="str">
            <v>December</v>
          </cell>
        </row>
        <row r="919">
          <cell r="E919">
            <v>45.54</v>
          </cell>
          <cell r="F919" t="str">
            <v>June</v>
          </cell>
        </row>
        <row r="920">
          <cell r="E920">
            <v>238.86</v>
          </cell>
          <cell r="F920" t="str">
            <v>January</v>
          </cell>
        </row>
        <row r="921">
          <cell r="E921">
            <v>60.48</v>
          </cell>
          <cell r="F921" t="str">
            <v>January</v>
          </cell>
        </row>
        <row r="922">
          <cell r="E922">
            <v>255</v>
          </cell>
          <cell r="F922" t="str">
            <v>April</v>
          </cell>
        </row>
        <row r="923">
          <cell r="E923">
            <v>885.88</v>
          </cell>
          <cell r="F923" t="str">
            <v>December</v>
          </cell>
        </row>
        <row r="924">
          <cell r="E924">
            <v>242.04</v>
          </cell>
          <cell r="F924" t="str">
            <v>April</v>
          </cell>
        </row>
        <row r="925">
          <cell r="E925">
            <v>1156.1199999999999</v>
          </cell>
          <cell r="F925" t="str">
            <v>April</v>
          </cell>
        </row>
        <row r="926">
          <cell r="E926">
            <v>312.45</v>
          </cell>
          <cell r="F926" t="str">
            <v>October</v>
          </cell>
        </row>
        <row r="927">
          <cell r="E927">
            <v>131.5</v>
          </cell>
          <cell r="F927" t="str">
            <v>February</v>
          </cell>
        </row>
        <row r="928">
          <cell r="E928">
            <v>40.369999999999997</v>
          </cell>
          <cell r="F928" t="str">
            <v>February</v>
          </cell>
        </row>
        <row r="929">
          <cell r="E929">
            <v>948.91</v>
          </cell>
          <cell r="F929" t="str">
            <v>September</v>
          </cell>
        </row>
        <row r="930">
          <cell r="E930">
            <v>135.01</v>
          </cell>
          <cell r="F930" t="str">
            <v>February</v>
          </cell>
        </row>
        <row r="931">
          <cell r="E931">
            <v>257.06</v>
          </cell>
          <cell r="F931" t="str">
            <v>August</v>
          </cell>
        </row>
        <row r="932">
          <cell r="E932">
            <v>76.89</v>
          </cell>
          <cell r="F932" t="str">
            <v>July</v>
          </cell>
        </row>
        <row r="933">
          <cell r="E933">
            <v>115.64</v>
          </cell>
          <cell r="F933" t="str">
            <v>November</v>
          </cell>
        </row>
        <row r="934">
          <cell r="E934">
            <v>85.63</v>
          </cell>
          <cell r="F934" t="str">
            <v>February</v>
          </cell>
        </row>
        <row r="935">
          <cell r="E935">
            <v>144.71</v>
          </cell>
          <cell r="F935" t="str">
            <v>December</v>
          </cell>
        </row>
        <row r="936">
          <cell r="E936">
            <v>115.83</v>
          </cell>
          <cell r="F936" t="str">
            <v>December</v>
          </cell>
        </row>
        <row r="937">
          <cell r="E937">
            <v>135.76</v>
          </cell>
          <cell r="F937" t="str">
            <v>February</v>
          </cell>
        </row>
        <row r="938">
          <cell r="E938">
            <v>954.71</v>
          </cell>
          <cell r="F938" t="str">
            <v>January</v>
          </cell>
        </row>
        <row r="939">
          <cell r="E939">
            <v>1112.03</v>
          </cell>
          <cell r="F939" t="str">
            <v>October</v>
          </cell>
        </row>
        <row r="940">
          <cell r="E940">
            <v>65.44</v>
          </cell>
          <cell r="F940" t="str">
            <v>March</v>
          </cell>
        </row>
        <row r="941">
          <cell r="E941">
            <v>241.84</v>
          </cell>
          <cell r="F941" t="str">
            <v>October</v>
          </cell>
        </row>
        <row r="942">
          <cell r="E942">
            <v>666.04</v>
          </cell>
          <cell r="F942" t="str">
            <v>August</v>
          </cell>
        </row>
        <row r="943">
          <cell r="E943">
            <v>920.28</v>
          </cell>
          <cell r="F943" t="str">
            <v>September</v>
          </cell>
        </row>
        <row r="944">
          <cell r="E944">
            <v>63.96</v>
          </cell>
          <cell r="F944" t="str">
            <v>January</v>
          </cell>
        </row>
        <row r="945">
          <cell r="E945">
            <v>115.3</v>
          </cell>
          <cell r="F945" t="str">
            <v>March</v>
          </cell>
        </row>
        <row r="946">
          <cell r="E946">
            <v>597.47</v>
          </cell>
          <cell r="F946" t="str">
            <v>July</v>
          </cell>
        </row>
        <row r="947">
          <cell r="E947">
            <v>246.71</v>
          </cell>
          <cell r="F947" t="str">
            <v>July</v>
          </cell>
        </row>
        <row r="948">
          <cell r="E948">
            <v>1042.6400000000001</v>
          </cell>
          <cell r="F948" t="str">
            <v>January</v>
          </cell>
        </row>
        <row r="949">
          <cell r="E949">
            <v>1022.66</v>
          </cell>
          <cell r="F949" t="str">
            <v>June</v>
          </cell>
        </row>
        <row r="950">
          <cell r="E950">
            <v>1092.46</v>
          </cell>
          <cell r="F950" t="str">
            <v>February</v>
          </cell>
        </row>
        <row r="951">
          <cell r="E951">
            <v>121.62</v>
          </cell>
          <cell r="F951" t="str">
            <v>March</v>
          </cell>
        </row>
        <row r="952">
          <cell r="E952">
            <v>121.15</v>
          </cell>
          <cell r="F952" t="str">
            <v>July</v>
          </cell>
        </row>
        <row r="953">
          <cell r="E953">
            <v>242.64</v>
          </cell>
          <cell r="F953" t="str">
            <v>May</v>
          </cell>
        </row>
        <row r="954">
          <cell r="E954">
            <v>78.89</v>
          </cell>
          <cell r="F954" t="str">
            <v>May</v>
          </cell>
        </row>
        <row r="955">
          <cell r="E955">
            <v>136.44</v>
          </cell>
          <cell r="F955" t="str">
            <v>March</v>
          </cell>
        </row>
        <row r="956">
          <cell r="E956">
            <v>119.09</v>
          </cell>
          <cell r="F956" t="str">
            <v>December</v>
          </cell>
        </row>
        <row r="957">
          <cell r="E957">
            <v>341.05</v>
          </cell>
          <cell r="F957" t="str">
            <v>February</v>
          </cell>
        </row>
        <row r="958">
          <cell r="E958">
            <v>154.72999999999999</v>
          </cell>
          <cell r="F958" t="str">
            <v>September</v>
          </cell>
        </row>
        <row r="959">
          <cell r="E959">
            <v>79.349999999999994</v>
          </cell>
          <cell r="F959" t="str">
            <v>April</v>
          </cell>
        </row>
        <row r="960">
          <cell r="E960">
            <v>65.36</v>
          </cell>
          <cell r="F960" t="str">
            <v>September</v>
          </cell>
        </row>
        <row r="961">
          <cell r="E961">
            <v>357.94</v>
          </cell>
          <cell r="F961" t="str">
            <v>October</v>
          </cell>
        </row>
        <row r="962">
          <cell r="E962">
            <v>536.92999999999995</v>
          </cell>
          <cell r="F962" t="str">
            <v>February</v>
          </cell>
        </row>
        <row r="963">
          <cell r="E963">
            <v>164.08</v>
          </cell>
          <cell r="F963" t="str">
            <v>June</v>
          </cell>
        </row>
        <row r="964">
          <cell r="E964">
            <v>226.72</v>
          </cell>
          <cell r="F964" t="str">
            <v>July</v>
          </cell>
        </row>
        <row r="965">
          <cell r="E965">
            <v>232.72</v>
          </cell>
          <cell r="F965" t="str">
            <v>September</v>
          </cell>
        </row>
        <row r="966">
          <cell r="E966">
            <v>273.85000000000002</v>
          </cell>
          <cell r="F966" t="str">
            <v>October</v>
          </cell>
        </row>
        <row r="967">
          <cell r="E967">
            <v>36</v>
          </cell>
          <cell r="F967" t="str">
            <v>July</v>
          </cell>
        </row>
        <row r="968">
          <cell r="E968">
            <v>795.68</v>
          </cell>
          <cell r="F968" t="str">
            <v>July</v>
          </cell>
        </row>
        <row r="969">
          <cell r="E969">
            <v>822.7</v>
          </cell>
          <cell r="F969" t="str">
            <v>September</v>
          </cell>
        </row>
        <row r="970">
          <cell r="E970">
            <v>886.32</v>
          </cell>
          <cell r="F970" t="str">
            <v>August</v>
          </cell>
        </row>
        <row r="971">
          <cell r="E971">
            <v>289.26</v>
          </cell>
          <cell r="F971" t="str">
            <v>June</v>
          </cell>
        </row>
        <row r="972">
          <cell r="E972">
            <v>108.22</v>
          </cell>
          <cell r="F972" t="str">
            <v>September</v>
          </cell>
        </row>
        <row r="973">
          <cell r="E973">
            <v>109.44</v>
          </cell>
          <cell r="F973" t="str">
            <v>September</v>
          </cell>
        </row>
        <row r="974">
          <cell r="E974">
            <v>60.14</v>
          </cell>
          <cell r="F974" t="str">
            <v>July</v>
          </cell>
        </row>
        <row r="975">
          <cell r="E975">
            <v>83.33</v>
          </cell>
          <cell r="F975" t="str">
            <v>October</v>
          </cell>
        </row>
        <row r="976">
          <cell r="E976">
            <v>232.62</v>
          </cell>
          <cell r="F976" t="str">
            <v>February</v>
          </cell>
        </row>
        <row r="977">
          <cell r="E977">
            <v>344.54</v>
          </cell>
          <cell r="F977" t="str">
            <v>May</v>
          </cell>
        </row>
        <row r="978">
          <cell r="E978">
            <v>97.04</v>
          </cell>
          <cell r="F978" t="str">
            <v>January</v>
          </cell>
        </row>
        <row r="979">
          <cell r="E979">
            <v>835.89</v>
          </cell>
          <cell r="F979" t="str">
            <v>June</v>
          </cell>
        </row>
        <row r="980">
          <cell r="E980">
            <v>737.41</v>
          </cell>
          <cell r="F980" t="str">
            <v>June</v>
          </cell>
        </row>
        <row r="981">
          <cell r="E981">
            <v>110.52</v>
          </cell>
          <cell r="F981" t="str">
            <v>May</v>
          </cell>
        </row>
        <row r="982">
          <cell r="E982">
            <v>297.49</v>
          </cell>
          <cell r="F982" t="str">
            <v>December</v>
          </cell>
        </row>
        <row r="983">
          <cell r="E983">
            <v>81.86</v>
          </cell>
          <cell r="F983" t="str">
            <v>August</v>
          </cell>
        </row>
        <row r="984">
          <cell r="E984">
            <v>174.91</v>
          </cell>
          <cell r="F984" t="str">
            <v>November</v>
          </cell>
        </row>
        <row r="985">
          <cell r="E985">
            <v>320.5</v>
          </cell>
          <cell r="F985" t="str">
            <v>November</v>
          </cell>
        </row>
        <row r="986">
          <cell r="E986">
            <v>990.48</v>
          </cell>
          <cell r="F986" t="str">
            <v>April</v>
          </cell>
        </row>
        <row r="987">
          <cell r="E987">
            <v>130.44</v>
          </cell>
          <cell r="F987" t="str">
            <v>March</v>
          </cell>
        </row>
        <row r="988">
          <cell r="E988">
            <v>243.66</v>
          </cell>
          <cell r="F988" t="str">
            <v>December</v>
          </cell>
        </row>
        <row r="989">
          <cell r="E989">
            <v>380.05</v>
          </cell>
          <cell r="F989" t="str">
            <v>April</v>
          </cell>
        </row>
        <row r="990">
          <cell r="E990">
            <v>189.88</v>
          </cell>
          <cell r="F990" t="str">
            <v>July</v>
          </cell>
        </row>
        <row r="991">
          <cell r="E991">
            <v>141.13999999999999</v>
          </cell>
          <cell r="F991" t="str">
            <v>July</v>
          </cell>
        </row>
        <row r="992">
          <cell r="E992">
            <v>100.18</v>
          </cell>
          <cell r="F992" t="str">
            <v>August</v>
          </cell>
        </row>
        <row r="993">
          <cell r="E993">
            <v>90.5</v>
          </cell>
          <cell r="F993" t="str">
            <v>July</v>
          </cell>
        </row>
        <row r="994">
          <cell r="E994">
            <v>513.38</v>
          </cell>
          <cell r="F994" t="str">
            <v>April</v>
          </cell>
        </row>
        <row r="995">
          <cell r="E995">
            <v>301.52</v>
          </cell>
          <cell r="F995" t="str">
            <v>January</v>
          </cell>
        </row>
        <row r="996">
          <cell r="E996">
            <v>121.06</v>
          </cell>
          <cell r="F996" t="str">
            <v>August</v>
          </cell>
        </row>
        <row r="997">
          <cell r="E997">
            <v>133.82</v>
          </cell>
          <cell r="F997" t="str">
            <v>April</v>
          </cell>
        </row>
        <row r="998">
          <cell r="E998">
            <v>189.52</v>
          </cell>
          <cell r="F998" t="str">
            <v>July</v>
          </cell>
        </row>
        <row r="999">
          <cell r="E999">
            <v>875.31</v>
          </cell>
          <cell r="F999" t="str">
            <v>December</v>
          </cell>
        </row>
        <row r="1000">
          <cell r="E1000">
            <v>119.09</v>
          </cell>
          <cell r="F1000" t="str">
            <v>January</v>
          </cell>
        </row>
        <row r="1001">
          <cell r="E1001">
            <v>62.79</v>
          </cell>
          <cell r="F1001" t="str">
            <v>October</v>
          </cell>
        </row>
        <row r="1002">
          <cell r="E1002">
            <v>826.97</v>
          </cell>
          <cell r="F1002" t="str">
            <v>February</v>
          </cell>
        </row>
        <row r="1003">
          <cell r="E1003">
            <v>107.21</v>
          </cell>
          <cell r="F1003" t="str">
            <v>November</v>
          </cell>
        </row>
        <row r="1004">
          <cell r="E1004">
            <v>70.260000000000005</v>
          </cell>
          <cell r="F1004" t="str">
            <v>January</v>
          </cell>
        </row>
        <row r="1005">
          <cell r="E1005">
            <v>530.88</v>
          </cell>
          <cell r="F1005" t="str">
            <v>August</v>
          </cell>
        </row>
        <row r="1006">
          <cell r="E1006">
            <v>102.07</v>
          </cell>
          <cell r="F1006" t="str">
            <v>June</v>
          </cell>
        </row>
        <row r="1007">
          <cell r="E1007">
            <v>853.77</v>
          </cell>
          <cell r="F1007" t="str">
            <v>January</v>
          </cell>
        </row>
        <row r="1008">
          <cell r="E1008">
            <v>134.96</v>
          </cell>
          <cell r="F1008" t="str">
            <v>January</v>
          </cell>
        </row>
        <row r="1009">
          <cell r="E1009">
            <v>154.25</v>
          </cell>
          <cell r="F1009" t="str">
            <v>April</v>
          </cell>
        </row>
        <row r="1010">
          <cell r="E1010">
            <v>161.38</v>
          </cell>
          <cell r="F1010" t="str">
            <v>April</v>
          </cell>
        </row>
        <row r="1011">
          <cell r="E1011">
            <v>133.97999999999999</v>
          </cell>
          <cell r="F1011" t="str">
            <v>October</v>
          </cell>
        </row>
        <row r="1012">
          <cell r="E1012">
            <v>80.239999999999995</v>
          </cell>
          <cell r="F1012" t="str">
            <v>February</v>
          </cell>
        </row>
        <row r="1013">
          <cell r="E1013">
            <v>131.66999999999999</v>
          </cell>
          <cell r="F1013" t="str">
            <v>October</v>
          </cell>
        </row>
        <row r="1014">
          <cell r="E1014">
            <v>62.15</v>
          </cell>
          <cell r="F1014" t="str">
            <v>August</v>
          </cell>
        </row>
        <row r="1015">
          <cell r="E1015">
            <v>921.48</v>
          </cell>
          <cell r="F1015" t="str">
            <v>February</v>
          </cell>
        </row>
        <row r="1016">
          <cell r="E1016">
            <v>208.44</v>
          </cell>
          <cell r="F1016" t="str">
            <v>August</v>
          </cell>
        </row>
        <row r="1017">
          <cell r="E1017">
            <v>263.43</v>
          </cell>
          <cell r="F1017" t="str">
            <v>January</v>
          </cell>
        </row>
        <row r="1018">
          <cell r="E1018">
            <v>612.30999999999995</v>
          </cell>
          <cell r="F1018" t="str">
            <v>February</v>
          </cell>
        </row>
        <row r="1019">
          <cell r="E1019">
            <v>708.19</v>
          </cell>
          <cell r="F1019" t="str">
            <v>April</v>
          </cell>
        </row>
        <row r="1020">
          <cell r="E1020">
            <v>1185.6400000000001</v>
          </cell>
          <cell r="F1020" t="str">
            <v>November</v>
          </cell>
        </row>
        <row r="1021">
          <cell r="E1021">
            <v>1022.33</v>
          </cell>
          <cell r="F1021" t="str">
            <v>June</v>
          </cell>
        </row>
        <row r="1022">
          <cell r="E1022">
            <v>1315.1</v>
          </cell>
          <cell r="F1022" t="str">
            <v>June</v>
          </cell>
        </row>
        <row r="1023">
          <cell r="E1023">
            <v>899.6</v>
          </cell>
          <cell r="F1023" t="str">
            <v>September</v>
          </cell>
        </row>
        <row r="1024">
          <cell r="E1024">
            <v>93.25</v>
          </cell>
          <cell r="F1024" t="str">
            <v>January</v>
          </cell>
        </row>
        <row r="1025">
          <cell r="E1025">
            <v>1005.25</v>
          </cell>
          <cell r="F1025" t="str">
            <v>February</v>
          </cell>
        </row>
        <row r="1026">
          <cell r="E1026">
            <v>131.07</v>
          </cell>
          <cell r="F1026" t="str">
            <v>April</v>
          </cell>
        </row>
        <row r="1027">
          <cell r="E1027">
            <v>82.39</v>
          </cell>
          <cell r="F1027" t="str">
            <v>September</v>
          </cell>
        </row>
        <row r="1028">
          <cell r="E1028">
            <v>277.58</v>
          </cell>
          <cell r="F1028" t="str">
            <v>October</v>
          </cell>
        </row>
        <row r="1029">
          <cell r="E1029">
            <v>133.44</v>
          </cell>
          <cell r="F1029" t="str">
            <v>February</v>
          </cell>
        </row>
        <row r="1030">
          <cell r="E1030">
            <v>99.86</v>
          </cell>
          <cell r="F1030" t="str">
            <v>November</v>
          </cell>
        </row>
        <row r="1031">
          <cell r="E1031">
            <v>213.35</v>
          </cell>
          <cell r="F1031" t="str">
            <v>September</v>
          </cell>
        </row>
        <row r="1032">
          <cell r="E1032">
            <v>492.86</v>
          </cell>
          <cell r="F1032" t="str">
            <v>May</v>
          </cell>
        </row>
        <row r="1033">
          <cell r="E1033">
            <v>108.98</v>
          </cell>
          <cell r="F1033" t="str">
            <v>February</v>
          </cell>
        </row>
        <row r="1034">
          <cell r="E1034">
            <v>199.87</v>
          </cell>
          <cell r="F1034" t="str">
            <v>May</v>
          </cell>
        </row>
        <row r="1035">
          <cell r="E1035">
            <v>285.17</v>
          </cell>
          <cell r="F1035" t="str">
            <v>May</v>
          </cell>
        </row>
        <row r="1036">
          <cell r="E1036">
            <v>127.52</v>
          </cell>
          <cell r="F1036" t="str">
            <v>July</v>
          </cell>
        </row>
        <row r="1037">
          <cell r="E1037">
            <v>690.06</v>
          </cell>
          <cell r="F1037" t="str">
            <v>December</v>
          </cell>
        </row>
        <row r="1038">
          <cell r="E1038">
            <v>142.53</v>
          </cell>
          <cell r="F1038" t="str">
            <v>July</v>
          </cell>
        </row>
        <row r="1039">
          <cell r="E1039">
            <v>101</v>
          </cell>
          <cell r="F1039" t="str">
            <v>February</v>
          </cell>
        </row>
        <row r="1040">
          <cell r="E1040">
            <v>321.58</v>
          </cell>
          <cell r="F1040" t="str">
            <v>May</v>
          </cell>
        </row>
        <row r="1041">
          <cell r="E1041">
            <v>79.84</v>
          </cell>
          <cell r="F1041" t="str">
            <v>June</v>
          </cell>
        </row>
        <row r="1042">
          <cell r="E1042">
            <v>1018.51</v>
          </cell>
          <cell r="F1042" t="str">
            <v>October</v>
          </cell>
        </row>
        <row r="1043">
          <cell r="E1043">
            <v>1080.25</v>
          </cell>
          <cell r="F1043" t="str">
            <v>December</v>
          </cell>
        </row>
        <row r="1044">
          <cell r="E1044">
            <v>230.01</v>
          </cell>
          <cell r="F1044" t="str">
            <v>March</v>
          </cell>
        </row>
        <row r="1045">
          <cell r="E1045">
            <v>152.13999999999999</v>
          </cell>
          <cell r="F1045" t="str">
            <v>March</v>
          </cell>
        </row>
        <row r="1046">
          <cell r="E1046">
            <v>884.36</v>
          </cell>
          <cell r="F1046" t="str">
            <v>February</v>
          </cell>
        </row>
        <row r="1047">
          <cell r="E1047">
            <v>636.97</v>
          </cell>
          <cell r="F1047" t="str">
            <v>July</v>
          </cell>
        </row>
        <row r="1048">
          <cell r="E1048">
            <v>103.46</v>
          </cell>
          <cell r="F1048" t="str">
            <v>July</v>
          </cell>
        </row>
        <row r="1049">
          <cell r="E1049">
            <v>921.13</v>
          </cell>
          <cell r="F1049" t="str">
            <v>July</v>
          </cell>
        </row>
        <row r="1050">
          <cell r="E1050">
            <v>137.32</v>
          </cell>
          <cell r="F1050" t="str">
            <v>December</v>
          </cell>
        </row>
        <row r="1051">
          <cell r="E1051">
            <v>161.06</v>
          </cell>
          <cell r="F1051" t="str">
            <v>March</v>
          </cell>
        </row>
        <row r="1052">
          <cell r="E1052">
            <v>548.45000000000005</v>
          </cell>
          <cell r="F1052" t="str">
            <v>October</v>
          </cell>
        </row>
        <row r="1053">
          <cell r="E1053">
            <v>104.04</v>
          </cell>
          <cell r="F1053" t="str">
            <v>July</v>
          </cell>
        </row>
        <row r="1054">
          <cell r="E1054">
            <v>265.49</v>
          </cell>
          <cell r="F1054" t="str">
            <v>July</v>
          </cell>
        </row>
        <row r="1055">
          <cell r="E1055">
            <v>120.43</v>
          </cell>
          <cell r="F1055" t="str">
            <v>November</v>
          </cell>
        </row>
        <row r="1056">
          <cell r="E1056">
            <v>306.61</v>
          </cell>
          <cell r="F1056" t="str">
            <v>May</v>
          </cell>
        </row>
        <row r="1057">
          <cell r="E1057">
            <v>800.43</v>
          </cell>
          <cell r="F1057" t="str">
            <v>January</v>
          </cell>
        </row>
        <row r="1058">
          <cell r="E1058">
            <v>111.67</v>
          </cell>
          <cell r="F1058" t="str">
            <v>February</v>
          </cell>
        </row>
        <row r="1059">
          <cell r="E1059">
            <v>673.99</v>
          </cell>
          <cell r="F1059" t="str">
            <v>June</v>
          </cell>
        </row>
        <row r="1060">
          <cell r="E1060">
            <v>698.56</v>
          </cell>
          <cell r="F1060" t="str">
            <v>February</v>
          </cell>
        </row>
        <row r="1061">
          <cell r="E1061">
            <v>92.92</v>
          </cell>
          <cell r="F1061" t="str">
            <v>June</v>
          </cell>
        </row>
        <row r="1062">
          <cell r="E1062">
            <v>212.84</v>
          </cell>
          <cell r="F1062" t="str">
            <v>December</v>
          </cell>
        </row>
        <row r="1063">
          <cell r="E1063">
            <v>275.04000000000002</v>
          </cell>
          <cell r="F1063" t="str">
            <v>March</v>
          </cell>
        </row>
        <row r="1064">
          <cell r="E1064">
            <v>58.8</v>
          </cell>
          <cell r="F1064" t="str">
            <v>June</v>
          </cell>
        </row>
        <row r="1065">
          <cell r="E1065">
            <v>131.71</v>
          </cell>
          <cell r="F1065" t="str">
            <v>October</v>
          </cell>
        </row>
        <row r="1066">
          <cell r="E1066">
            <v>218.29</v>
          </cell>
          <cell r="F1066" t="str">
            <v>June</v>
          </cell>
        </row>
        <row r="1067">
          <cell r="E1067">
            <v>897.65</v>
          </cell>
          <cell r="F1067" t="str">
            <v>November</v>
          </cell>
        </row>
        <row r="1068">
          <cell r="E1068">
            <v>596.08000000000004</v>
          </cell>
          <cell r="F1068" t="str">
            <v>December</v>
          </cell>
        </row>
        <row r="1069">
          <cell r="E1069">
            <v>1109.79</v>
          </cell>
          <cell r="F1069" t="str">
            <v>April</v>
          </cell>
        </row>
        <row r="1070">
          <cell r="E1070">
            <v>864.24</v>
          </cell>
          <cell r="F1070" t="str">
            <v>December</v>
          </cell>
        </row>
        <row r="1071">
          <cell r="E1071">
            <v>134.97999999999999</v>
          </cell>
          <cell r="F1071" t="str">
            <v>August</v>
          </cell>
        </row>
        <row r="1072">
          <cell r="E1072">
            <v>786.38</v>
          </cell>
          <cell r="F1072" t="str">
            <v>March</v>
          </cell>
        </row>
        <row r="1073">
          <cell r="E1073">
            <v>116.51</v>
          </cell>
          <cell r="F1073" t="str">
            <v>August</v>
          </cell>
        </row>
        <row r="1074">
          <cell r="E1074">
            <v>201.63</v>
          </cell>
          <cell r="F1074" t="str">
            <v>January</v>
          </cell>
        </row>
        <row r="1075">
          <cell r="E1075">
            <v>872.88</v>
          </cell>
          <cell r="F1075" t="str">
            <v>August</v>
          </cell>
        </row>
        <row r="1076">
          <cell r="E1076">
            <v>34.21</v>
          </cell>
          <cell r="F1076" t="str">
            <v>September</v>
          </cell>
        </row>
        <row r="1077">
          <cell r="E1077">
            <v>842.18</v>
          </cell>
          <cell r="F1077" t="str">
            <v>August</v>
          </cell>
        </row>
        <row r="1078">
          <cell r="E1078">
            <v>238.91</v>
          </cell>
          <cell r="F1078" t="str">
            <v>April</v>
          </cell>
        </row>
        <row r="1079">
          <cell r="E1079">
            <v>119.9</v>
          </cell>
          <cell r="F1079" t="str">
            <v>March</v>
          </cell>
        </row>
        <row r="1080">
          <cell r="E1080">
            <v>197.52</v>
          </cell>
          <cell r="F1080" t="str">
            <v>September</v>
          </cell>
        </row>
        <row r="1081">
          <cell r="E1081">
            <v>139.01</v>
          </cell>
          <cell r="F1081" t="str">
            <v>July</v>
          </cell>
        </row>
        <row r="1082">
          <cell r="E1082">
            <v>293.72000000000003</v>
          </cell>
          <cell r="F1082" t="str">
            <v>March</v>
          </cell>
        </row>
        <row r="1083">
          <cell r="E1083">
            <v>834.71</v>
          </cell>
          <cell r="F1083" t="str">
            <v>March</v>
          </cell>
        </row>
        <row r="1084">
          <cell r="E1084">
            <v>105.82</v>
          </cell>
          <cell r="F1084" t="str">
            <v>May</v>
          </cell>
        </row>
        <row r="1085">
          <cell r="E1085">
            <v>255.39</v>
          </cell>
          <cell r="F1085" t="str">
            <v>April</v>
          </cell>
        </row>
        <row r="1086">
          <cell r="E1086">
            <v>126.23</v>
          </cell>
          <cell r="F1086" t="str">
            <v>August</v>
          </cell>
        </row>
        <row r="1087">
          <cell r="E1087">
            <v>368.42</v>
          </cell>
          <cell r="F1087" t="str">
            <v>November</v>
          </cell>
        </row>
        <row r="1088">
          <cell r="E1088">
            <v>122.15</v>
          </cell>
          <cell r="F1088" t="str">
            <v>October</v>
          </cell>
        </row>
        <row r="1089">
          <cell r="E1089">
            <v>127.05</v>
          </cell>
          <cell r="F1089" t="str">
            <v>July</v>
          </cell>
        </row>
        <row r="1090">
          <cell r="E1090">
            <v>312.52999999999997</v>
          </cell>
          <cell r="F1090" t="str">
            <v>February</v>
          </cell>
        </row>
        <row r="1091">
          <cell r="E1091">
            <v>86.92</v>
          </cell>
          <cell r="F1091" t="str">
            <v>December</v>
          </cell>
        </row>
        <row r="1092">
          <cell r="E1092">
            <v>200.92</v>
          </cell>
          <cell r="F1092" t="str">
            <v>August</v>
          </cell>
        </row>
        <row r="1093">
          <cell r="E1093">
            <v>201.47</v>
          </cell>
          <cell r="F1093" t="str">
            <v>December</v>
          </cell>
        </row>
        <row r="1094">
          <cell r="E1094">
            <v>920.87</v>
          </cell>
          <cell r="F1094" t="str">
            <v>April</v>
          </cell>
        </row>
        <row r="1095">
          <cell r="E1095">
            <v>1043.5999999999999</v>
          </cell>
          <cell r="F1095" t="str">
            <v>July</v>
          </cell>
        </row>
        <row r="1096">
          <cell r="E1096">
            <v>928.38</v>
          </cell>
          <cell r="F1096" t="str">
            <v>December</v>
          </cell>
        </row>
        <row r="1097">
          <cell r="E1097">
            <v>113.06</v>
          </cell>
          <cell r="F1097" t="str">
            <v>February</v>
          </cell>
        </row>
        <row r="1098">
          <cell r="E1098">
            <v>112.63</v>
          </cell>
          <cell r="F1098" t="str">
            <v>July</v>
          </cell>
        </row>
        <row r="1099">
          <cell r="E1099">
            <v>74.989999999999995</v>
          </cell>
          <cell r="F1099" t="str">
            <v>May</v>
          </cell>
        </row>
        <row r="1100">
          <cell r="E1100">
            <v>134.91999999999999</v>
          </cell>
          <cell r="F1100" t="str">
            <v>September</v>
          </cell>
        </row>
        <row r="1101">
          <cell r="E1101">
            <v>1136.56</v>
          </cell>
          <cell r="F1101" t="str">
            <v>December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9DD9-CF37-479C-89DE-66A5A0A0F17D}">
  <sheetPr>
    <tabColor rgb="FFFFC000"/>
  </sheetPr>
  <dimension ref="A2:O15"/>
  <sheetViews>
    <sheetView showGridLines="0" tabSelected="1" workbookViewId="0">
      <selection activeCell="J3" sqref="J3"/>
    </sheetView>
  </sheetViews>
  <sheetFormatPr defaultColWidth="8.7109375" defaultRowHeight="14.45"/>
  <cols>
    <col min="1" max="1" width="15.85546875" style="1" customWidth="1"/>
    <col min="2" max="2" width="9.85546875" style="1" customWidth="1"/>
    <col min="3" max="3" width="12.28515625" style="1" customWidth="1"/>
    <col min="4" max="6" width="12.42578125" style="1" customWidth="1"/>
    <col min="7" max="7" width="13.42578125" style="1" customWidth="1"/>
    <col min="8" max="8" width="12.42578125" style="1" bestFit="1" customWidth="1"/>
    <col min="9" max="9" width="16.28515625" style="1" customWidth="1"/>
    <col min="10" max="10" width="13.85546875" style="1" customWidth="1"/>
    <col min="11" max="12" width="12.42578125" style="1" customWidth="1"/>
    <col min="13" max="13" width="12.28515625" style="1" customWidth="1"/>
    <col min="14" max="14" width="14.42578125" style="1" customWidth="1"/>
    <col min="15" max="15" width="16.42578125" style="1" customWidth="1"/>
    <col min="16" max="16384" width="8.7109375" style="1"/>
  </cols>
  <sheetData>
    <row r="2" spans="1:15" ht="17.45">
      <c r="G2" s="2" t="s">
        <v>0</v>
      </c>
      <c r="H2" s="2"/>
      <c r="I2" s="3">
        <f>COUNTIF([1]!Table1[[Status ]],"Above Averg")/COUNTA([1]!Table1[[Status ]])</f>
        <v>0.29909090909090907</v>
      </c>
    </row>
    <row r="3" spans="1:15" ht="17.45">
      <c r="G3" s="2" t="s">
        <v>1</v>
      </c>
      <c r="H3" s="2"/>
      <c r="I3" s="3">
        <f>COUNTIF([1]!Table1[[Status ]],"Low Averg")/COUNTA([1]!Table1[[Status ]])</f>
        <v>0.70090909090909093</v>
      </c>
    </row>
    <row r="5" spans="1:15" ht="15" customHeight="1" thickBot="1">
      <c r="C5" s="4"/>
      <c r="D5" s="4"/>
      <c r="E5" s="5" t="s">
        <v>2</v>
      </c>
      <c r="F5" s="5"/>
      <c r="G5" s="5"/>
      <c r="H5" s="4"/>
      <c r="I5" s="4"/>
      <c r="J5" s="4"/>
      <c r="K5" s="4"/>
      <c r="L5" s="4"/>
      <c r="M5" s="4"/>
      <c r="N5" s="4"/>
    </row>
    <row r="6" spans="1:15" ht="15.95" thickTop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21.6" thickBot="1">
      <c r="A7" s="8"/>
      <c r="B7" s="9"/>
      <c r="C7" s="10" t="s">
        <v>3</v>
      </c>
      <c r="D7" s="11" t="s">
        <v>4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1" t="s">
        <v>10</v>
      </c>
      <c r="K7" s="11" t="s">
        <v>11</v>
      </c>
      <c r="L7" s="11" t="s">
        <v>12</v>
      </c>
      <c r="M7" s="11" t="s">
        <v>13</v>
      </c>
      <c r="N7" s="12" t="s">
        <v>14</v>
      </c>
      <c r="O7" s="13"/>
    </row>
    <row r="8" spans="1:15" ht="21.6" thickTop="1">
      <c r="A8" s="14"/>
      <c r="B8" s="13"/>
      <c r="C8" s="15">
        <f>COUNTIF([1]Pakistan_Food_Prices_Cleaned!$F$2:$F$1101,C7)</f>
        <v>100</v>
      </c>
      <c r="D8" s="15">
        <f>COUNTIF([1]Pakistan_Food_Prices_Cleaned!$F$2:$F$1101,D7)</f>
        <v>93</v>
      </c>
      <c r="E8" s="15">
        <f>COUNTIF([1]Pakistan_Food_Prices_Cleaned!$F$2:$F$1101,E7)</f>
        <v>94</v>
      </c>
      <c r="F8" s="15">
        <f>COUNTIF([1]Pakistan_Food_Prices_Cleaned!$F$2:$F$1101,F7)</f>
        <v>81</v>
      </c>
      <c r="G8" s="15">
        <f>COUNTIF([1]Pakistan_Food_Prices_Cleaned!$F$2:$F$1101,G7)</f>
        <v>105</v>
      </c>
      <c r="H8" s="15">
        <f>COUNTIF([1]Pakistan_Food_Prices_Cleaned!$F$2:$F$1101,H7)</f>
        <v>86</v>
      </c>
      <c r="I8" s="15">
        <f>COUNTIF([1]Pakistan_Food_Prices_Cleaned!$F$2:$F$1101,I7)</f>
        <v>86</v>
      </c>
      <c r="J8" s="15">
        <f>COUNTIF([1]Pakistan_Food_Prices_Cleaned!$F$2:$F$1101,J7)</f>
        <v>93</v>
      </c>
      <c r="K8" s="15">
        <f>COUNTIF([1]Pakistan_Food_Prices_Cleaned!$F$2:$F$1101,K7)</f>
        <v>103</v>
      </c>
      <c r="L8" s="15">
        <f>COUNTIF([1]Pakistan_Food_Prices_Cleaned!$F$2:$F$1101,L7)</f>
        <v>92</v>
      </c>
      <c r="M8" s="15">
        <f>COUNTIF([1]Pakistan_Food_Prices_Cleaned!$F$2:$F$1101,M7)</f>
        <v>81</v>
      </c>
      <c r="N8" s="15">
        <f>COUNTIF([1]Pakistan_Food_Prices_Cleaned!$F$2:$F$1101,N7)</f>
        <v>86</v>
      </c>
      <c r="O8" s="13"/>
    </row>
    <row r="9" spans="1:15" ht="21">
      <c r="A9" s="16" t="s">
        <v>15</v>
      </c>
      <c r="B9" s="16">
        <f>COUNTA([1]Pakistan_Food_Prices_Cleaned!$F$2:$F$1101)</f>
        <v>1100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 t="s">
        <v>16</v>
      </c>
    </row>
    <row r="10" spans="1:15" ht="21">
      <c r="A10" s="19" t="s">
        <v>17</v>
      </c>
      <c r="B10" s="17"/>
      <c r="C10" s="20">
        <f>SUMIF([1]Pakistan_Food_Prices_Cleaned!$F$2:$F$1101,C7,[1]Pakistan_Food_Prices_Cleaned!$E$2:$E$1101)</f>
        <v>41646.700000000019</v>
      </c>
      <c r="D10" s="20">
        <f>SUMIF([1]Pakistan_Food_Prices_Cleaned!$F$2:$F$1101,D7,[1]Pakistan_Food_Prices_Cleaned!$E$2:$E$1101)</f>
        <v>35568.769999999997</v>
      </c>
      <c r="E10" s="20">
        <f>SUMIF([1]Pakistan_Food_Prices_Cleaned!$F$2:$F$1101,E7,[1]Pakistan_Food_Prices_Cleaned!$E$2:$E$1101)</f>
        <v>34742.769999999997</v>
      </c>
      <c r="F10" s="20">
        <f>SUMIF([1]Pakistan_Food_Prices_Cleaned!$F$2:$F$1101,F7,[1]Pakistan_Food_Prices_Cleaned!$E$2:$E$1101)</f>
        <v>25499.470000000005</v>
      </c>
      <c r="G10" s="20">
        <f>SUMIF([1]Pakistan_Food_Prices_Cleaned!$F$2:$F$1101,G7,[1]Pakistan_Food_Prices_Cleaned!$E$2:$E$1101)</f>
        <v>40984.839999999982</v>
      </c>
      <c r="H10" s="20">
        <f>SUMIF([1]Pakistan_Food_Prices_Cleaned!$F$2:$F$1101,H7,[1]Pakistan_Food_Prices_Cleaned!$E$2:$E$1101)</f>
        <v>34819.99</v>
      </c>
      <c r="I10" s="20">
        <f>SUMIF([1]Pakistan_Food_Prices_Cleaned!$F$2:$F$1101,I7,[1]Pakistan_Food_Prices_Cleaned!$E$2:$E$1101)</f>
        <v>31790.540000000005</v>
      </c>
      <c r="J10" s="20">
        <f>SUMIF([1]Pakistan_Food_Prices_Cleaned!$F$2:$F$1101,J7,[1]Pakistan_Food_Prices_Cleaned!$E$2:$E$1101)</f>
        <v>37065.250000000007</v>
      </c>
      <c r="K10" s="20">
        <f>SUMIF([1]Pakistan_Food_Prices_Cleaned!$F$2:$F$1101,K7,[1]Pakistan_Food_Prices_Cleaned!$E$2:$E$1101)</f>
        <v>37780.759999999987</v>
      </c>
      <c r="L10" s="20">
        <f>SUMIF([1]Pakistan_Food_Prices_Cleaned!$F$2:$F$1101,L7,[1]Pakistan_Food_Prices_Cleaned!$E$2:$E$1101)</f>
        <v>31712.699999999993</v>
      </c>
      <c r="M10" s="20">
        <f>SUMIF([1]Pakistan_Food_Prices_Cleaned!$F$2:$F$1101,M7,[1]Pakistan_Food_Prices_Cleaned!$E$2:$E$1101)</f>
        <v>26130.499999999993</v>
      </c>
      <c r="N10" s="20">
        <f>SUMIF([1]Pakistan_Food_Prices_Cleaned!$F$2:$F$1101,N7,[1]Pakistan_Food_Prices_Cleaned!$E$2:$E$1101)</f>
        <v>31276.469999999987</v>
      </c>
      <c r="O10" s="17"/>
    </row>
    <row r="11" spans="1:15" ht="21">
      <c r="A11" s="19" t="s">
        <v>18</v>
      </c>
      <c r="B11" s="17"/>
      <c r="C11" s="20">
        <f>AVERAGEIF([1]Pakistan_Food_Prices_Cleaned!$F$2:$F$1101,C7,[1]Pakistan_Food_Prices_Cleaned!$E$2:$E$1101)</f>
        <v>416.46700000000021</v>
      </c>
      <c r="D11" s="20">
        <f>AVERAGEIF([1]Pakistan_Food_Prices_Cleaned!$F$2:$F$1101,D7,[1]Pakistan_Food_Prices_Cleaned!$E$2:$E$1101)</f>
        <v>382.45989247311826</v>
      </c>
      <c r="E11" s="20">
        <f>AVERAGEIF([1]Pakistan_Food_Prices_Cleaned!$F$2:$F$1101,E7,[1]Pakistan_Food_Prices_Cleaned!$E$2:$E$1101)</f>
        <v>369.60393617021271</v>
      </c>
      <c r="F11" s="20">
        <f>AVERAGEIF([1]Pakistan_Food_Prices_Cleaned!$F$2:$F$1101,F7,[1]Pakistan_Food_Prices_Cleaned!$E$2:$E$1101)</f>
        <v>314.80827160493834</v>
      </c>
      <c r="G11" s="20">
        <f>AVERAGEIF([1]Pakistan_Food_Prices_Cleaned!$F$2:$F$1101,G7,[1]Pakistan_Food_Prices_Cleaned!$E$2:$E$1101)</f>
        <v>390.33180952380934</v>
      </c>
      <c r="H11" s="20">
        <f>AVERAGEIF([1]Pakistan_Food_Prices_Cleaned!$F$2:$F$1101,H7,[1]Pakistan_Food_Prices_Cleaned!$E$2:$E$1101)</f>
        <v>404.88360465116278</v>
      </c>
      <c r="I11" s="20">
        <f>AVERAGEIF([1]Pakistan_Food_Prices_Cleaned!$F$2:$F$1101,I7,[1]Pakistan_Food_Prices_Cleaned!$E$2:$E$1101)</f>
        <v>369.65744186046516</v>
      </c>
      <c r="J11" s="20">
        <f>AVERAGEIF([1]Pakistan_Food_Prices_Cleaned!$F$2:$F$1101,J7,[1]Pakistan_Food_Prices_Cleaned!$E$2:$E$1101)</f>
        <v>398.55107526881727</v>
      </c>
      <c r="K11" s="20">
        <f>AVERAGEIF([1]Pakistan_Food_Prices_Cleaned!$F$2:$F$1101,K7,[1]Pakistan_Food_Prices_Cleaned!$E$2:$E$1101)</f>
        <v>366.80349514563096</v>
      </c>
      <c r="L11" s="20">
        <f>AVERAGEIF([1]Pakistan_Food_Prices_Cleaned!$F$2:$F$1101,L7,[1]Pakistan_Food_Prices_Cleaned!$E$2:$E$1101)</f>
        <v>344.70326086956516</v>
      </c>
      <c r="M11" s="20">
        <f>AVERAGEIF([1]Pakistan_Food_Prices_Cleaned!$F$2:$F$1101,M7,[1]Pakistan_Food_Prices_Cleaned!$E$2:$E$1101)</f>
        <v>322.59876543209867</v>
      </c>
      <c r="N11" s="20">
        <f>AVERAGEIF([1]Pakistan_Food_Prices_Cleaned!$F$2:$F$1101,N7,[1]Pakistan_Food_Prices_Cleaned!$E$2:$E$1101)</f>
        <v>363.67988372093009</v>
      </c>
      <c r="O11" s="17"/>
    </row>
    <row r="12" spans="1:15" ht="21">
      <c r="A12" s="19" t="s">
        <v>19</v>
      </c>
      <c r="B12" s="17"/>
      <c r="C12" s="20">
        <f>MEDIAN(IF([1]Pakistan_Food_Prices_Cleaned!$F$2:$F$1101=C7,[1]Pakistan_Food_Prices_Cleaned!$E$2:$E$1101))</f>
        <v>215.505</v>
      </c>
      <c r="D12" s="20">
        <f>MEDIAN(IF([1]Pakistan_Food_Prices_Cleaned!$F$2:$F$1101=D7,[1]Pakistan_Food_Prices_Cleaned!$E$2:$E$1101))</f>
        <v>0</v>
      </c>
      <c r="E12" s="20">
        <f>MEDIAN(IF([1]Pakistan_Food_Prices_Cleaned!$F$2:$F$1101=E7,[1]Pakistan_Food_Prices_Cleaned!$E$2:$E$1101))</f>
        <v>0</v>
      </c>
      <c r="F12" s="20">
        <f>MEDIAN(IF([1]Pakistan_Food_Prices_Cleaned!$F$2:$F$1101=F7,[1]Pakistan_Food_Prices_Cleaned!$E$2:$E$1101))</f>
        <v>0</v>
      </c>
      <c r="G12" s="20">
        <f>MEDIAN(IF([1]Pakistan_Food_Prices_Cleaned!$F$2:$F$1101=G7,[1]Pakistan_Food_Prices_Cleaned!$E$2:$E$1101))</f>
        <v>0</v>
      </c>
      <c r="H12" s="20">
        <f>MEDIAN(IF([1]Pakistan_Food_Prices_Cleaned!$F$2:$F$1101=H7,[1]Pakistan_Food_Prices_Cleaned!$E$2:$E$1101))</f>
        <v>0</v>
      </c>
      <c r="I12" s="20">
        <f>MEDIAN(IF([1]Pakistan_Food_Prices_Cleaned!$F$2:$F$1101=I7,[1]Pakistan_Food_Prices_Cleaned!$E$2:$E$1101))</f>
        <v>0</v>
      </c>
      <c r="J12" s="20">
        <f>MEDIAN(IF([1]Pakistan_Food_Prices_Cleaned!$F$2:$F$1101=J7,[1]Pakistan_Food_Prices_Cleaned!$E$2:$E$1101))</f>
        <v>0</v>
      </c>
      <c r="K12" s="20">
        <f>MEDIAN(IF([1]Pakistan_Food_Prices_Cleaned!$F$2:$F$1101=K7,[1]Pakistan_Food_Prices_Cleaned!$E$2:$E$1101))</f>
        <v>0</v>
      </c>
      <c r="L12" s="20">
        <f>MEDIAN(IF([1]Pakistan_Food_Prices_Cleaned!$F$2:$F$1101=L7,[1]Pakistan_Food_Prices_Cleaned!$E$2:$E$1101))</f>
        <v>0</v>
      </c>
      <c r="M12" s="20">
        <f>MEDIAN(IF([1]Pakistan_Food_Prices_Cleaned!$F$2:$F$1101=M7,[1]Pakistan_Food_Prices_Cleaned!$E$2:$E$1101))</f>
        <v>0</v>
      </c>
      <c r="N12" s="20">
        <f>MEDIAN(IF([1]Pakistan_Food_Prices_Cleaned!$F$2:$F$1101=N7,[1]Pakistan_Food_Prices_Cleaned!$E$2:$E$1101))</f>
        <v>0</v>
      </c>
      <c r="O12" s="17"/>
    </row>
    <row r="13" spans="1:15" ht="21">
      <c r="A13" s="19" t="s">
        <v>20</v>
      </c>
      <c r="B13" s="17"/>
      <c r="C13" s="20">
        <f>AVERAGEIF([1]Pakistan_Food_Prices_Cleaned!$F$2:$F$1101,C7,[1]Pakistan_Food_Prices_Cleaned!$E$2:$E$1101)*1.2</f>
        <v>499.76040000000023</v>
      </c>
      <c r="D13" s="20">
        <f>AVERAGEIF([1]Pakistan_Food_Prices_Cleaned!$F$2:$F$1101,D7,[1]Pakistan_Food_Prices_Cleaned!$E$2:$E$1101)*1.2</f>
        <v>458.95187096774191</v>
      </c>
      <c r="E13" s="20">
        <f>AVERAGEIF([1]Pakistan_Food_Prices_Cleaned!$F$2:$F$1101,E7,[1]Pakistan_Food_Prices_Cleaned!$E$2:$E$1101)*1.2</f>
        <v>443.52472340425521</v>
      </c>
      <c r="F13" s="20">
        <f>AVERAGEIF([1]Pakistan_Food_Prices_Cleaned!$F$2:$F$1101,F7,[1]Pakistan_Food_Prices_Cleaned!$E$2:$E$1101)*1.2</f>
        <v>377.76992592592597</v>
      </c>
      <c r="G13" s="20">
        <f>AVERAGEIF([1]Pakistan_Food_Prices_Cleaned!$F$2:$F$1101,G7,[1]Pakistan_Food_Prices_Cleaned!$E$2:$E$1101)*1.2</f>
        <v>468.39817142857117</v>
      </c>
      <c r="H13" s="20">
        <f>AVERAGEIF([1]Pakistan_Food_Prices_Cleaned!$F$2:$F$1101,H7,[1]Pakistan_Food_Prices_Cleaned!$E$2:$E$1101)*1.2</f>
        <v>485.86032558139533</v>
      </c>
      <c r="I13" s="20">
        <f>AVERAGEIF([1]Pakistan_Food_Prices_Cleaned!$F$2:$F$1101,I7,[1]Pakistan_Food_Prices_Cleaned!$E$2:$E$1101)*1.2</f>
        <v>443.5889302325582</v>
      </c>
      <c r="J13" s="20">
        <f>AVERAGEIF([1]Pakistan_Food_Prices_Cleaned!$F$2:$F$1101,J7,[1]Pakistan_Food_Prices_Cleaned!$E$2:$E$1101)*1.2</f>
        <v>478.26129032258069</v>
      </c>
      <c r="K13" s="20">
        <f>AVERAGEIF([1]Pakistan_Food_Prices_Cleaned!$F$2:$F$1101,K7,[1]Pakistan_Food_Prices_Cleaned!$E$2:$E$1101)*1.2</f>
        <v>440.16419417475714</v>
      </c>
      <c r="L13" s="20">
        <f>AVERAGEIF([1]Pakistan_Food_Prices_Cleaned!$F$2:$F$1101,L7,[1]Pakistan_Food_Prices_Cleaned!$E$2:$E$1101)*1.2</f>
        <v>413.64391304347816</v>
      </c>
      <c r="M13" s="20">
        <f>AVERAGEIF([1]Pakistan_Food_Prices_Cleaned!$F$2:$F$1101,M7,[1]Pakistan_Food_Prices_Cleaned!$E$2:$E$1101)*1.2</f>
        <v>387.11851851851839</v>
      </c>
      <c r="N13" s="20">
        <f>AVERAGEIF([1]Pakistan_Food_Prices_Cleaned!$F$2:$F$1101,N7,[1]Pakistan_Food_Prices_Cleaned!$E$2:$E$1101)*1.2</f>
        <v>436.41586046511611</v>
      </c>
      <c r="O13" s="17"/>
    </row>
    <row r="14" spans="1:15" ht="21">
      <c r="A14" s="19" t="s">
        <v>21</v>
      </c>
      <c r="B14" s="17"/>
      <c r="C14" s="20">
        <f>AVERAGEIF([1]Pakistan_Food_Prices_Cleaned!$F$2:$F$1101,C7,[1]Pakistan_Food_Prices_Cleaned!$E$2:$E$1101)*0.8</f>
        <v>333.17360000000019</v>
      </c>
      <c r="D14" s="20">
        <f>AVERAGEIF([1]Pakistan_Food_Prices_Cleaned!$F$2:$F$1101,D7,[1]Pakistan_Food_Prices_Cleaned!$E$2:$E$1101)*0.8</f>
        <v>305.96791397849461</v>
      </c>
      <c r="E14" s="20">
        <f>AVERAGEIF([1]Pakistan_Food_Prices_Cleaned!$F$2:$F$1101,E7,[1]Pakistan_Food_Prices_Cleaned!$E$2:$E$1101)*0.8</f>
        <v>295.6831489361702</v>
      </c>
      <c r="F14" s="20">
        <f>AVERAGEIF([1]Pakistan_Food_Prices_Cleaned!$F$2:$F$1101,F7,[1]Pakistan_Food_Prices_Cleaned!$E$2:$E$1101)*0.8</f>
        <v>251.84661728395068</v>
      </c>
      <c r="G14" s="20">
        <f>AVERAGEIF([1]Pakistan_Food_Prices_Cleaned!$F$2:$F$1101,G7,[1]Pakistan_Food_Prices_Cleaned!$E$2:$E$1101)*0.8</f>
        <v>312.26544761904751</v>
      </c>
      <c r="H14" s="20">
        <f>AVERAGEIF([1]Pakistan_Food_Prices_Cleaned!$F$2:$F$1101,H7,[1]Pakistan_Food_Prices_Cleaned!$E$2:$E$1101)*0.8</f>
        <v>323.90688372093024</v>
      </c>
      <c r="I14" s="20">
        <f>AVERAGEIF([1]Pakistan_Food_Prices_Cleaned!$F$2:$F$1101,I7,[1]Pakistan_Food_Prices_Cleaned!$E$2:$E$1101)*0.8</f>
        <v>295.72595348837211</v>
      </c>
      <c r="J14" s="20">
        <f>AVERAGEIF([1]Pakistan_Food_Prices_Cleaned!$F$2:$F$1101,J7,[1]Pakistan_Food_Prices_Cleaned!$E$2:$E$1101)*0.8</f>
        <v>318.84086021505385</v>
      </c>
      <c r="K14" s="20">
        <f>AVERAGEIF([1]Pakistan_Food_Prices_Cleaned!$F$2:$F$1101,K7,[1]Pakistan_Food_Prices_Cleaned!$E$2:$E$1101)*0.8</f>
        <v>293.44279611650478</v>
      </c>
      <c r="L14" s="20">
        <f>AVERAGEIF([1]Pakistan_Food_Prices_Cleaned!$F$2:$F$1101,L7,[1]Pakistan_Food_Prices_Cleaned!$E$2:$E$1101)*0.8</f>
        <v>275.76260869565215</v>
      </c>
      <c r="M14" s="20">
        <f>AVERAGEIF([1]Pakistan_Food_Prices_Cleaned!$F$2:$F$1101,M7,[1]Pakistan_Food_Prices_Cleaned!$E$2:$E$1101)*0.8</f>
        <v>258.07901234567896</v>
      </c>
      <c r="N14" s="20">
        <f>AVERAGEIF([1]Pakistan_Food_Prices_Cleaned!$F$2:$F$1101,N7,[1]Pakistan_Food_Prices_Cleaned!$E$2:$E$1101)*0.8</f>
        <v>290.94390697674407</v>
      </c>
      <c r="O14" s="17"/>
    </row>
    <row r="15" spans="1:15" ht="21">
      <c r="A15" s="14"/>
      <c r="B15" s="13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3"/>
    </row>
  </sheetData>
  <conditionalFormatting sqref="C10:N1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:N1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:N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N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last="1" xr2:uid="{404B4425-3F00-4101-8B32-809D6BEB6527}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'Monthly_Track Kpl'!C14:N14</xm:f>
              <xm:sqref>O14</xm:sqref>
            </x14:sparkline>
          </x14:sparklines>
        </x14:sparklineGroup>
        <x14:sparklineGroup displayEmptyCellsAs="gap" high="1" low="1" last="1" negative="1" xr2:uid="{A4138C58-FD87-4DD1-B76C-E5679E729F02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'Monthly_Track Kpl'!C13:N13</xm:f>
              <xm:sqref>O13</xm:sqref>
            </x14:sparkline>
          </x14:sparklines>
        </x14:sparklineGroup>
        <x14:sparklineGroup displayEmptyCellsAs="gap" high="1" low="1" xr2:uid="{242E4D5A-240A-432D-9064-F714E767DFD2}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'Monthly_Track Kpl'!C12:N12</xm:f>
              <xm:sqref>O12</xm:sqref>
            </x14:sparkline>
          </x14:sparklines>
        </x14:sparklineGroup>
        <x14:sparklineGroup displayEmptyCellsAs="gap" high="1" low="1" last="1" xr2:uid="{55543BBF-D3A0-402E-9DBF-36136C7556E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'Monthly_Track Kpl'!C11:N11</xm:f>
              <xm:sqref>O11</xm:sqref>
            </x14:sparkline>
          </x14:sparklines>
        </x14:sparklineGroup>
        <x14:sparklineGroup displayEmptyCellsAs="gap" high="1" low="1" xr2:uid="{917A6159-E6F8-48BD-8D7E-CE7A8A780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'Monthly_Track Kpl'!C10:N10</xm:f>
              <xm:sqref>O10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watsala innocent</dc:creator>
  <cp:keywords/>
  <dc:description/>
  <cp:lastModifiedBy>watsala innocent</cp:lastModifiedBy>
  <cp:revision/>
  <dcterms:created xsi:type="dcterms:W3CDTF">2026-03-05T09:31:07Z</dcterms:created>
  <dcterms:modified xsi:type="dcterms:W3CDTF">2026-06-22T22:36:06Z</dcterms:modified>
  <cp:category/>
  <cp:contentStatus/>
</cp:coreProperties>
</file>