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8_{6750BBBD-0CA4-4B4A-AF1D-621589933AE0}" xr6:coauthVersionLast="47" xr6:coauthVersionMax="47" xr10:uidLastSave="{00000000-0000-0000-0000-000000000000}"/>
  <bookViews>
    <workbookView xWindow="-110" yWindow="-110" windowWidth="19420" windowHeight="11020" xr2:uid="{8A6333C8-BCC1-49F4-952A-20FE895A1A69}"/>
  </bookViews>
  <sheets>
    <sheet name="Gap_Analysis_price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6" i="1" a="1"/>
  <c r="C36" i="1" s="1"/>
  <c r="E36" i="1" s="1"/>
  <c r="D35" i="1"/>
  <c r="C35" i="1" a="1"/>
  <c r="C35" i="1" s="1"/>
  <c r="E35" i="1" s="1"/>
  <c r="D34" i="1"/>
  <c r="C34" i="1" a="1"/>
  <c r="C34" i="1" s="1"/>
  <c r="E34" i="1" s="1"/>
  <c r="D33" i="1"/>
  <c r="C33" i="1" a="1"/>
  <c r="C33" i="1" s="1"/>
  <c r="E33" i="1" s="1"/>
  <c r="D32" i="1"/>
  <c r="C32" i="1" a="1"/>
  <c r="C32" i="1" s="1"/>
  <c r="E32" i="1" s="1"/>
  <c r="D31" i="1"/>
  <c r="C31" i="1" a="1"/>
  <c r="C31" i="1" s="1"/>
  <c r="E31" i="1" s="1"/>
  <c r="D30" i="1"/>
  <c r="C30" i="1" a="1"/>
  <c r="C30" i="1" s="1"/>
  <c r="E30" i="1" s="1"/>
  <c r="D29" i="1"/>
  <c r="C29" i="1" a="1"/>
  <c r="C29" i="1" s="1"/>
  <c r="E29" i="1" s="1"/>
  <c r="D28" i="1"/>
  <c r="C28" i="1" a="1"/>
  <c r="C28" i="1" s="1"/>
  <c r="E28" i="1" s="1"/>
  <c r="D27" i="1"/>
  <c r="C27" i="1" a="1"/>
  <c r="C27" i="1" s="1"/>
  <c r="E27" i="1" s="1"/>
  <c r="D26" i="1"/>
  <c r="C26" i="1" a="1"/>
  <c r="C26" i="1" s="1"/>
  <c r="E26" i="1" s="1"/>
  <c r="D25" i="1"/>
  <c r="C25" i="1" a="1"/>
  <c r="C25" i="1" s="1"/>
  <c r="E25" i="1" s="1"/>
  <c r="D24" i="1"/>
  <c r="C24" i="1" a="1"/>
  <c r="C24" i="1" s="1"/>
  <c r="E24" i="1" s="1"/>
  <c r="D23" i="1"/>
  <c r="C23" i="1" a="1"/>
  <c r="C23" i="1" s="1"/>
  <c r="E23" i="1" s="1"/>
  <c r="D22" i="1"/>
  <c r="C22" i="1" a="1"/>
  <c r="C22" i="1" s="1"/>
  <c r="E22" i="1" s="1"/>
  <c r="D21" i="1"/>
  <c r="C21" i="1" a="1"/>
  <c r="C21" i="1" s="1"/>
  <c r="E21" i="1" s="1"/>
  <c r="D20" i="1"/>
  <c r="C20" i="1" a="1"/>
  <c r="C20" i="1" s="1"/>
  <c r="E20" i="1" s="1"/>
  <c r="D19" i="1"/>
  <c r="C19" i="1" a="1"/>
  <c r="C19" i="1" s="1"/>
  <c r="E19" i="1" s="1"/>
  <c r="D18" i="1"/>
  <c r="C18" i="1" a="1"/>
  <c r="C18" i="1" s="1"/>
  <c r="E18" i="1" s="1"/>
  <c r="D17" i="1"/>
  <c r="C17" i="1" a="1"/>
  <c r="C17" i="1" s="1"/>
  <c r="E17" i="1" s="1"/>
  <c r="D16" i="1"/>
  <c r="C16" i="1" a="1"/>
  <c r="C16" i="1" s="1"/>
  <c r="E16" i="1" s="1"/>
  <c r="D15" i="1"/>
  <c r="C15" i="1" a="1"/>
  <c r="C15" i="1" s="1"/>
  <c r="E15" i="1" s="1"/>
  <c r="D14" i="1"/>
  <c r="C14" i="1" a="1"/>
  <c r="C14" i="1" s="1"/>
  <c r="E14" i="1" s="1"/>
  <c r="D13" i="1"/>
  <c r="C13" i="1" a="1"/>
  <c r="C13" i="1" s="1"/>
  <c r="E13" i="1" s="1"/>
  <c r="D12" i="1"/>
  <c r="C12" i="1" a="1"/>
  <c r="C12" i="1" s="1"/>
  <c r="E12" i="1" s="1"/>
  <c r="D11" i="1"/>
  <c r="C11" i="1" a="1"/>
  <c r="C11" i="1" s="1"/>
  <c r="E11" i="1" s="1"/>
  <c r="I10" i="1"/>
  <c r="H10" i="1" a="1"/>
  <c r="H10" i="1" s="1"/>
  <c r="J10" i="1" s="1"/>
  <c r="D10" i="1"/>
  <c r="C10" i="1" a="1"/>
  <c r="C10" i="1" s="1"/>
  <c r="E10" i="1" s="1"/>
  <c r="I9" i="1"/>
  <c r="H9" i="1" a="1"/>
  <c r="H9" i="1" s="1"/>
  <c r="J9" i="1" s="1"/>
  <c r="D9" i="1"/>
  <c r="C9" i="1" a="1"/>
  <c r="C9" i="1" s="1"/>
  <c r="E9" i="1" s="1"/>
  <c r="I8" i="1"/>
  <c r="H8" i="1" a="1"/>
  <c r="H8" i="1" s="1"/>
  <c r="J8" i="1" s="1"/>
  <c r="D8" i="1"/>
  <c r="C8" i="1" a="1"/>
  <c r="C8" i="1" s="1"/>
  <c r="E8" i="1" s="1"/>
  <c r="I7" i="1"/>
  <c r="H7" i="1" a="1"/>
  <c r="H7" i="1" s="1"/>
  <c r="J7" i="1" s="1"/>
  <c r="D7" i="1"/>
  <c r="C7" i="1" a="1"/>
  <c r="C7" i="1" s="1"/>
  <c r="E7" i="1" s="1"/>
  <c r="I6" i="1"/>
  <c r="H6" i="1" a="1"/>
  <c r="H6" i="1" s="1"/>
  <c r="J6" i="1" s="1"/>
  <c r="D6" i="1"/>
  <c r="C6" i="1" a="1"/>
  <c r="C6" i="1" s="1"/>
  <c r="E6" i="1" s="1"/>
  <c r="I5" i="1"/>
  <c r="H5" i="1" a="1"/>
  <c r="H5" i="1" s="1"/>
  <c r="J5" i="1" s="1"/>
  <c r="D5" i="1"/>
  <c r="C5" i="1" a="1"/>
  <c r="C5" i="1" s="1"/>
  <c r="E5" i="1" s="1"/>
  <c r="I4" i="1"/>
  <c r="H4" i="1" a="1"/>
  <c r="H4" i="1" s="1"/>
  <c r="J4" i="1" s="1"/>
  <c r="D4" i="1"/>
  <c r="C4" i="1" a="1"/>
  <c r="C4" i="1" s="1"/>
  <c r="E4" i="1" s="1"/>
  <c r="I3" i="1"/>
  <c r="H3" i="1" a="1"/>
  <c r="H3" i="1" s="1"/>
  <c r="J3" i="1" s="1"/>
  <c r="D3" i="1"/>
  <c r="C3" i="1" a="1"/>
  <c r="C3" i="1" s="1"/>
  <c r="E3" i="1" s="1"/>
  <c r="I2" i="1"/>
  <c r="H2" i="1" a="1"/>
  <c r="H2" i="1" s="1"/>
  <c r="J2" i="1" s="1"/>
  <c r="D2" i="1"/>
  <c r="C2" i="1" a="1"/>
  <c r="C2" i="1" s="1"/>
  <c r="E2" i="1" s="1"/>
</calcChain>
</file>

<file path=xl/sharedStrings.xml><?xml version="1.0" encoding="utf-8"?>
<sst xmlns="http://schemas.openxmlformats.org/spreadsheetml/2006/main" count="52" uniqueCount="51">
  <si>
    <t>Item</t>
  </si>
  <si>
    <t>Medain Price</t>
  </si>
  <si>
    <t>Average Price</t>
  </si>
  <si>
    <t xml:space="preserve">Gap </t>
  </si>
  <si>
    <t>Catergory</t>
  </si>
  <si>
    <t>Median Price</t>
  </si>
  <si>
    <t>Average</t>
  </si>
  <si>
    <t>Milk</t>
  </si>
  <si>
    <t>Dairy</t>
  </si>
  <si>
    <t>Beef (Local)</t>
  </si>
  <si>
    <t>Meat</t>
  </si>
  <si>
    <t>Mango</t>
  </si>
  <si>
    <t>Fruit</t>
  </si>
  <si>
    <t>Flour (Atta)</t>
  </si>
  <si>
    <t>Grain</t>
  </si>
  <si>
    <t>Tomato</t>
  </si>
  <si>
    <t>Vegetable</t>
  </si>
  <si>
    <t>Fish (Pomfret)</t>
  </si>
  <si>
    <t>Oil</t>
  </si>
  <si>
    <t>Ghee</t>
  </si>
  <si>
    <t>Condiment</t>
  </si>
  <si>
    <t>Potato</t>
  </si>
  <si>
    <t>Pulses</t>
  </si>
  <si>
    <t>Apple</t>
  </si>
  <si>
    <t>Beverage</t>
  </si>
  <si>
    <t>Chicken Breast</t>
  </si>
  <si>
    <t>Banana</t>
  </si>
  <si>
    <t>Carrot</t>
  </si>
  <si>
    <t>Cheese (Local)</t>
  </si>
  <si>
    <t>Chicken (Whole)</t>
  </si>
  <si>
    <t>Chickpeas</t>
  </si>
  <si>
    <t>Cooking Oil (Sunflower)</t>
  </si>
  <si>
    <t>Eggplant</t>
  </si>
  <si>
    <t>Fish (Rohu)</t>
  </si>
  <si>
    <t>Grapes</t>
  </si>
  <si>
    <t>Guava</t>
  </si>
  <si>
    <t>Lentils (Masoor)</t>
  </si>
  <si>
    <t>Lentils (Moong)</t>
  </si>
  <si>
    <t>Maize</t>
  </si>
  <si>
    <t>Mutton</t>
  </si>
  <si>
    <t>Onion</t>
  </si>
  <si>
    <t>Oranges</t>
  </si>
  <si>
    <t>Rice (Basmati)</t>
  </si>
  <si>
    <t>Rice (Irri)</t>
  </si>
  <si>
    <t>Salt</t>
  </si>
  <si>
    <t>Spices (Mixed)</t>
  </si>
  <si>
    <t>Spinach</t>
  </si>
  <si>
    <t>Sugar</t>
  </si>
  <si>
    <t>Tea (Loose)</t>
  </si>
  <si>
    <t>Wheat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</si>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</sst>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_);_(\$* \(#,##0\);_(\$* \-??_);_(@_)"/>
  </numFmts>
  <fonts count="3" x14ac:knownFonts="1">
    <font>
      <sz val="11"/>
      <color theme="1"/>
      <name val="Calibri"/>
      <family val="2"/>
    </font>
    <font>
      <b/>
      <sz val="12"/>
      <color theme="5"/>
      <name val="Segoe UI"/>
      <family val="2"/>
      <charset val="1"/>
    </font>
    <font>
      <sz val="12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9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B1" t="str">
            <v>Item</v>
          </cell>
          <cell r="C1" t="str">
            <v>Category</v>
          </cell>
          <cell r="E1" t="str">
            <v>Price_per_Kg</v>
          </cell>
        </row>
        <row r="2">
          <cell r="B2" t="str">
            <v>Milk</v>
          </cell>
          <cell r="C2" t="str">
            <v>Dairy</v>
          </cell>
          <cell r="E2">
            <v>188.93</v>
          </cell>
        </row>
        <row r="3">
          <cell r="B3" t="str">
            <v>Beef (Local)</v>
          </cell>
          <cell r="C3" t="str">
            <v>Meat</v>
          </cell>
          <cell r="E3">
            <v>866.6</v>
          </cell>
        </row>
        <row r="4">
          <cell r="B4" t="str">
            <v>Mango</v>
          </cell>
          <cell r="C4" t="str">
            <v>Fruit</v>
          </cell>
          <cell r="E4">
            <v>243.67</v>
          </cell>
        </row>
        <row r="5">
          <cell r="B5" t="str">
            <v>Flour (Atta)</v>
          </cell>
          <cell r="C5" t="str">
            <v>Grain</v>
          </cell>
          <cell r="E5">
            <v>121.4</v>
          </cell>
        </row>
        <row r="6">
          <cell r="B6" t="str">
            <v>Tomato</v>
          </cell>
          <cell r="C6" t="str">
            <v>Vegetable</v>
          </cell>
          <cell r="E6">
            <v>127.83</v>
          </cell>
        </row>
        <row r="7">
          <cell r="B7" t="str">
            <v>Fish (Pomfret)</v>
          </cell>
          <cell r="C7" t="str">
            <v>Meat</v>
          </cell>
          <cell r="E7">
            <v>1109.04</v>
          </cell>
        </row>
        <row r="8">
          <cell r="B8" t="str">
            <v>Ghee</v>
          </cell>
          <cell r="C8" t="str">
            <v>Oil</v>
          </cell>
          <cell r="E8">
            <v>1010.15</v>
          </cell>
        </row>
        <row r="9">
          <cell r="B9" t="str">
            <v>Potato</v>
          </cell>
          <cell r="C9" t="str">
            <v>Vegetable</v>
          </cell>
          <cell r="E9">
            <v>65.599999999999994</v>
          </cell>
        </row>
        <row r="10">
          <cell r="B10" t="str">
            <v>Mango</v>
          </cell>
          <cell r="C10" t="str">
            <v>Fruit</v>
          </cell>
          <cell r="E10">
            <v>281.27</v>
          </cell>
        </row>
        <row r="11">
          <cell r="B11" t="str">
            <v>Apple</v>
          </cell>
          <cell r="C11" t="str">
            <v>Fruit</v>
          </cell>
          <cell r="E11">
            <v>192.97</v>
          </cell>
        </row>
        <row r="12">
          <cell r="B12" t="str">
            <v>Beef (Local)</v>
          </cell>
          <cell r="C12" t="str">
            <v>Meat</v>
          </cell>
          <cell r="E12">
            <v>1050.9100000000001</v>
          </cell>
        </row>
        <row r="13">
          <cell r="B13" t="str">
            <v>Flour (Atta)</v>
          </cell>
          <cell r="C13" t="str">
            <v>Grain</v>
          </cell>
          <cell r="E13">
            <v>105.53</v>
          </cell>
        </row>
        <row r="14">
          <cell r="B14" t="str">
            <v>Chicken Breast</v>
          </cell>
          <cell r="C14" t="str">
            <v>Meat</v>
          </cell>
          <cell r="E14">
            <v>590.91999999999996</v>
          </cell>
        </row>
        <row r="15">
          <cell r="B15" t="str">
            <v>Flour (Atta)</v>
          </cell>
          <cell r="C15" t="str">
            <v>Grain</v>
          </cell>
          <cell r="E15">
            <v>111.74</v>
          </cell>
        </row>
        <row r="16">
          <cell r="B16" t="str">
            <v>Mutton</v>
          </cell>
          <cell r="C16" t="str">
            <v>Meat</v>
          </cell>
          <cell r="E16">
            <v>1281.94</v>
          </cell>
        </row>
        <row r="17">
          <cell r="B17" t="str">
            <v>Tomato</v>
          </cell>
          <cell r="C17" t="str">
            <v>Vegetable</v>
          </cell>
          <cell r="E17">
            <v>127.77</v>
          </cell>
        </row>
        <row r="18">
          <cell r="B18" t="str">
            <v>Eggplant</v>
          </cell>
          <cell r="C18" t="str">
            <v>Vegetable</v>
          </cell>
          <cell r="E18">
            <v>84.96</v>
          </cell>
        </row>
        <row r="19">
          <cell r="B19" t="str">
            <v>Sugar</v>
          </cell>
          <cell r="C19" t="str">
            <v>Grain</v>
          </cell>
          <cell r="E19">
            <v>120.82</v>
          </cell>
        </row>
        <row r="20">
          <cell r="B20" t="str">
            <v>Spinach</v>
          </cell>
          <cell r="C20" t="str">
            <v>Vegetable</v>
          </cell>
          <cell r="E20">
            <v>70.290000000000006</v>
          </cell>
        </row>
        <row r="21">
          <cell r="B21" t="str">
            <v>Spices (Mixed)</v>
          </cell>
          <cell r="C21" t="str">
            <v>Condiment</v>
          </cell>
          <cell r="E21">
            <v>747.99</v>
          </cell>
        </row>
        <row r="22">
          <cell r="B22" t="str">
            <v>Spices (Mixed)</v>
          </cell>
          <cell r="C22" t="str">
            <v>Condiment</v>
          </cell>
          <cell r="E22">
            <v>771.03</v>
          </cell>
        </row>
        <row r="23">
          <cell r="B23" t="str">
            <v>Chicken (Whole)</v>
          </cell>
          <cell r="C23" t="str">
            <v>Meat</v>
          </cell>
          <cell r="E23">
            <v>582.55999999999995</v>
          </cell>
        </row>
        <row r="24">
          <cell r="B24" t="str">
            <v>Milk</v>
          </cell>
          <cell r="C24" t="str">
            <v>Dairy</v>
          </cell>
          <cell r="E24">
            <v>216.45</v>
          </cell>
        </row>
        <row r="25">
          <cell r="B25" t="str">
            <v>Mango</v>
          </cell>
          <cell r="C25" t="str">
            <v>Fruit</v>
          </cell>
          <cell r="E25">
            <v>238.43</v>
          </cell>
        </row>
        <row r="26">
          <cell r="B26" t="str">
            <v>Banana</v>
          </cell>
          <cell r="C26" t="str">
            <v>Fruit</v>
          </cell>
          <cell r="E26">
            <v>131.91</v>
          </cell>
        </row>
        <row r="27">
          <cell r="B27" t="str">
            <v>Chickpeas</v>
          </cell>
          <cell r="C27" t="str">
            <v>Pulses</v>
          </cell>
          <cell r="E27">
            <v>179.05</v>
          </cell>
        </row>
        <row r="28">
          <cell r="B28" t="str">
            <v>Fish (Pomfret)</v>
          </cell>
          <cell r="C28" t="str">
            <v>Meat</v>
          </cell>
          <cell r="E28">
            <v>1194.76</v>
          </cell>
        </row>
        <row r="29">
          <cell r="B29" t="str">
            <v>Fish (Pomfret)</v>
          </cell>
          <cell r="C29" t="str">
            <v>Meat</v>
          </cell>
          <cell r="E29">
            <v>1280.22</v>
          </cell>
        </row>
        <row r="30">
          <cell r="B30" t="str">
            <v>Spices (Mixed)</v>
          </cell>
          <cell r="C30" t="str">
            <v>Condiment</v>
          </cell>
          <cell r="E30">
            <v>814.16</v>
          </cell>
        </row>
        <row r="31">
          <cell r="B31" t="str">
            <v>Lentils (Masoor)</v>
          </cell>
          <cell r="C31" t="str">
            <v>Pulses</v>
          </cell>
          <cell r="E31">
            <v>244.61</v>
          </cell>
        </row>
        <row r="32">
          <cell r="B32" t="str">
            <v>Beef (Local)</v>
          </cell>
          <cell r="C32" t="str">
            <v>Meat</v>
          </cell>
          <cell r="E32">
            <v>982.68</v>
          </cell>
        </row>
        <row r="33">
          <cell r="B33" t="str">
            <v>Lentils (Masoor)</v>
          </cell>
          <cell r="C33" t="str">
            <v>Pulses</v>
          </cell>
          <cell r="E33">
            <v>254.18</v>
          </cell>
        </row>
        <row r="34">
          <cell r="B34" t="str">
            <v>Sugar</v>
          </cell>
          <cell r="C34" t="str">
            <v>Grain</v>
          </cell>
          <cell r="E34">
            <v>120.63</v>
          </cell>
        </row>
        <row r="35">
          <cell r="B35" t="str">
            <v>Oranges</v>
          </cell>
          <cell r="C35" t="str">
            <v>Fruit</v>
          </cell>
          <cell r="E35">
            <v>154.55000000000001</v>
          </cell>
        </row>
        <row r="36">
          <cell r="B36" t="str">
            <v>Carrot</v>
          </cell>
          <cell r="C36" t="str">
            <v>Vegetable</v>
          </cell>
          <cell r="E36">
            <v>163.29</v>
          </cell>
        </row>
        <row r="37">
          <cell r="B37" t="str">
            <v>Chicken Breast</v>
          </cell>
          <cell r="C37" t="str">
            <v>Meat</v>
          </cell>
          <cell r="E37">
            <v>711</v>
          </cell>
        </row>
        <row r="38">
          <cell r="B38" t="str">
            <v>Grapes</v>
          </cell>
          <cell r="C38" t="str">
            <v>Fruit</v>
          </cell>
          <cell r="E38">
            <v>235.43</v>
          </cell>
        </row>
        <row r="39">
          <cell r="B39" t="str">
            <v>Maize</v>
          </cell>
          <cell r="C39" t="str">
            <v>Grain</v>
          </cell>
          <cell r="E39">
            <v>105.04</v>
          </cell>
        </row>
        <row r="40">
          <cell r="B40" t="str">
            <v>Potato</v>
          </cell>
          <cell r="C40" t="str">
            <v>Vegetable</v>
          </cell>
          <cell r="E40">
            <v>68.81</v>
          </cell>
        </row>
        <row r="41">
          <cell r="B41" t="str">
            <v>Chicken Breast</v>
          </cell>
          <cell r="C41" t="str">
            <v>Meat</v>
          </cell>
          <cell r="E41">
            <v>643.05999999999995</v>
          </cell>
        </row>
        <row r="42">
          <cell r="B42" t="str">
            <v>Tea (Loose)</v>
          </cell>
          <cell r="C42" t="str">
            <v>Beverage</v>
          </cell>
          <cell r="E42">
            <v>910.93</v>
          </cell>
        </row>
        <row r="43">
          <cell r="B43" t="str">
            <v>Salt</v>
          </cell>
          <cell r="C43" t="str">
            <v>Condiment</v>
          </cell>
          <cell r="E43">
            <v>43.91</v>
          </cell>
        </row>
        <row r="44">
          <cell r="B44" t="str">
            <v>Cooking Oil (Sunflower)</v>
          </cell>
          <cell r="C44" t="str">
            <v>Oil</v>
          </cell>
          <cell r="E44">
            <v>343.24</v>
          </cell>
        </row>
        <row r="45">
          <cell r="B45" t="str">
            <v>Ghee</v>
          </cell>
          <cell r="C45" t="str">
            <v>Oil</v>
          </cell>
          <cell r="E45">
            <v>1185.1600000000001</v>
          </cell>
        </row>
        <row r="46">
          <cell r="B46" t="str">
            <v>Chicken (Whole)</v>
          </cell>
          <cell r="C46" t="str">
            <v>Meat</v>
          </cell>
          <cell r="E46">
            <v>549.88</v>
          </cell>
        </row>
        <row r="47">
          <cell r="B47" t="str">
            <v>Carrot</v>
          </cell>
          <cell r="C47" t="str">
            <v>Vegetable</v>
          </cell>
          <cell r="E47">
            <v>154.72999999999999</v>
          </cell>
        </row>
        <row r="48">
          <cell r="B48" t="str">
            <v>Spinach</v>
          </cell>
          <cell r="C48" t="str">
            <v>Vegetable</v>
          </cell>
          <cell r="E48">
            <v>63.49</v>
          </cell>
        </row>
        <row r="49">
          <cell r="B49" t="str">
            <v>Mutton</v>
          </cell>
          <cell r="C49" t="str">
            <v>Meat</v>
          </cell>
          <cell r="E49">
            <v>1406.41</v>
          </cell>
        </row>
        <row r="50">
          <cell r="B50" t="str">
            <v>Wheat</v>
          </cell>
          <cell r="C50" t="str">
            <v>Grain</v>
          </cell>
          <cell r="E50">
            <v>115.59</v>
          </cell>
        </row>
        <row r="51">
          <cell r="B51" t="str">
            <v>Chicken Breast</v>
          </cell>
          <cell r="C51" t="str">
            <v>Meat</v>
          </cell>
          <cell r="E51">
            <v>611.47</v>
          </cell>
        </row>
        <row r="52">
          <cell r="B52" t="str">
            <v>Tea (Loose)</v>
          </cell>
          <cell r="C52" t="str">
            <v>Beverage</v>
          </cell>
          <cell r="E52">
            <v>959.24</v>
          </cell>
        </row>
        <row r="53">
          <cell r="B53" t="str">
            <v>Grapes</v>
          </cell>
          <cell r="C53" t="str">
            <v>Fruit</v>
          </cell>
          <cell r="E53">
            <v>217.14</v>
          </cell>
        </row>
        <row r="54">
          <cell r="B54" t="str">
            <v>Lentils (Moong)</v>
          </cell>
          <cell r="C54" t="str">
            <v>Pulses</v>
          </cell>
          <cell r="E54">
            <v>349.83</v>
          </cell>
        </row>
        <row r="55">
          <cell r="B55" t="str">
            <v>Chickpeas</v>
          </cell>
          <cell r="C55" t="str">
            <v>Pulses</v>
          </cell>
          <cell r="E55">
            <v>222.18</v>
          </cell>
        </row>
        <row r="56">
          <cell r="B56" t="str">
            <v>Tea (Loose)</v>
          </cell>
          <cell r="C56" t="str">
            <v>Beverage</v>
          </cell>
          <cell r="E56">
            <v>957.43</v>
          </cell>
        </row>
        <row r="57">
          <cell r="B57" t="str">
            <v>Tea (Loose)</v>
          </cell>
          <cell r="C57" t="str">
            <v>Beverage</v>
          </cell>
          <cell r="E57">
            <v>859.05</v>
          </cell>
        </row>
        <row r="58">
          <cell r="B58" t="str">
            <v>Maize</v>
          </cell>
          <cell r="C58" t="str">
            <v>Grain</v>
          </cell>
          <cell r="E58">
            <v>91.38</v>
          </cell>
        </row>
        <row r="59">
          <cell r="B59" t="str">
            <v>Ghee</v>
          </cell>
          <cell r="C59" t="str">
            <v>Oil</v>
          </cell>
          <cell r="E59">
            <v>1009.59</v>
          </cell>
        </row>
        <row r="60">
          <cell r="B60" t="str">
            <v>Flour (Atta)</v>
          </cell>
          <cell r="C60" t="str">
            <v>Grain</v>
          </cell>
          <cell r="E60">
            <v>129.54</v>
          </cell>
        </row>
        <row r="61">
          <cell r="B61" t="str">
            <v>Oranges</v>
          </cell>
          <cell r="C61" t="str">
            <v>Fruit</v>
          </cell>
          <cell r="E61">
            <v>144.36000000000001</v>
          </cell>
        </row>
        <row r="62">
          <cell r="B62" t="str">
            <v>Chicken Breast</v>
          </cell>
          <cell r="C62" t="str">
            <v>Meat</v>
          </cell>
          <cell r="E62">
            <v>723.82</v>
          </cell>
        </row>
        <row r="63">
          <cell r="B63" t="str">
            <v>Flour (Atta)</v>
          </cell>
          <cell r="C63" t="str">
            <v>Grain</v>
          </cell>
          <cell r="E63">
            <v>99.94</v>
          </cell>
        </row>
        <row r="64">
          <cell r="B64" t="str">
            <v>Potato</v>
          </cell>
          <cell r="C64" t="str">
            <v>Vegetable</v>
          </cell>
          <cell r="E64">
            <v>69.89</v>
          </cell>
        </row>
        <row r="65">
          <cell r="B65" t="str">
            <v>Cooking Oil (Sunflower)</v>
          </cell>
          <cell r="C65" t="str">
            <v>Oil</v>
          </cell>
          <cell r="E65">
            <v>373.56</v>
          </cell>
        </row>
        <row r="66">
          <cell r="B66" t="str">
            <v>Yogurt</v>
          </cell>
          <cell r="C66" t="str">
            <v>Dairy</v>
          </cell>
          <cell r="E66">
            <v>208.96</v>
          </cell>
        </row>
        <row r="67">
          <cell r="B67" t="str">
            <v>Rice (Basmati)</v>
          </cell>
          <cell r="C67" t="str">
            <v>Grain</v>
          </cell>
          <cell r="E67">
            <v>272.89999999999998</v>
          </cell>
        </row>
        <row r="68">
          <cell r="B68" t="str">
            <v>Tea (Loose)</v>
          </cell>
          <cell r="C68" t="str">
            <v>Beverage</v>
          </cell>
          <cell r="E68">
            <v>955.92</v>
          </cell>
        </row>
        <row r="69">
          <cell r="B69" t="str">
            <v>Cooking Oil (Sunflower)</v>
          </cell>
          <cell r="C69" t="str">
            <v>Oil</v>
          </cell>
          <cell r="E69">
            <v>344.25</v>
          </cell>
        </row>
        <row r="70">
          <cell r="B70" t="str">
            <v>Maize</v>
          </cell>
          <cell r="C70" t="str">
            <v>Grain</v>
          </cell>
          <cell r="E70">
            <v>97.52</v>
          </cell>
        </row>
        <row r="71">
          <cell r="B71" t="str">
            <v>Ghee</v>
          </cell>
          <cell r="C71" t="str">
            <v>Oil</v>
          </cell>
          <cell r="E71">
            <v>992.48</v>
          </cell>
        </row>
        <row r="72">
          <cell r="B72" t="str">
            <v>Rice (Basmati)</v>
          </cell>
          <cell r="C72" t="str">
            <v>Grain</v>
          </cell>
          <cell r="E72">
            <v>329.09</v>
          </cell>
        </row>
        <row r="73">
          <cell r="B73" t="str">
            <v>Lentils (Masoor)</v>
          </cell>
          <cell r="C73" t="str">
            <v>Pulses</v>
          </cell>
          <cell r="E73">
            <v>285.01</v>
          </cell>
        </row>
        <row r="74">
          <cell r="B74" t="str">
            <v>Onion</v>
          </cell>
          <cell r="C74" t="str">
            <v>Vegetable</v>
          </cell>
          <cell r="E74">
            <v>86.84</v>
          </cell>
        </row>
        <row r="75">
          <cell r="B75" t="str">
            <v>Grapes</v>
          </cell>
          <cell r="C75" t="str">
            <v>Fruit</v>
          </cell>
          <cell r="E75">
            <v>220.63</v>
          </cell>
        </row>
        <row r="76">
          <cell r="B76" t="str">
            <v>Lentils (Moong)</v>
          </cell>
          <cell r="C76" t="str">
            <v>Pulses</v>
          </cell>
          <cell r="E76">
            <v>333.47</v>
          </cell>
        </row>
        <row r="77">
          <cell r="B77" t="str">
            <v>Potato</v>
          </cell>
          <cell r="C77" t="str">
            <v>Vegetable</v>
          </cell>
          <cell r="E77">
            <v>79.22</v>
          </cell>
        </row>
        <row r="78">
          <cell r="B78" t="str">
            <v>Beef (Local)</v>
          </cell>
          <cell r="C78" t="str">
            <v>Meat</v>
          </cell>
          <cell r="E78">
            <v>1046.05</v>
          </cell>
        </row>
        <row r="79">
          <cell r="B79" t="str">
            <v>Grapes</v>
          </cell>
          <cell r="C79" t="str">
            <v>Fruit</v>
          </cell>
          <cell r="E79">
            <v>246.38</v>
          </cell>
        </row>
        <row r="80">
          <cell r="B80" t="str">
            <v>Fish (Rohu)</v>
          </cell>
          <cell r="C80" t="str">
            <v>Meat</v>
          </cell>
          <cell r="E80">
            <v>744.03</v>
          </cell>
        </row>
        <row r="81">
          <cell r="B81" t="str">
            <v>Carrot</v>
          </cell>
          <cell r="C81" t="str">
            <v>Vegetable</v>
          </cell>
          <cell r="E81">
            <v>126.58</v>
          </cell>
        </row>
        <row r="82">
          <cell r="B82" t="str">
            <v>Tomato</v>
          </cell>
          <cell r="C82" t="str">
            <v>Vegetable</v>
          </cell>
          <cell r="E82">
            <v>124.5</v>
          </cell>
        </row>
        <row r="83">
          <cell r="B83" t="str">
            <v>Rice (Irri)</v>
          </cell>
          <cell r="C83" t="str">
            <v>Grain</v>
          </cell>
          <cell r="E83">
            <v>147.71</v>
          </cell>
        </row>
        <row r="84">
          <cell r="B84" t="str">
            <v>Apple</v>
          </cell>
          <cell r="C84" t="str">
            <v>Fruit</v>
          </cell>
          <cell r="E84">
            <v>176.24</v>
          </cell>
        </row>
        <row r="85">
          <cell r="B85" t="str">
            <v>Potato</v>
          </cell>
          <cell r="C85" t="str">
            <v>Vegetable</v>
          </cell>
          <cell r="E85">
            <v>71.91</v>
          </cell>
        </row>
        <row r="86">
          <cell r="B86" t="str">
            <v>Tomato</v>
          </cell>
          <cell r="C86" t="str">
            <v>Vegetable</v>
          </cell>
          <cell r="E86">
            <v>146.81</v>
          </cell>
        </row>
        <row r="87">
          <cell r="B87" t="str">
            <v>Potato</v>
          </cell>
          <cell r="C87" t="str">
            <v>Vegetable</v>
          </cell>
          <cell r="E87">
            <v>82.15</v>
          </cell>
        </row>
        <row r="88">
          <cell r="B88" t="str">
            <v>Sugar</v>
          </cell>
          <cell r="C88" t="str">
            <v>Grain</v>
          </cell>
          <cell r="E88">
            <v>130.16</v>
          </cell>
        </row>
        <row r="89">
          <cell r="B89" t="str">
            <v>Fish (Pomfret)</v>
          </cell>
          <cell r="C89" t="str">
            <v>Meat</v>
          </cell>
          <cell r="E89">
            <v>1246.3599999999999</v>
          </cell>
        </row>
        <row r="90">
          <cell r="B90" t="str">
            <v>Fish (Pomfret)</v>
          </cell>
          <cell r="C90" t="str">
            <v>Meat</v>
          </cell>
          <cell r="E90">
            <v>1130.8900000000001</v>
          </cell>
        </row>
        <row r="91">
          <cell r="B91" t="str">
            <v>Banana</v>
          </cell>
          <cell r="C91" t="str">
            <v>Fruit</v>
          </cell>
          <cell r="E91">
            <v>108.14</v>
          </cell>
        </row>
        <row r="92">
          <cell r="B92" t="str">
            <v>Tea (Loose)</v>
          </cell>
          <cell r="C92" t="str">
            <v>Beverage</v>
          </cell>
          <cell r="E92">
            <v>985.21</v>
          </cell>
        </row>
        <row r="93">
          <cell r="B93" t="str">
            <v>Maize</v>
          </cell>
          <cell r="C93" t="str">
            <v>Grain</v>
          </cell>
          <cell r="E93">
            <v>94.3</v>
          </cell>
        </row>
        <row r="94">
          <cell r="B94" t="str">
            <v>Yogurt</v>
          </cell>
          <cell r="C94" t="str">
            <v>Dairy</v>
          </cell>
          <cell r="E94">
            <v>252.05</v>
          </cell>
        </row>
        <row r="95">
          <cell r="B95" t="str">
            <v>Cheese (Local)</v>
          </cell>
          <cell r="C95" t="str">
            <v>Dairy</v>
          </cell>
          <cell r="E95">
            <v>796.94</v>
          </cell>
        </row>
        <row r="96">
          <cell r="B96" t="str">
            <v>Fish (Pomfret)</v>
          </cell>
          <cell r="C96" t="str">
            <v>Meat</v>
          </cell>
          <cell r="E96">
            <v>1136.8499999999999</v>
          </cell>
        </row>
        <row r="97">
          <cell r="B97" t="str">
            <v>Oranges</v>
          </cell>
          <cell r="C97" t="str">
            <v>Fruit</v>
          </cell>
          <cell r="E97">
            <v>161.65</v>
          </cell>
        </row>
        <row r="98">
          <cell r="B98" t="str">
            <v>Flour (Atta)</v>
          </cell>
          <cell r="C98" t="str">
            <v>Grain</v>
          </cell>
          <cell r="E98">
            <v>113.94</v>
          </cell>
        </row>
        <row r="99">
          <cell r="B99" t="str">
            <v>Chickpeas</v>
          </cell>
          <cell r="C99" t="str">
            <v>Pulses</v>
          </cell>
          <cell r="E99">
            <v>206.53</v>
          </cell>
        </row>
        <row r="100">
          <cell r="B100" t="str">
            <v>Milk</v>
          </cell>
          <cell r="C100" t="str">
            <v>Dairy</v>
          </cell>
          <cell r="E100">
            <v>198.38</v>
          </cell>
        </row>
        <row r="101">
          <cell r="B101" t="str">
            <v>Milk</v>
          </cell>
          <cell r="C101" t="str">
            <v>Dairy</v>
          </cell>
          <cell r="E101">
            <v>201.72</v>
          </cell>
        </row>
        <row r="102">
          <cell r="B102" t="str">
            <v>Tea (Loose)</v>
          </cell>
          <cell r="C102" t="str">
            <v>Beverage</v>
          </cell>
          <cell r="E102">
            <v>867.76</v>
          </cell>
        </row>
        <row r="103">
          <cell r="B103" t="str">
            <v>Lentils (Moong)</v>
          </cell>
          <cell r="C103" t="str">
            <v>Pulses</v>
          </cell>
          <cell r="E103">
            <v>281.47000000000003</v>
          </cell>
        </row>
        <row r="104">
          <cell r="B104" t="str">
            <v>Rice (Irri)</v>
          </cell>
          <cell r="C104" t="str">
            <v>Grain</v>
          </cell>
          <cell r="E104">
            <v>145.62</v>
          </cell>
        </row>
        <row r="105">
          <cell r="B105" t="str">
            <v>Spinach</v>
          </cell>
          <cell r="C105" t="str">
            <v>Vegetable</v>
          </cell>
          <cell r="E105">
            <v>60.74</v>
          </cell>
        </row>
        <row r="106">
          <cell r="B106" t="str">
            <v>Lentils (Moong)</v>
          </cell>
          <cell r="C106" t="str">
            <v>Pulses</v>
          </cell>
          <cell r="E106">
            <v>300.88</v>
          </cell>
        </row>
        <row r="107">
          <cell r="B107" t="str">
            <v>Banana</v>
          </cell>
          <cell r="C107" t="str">
            <v>Fruit</v>
          </cell>
          <cell r="E107">
            <v>125.9</v>
          </cell>
        </row>
        <row r="108">
          <cell r="B108" t="str">
            <v>Tea (Loose)</v>
          </cell>
          <cell r="C108" t="str">
            <v>Beverage</v>
          </cell>
          <cell r="E108">
            <v>1023.75</v>
          </cell>
        </row>
        <row r="109">
          <cell r="B109" t="str">
            <v>Yogurt</v>
          </cell>
          <cell r="C109" t="str">
            <v>Dairy</v>
          </cell>
          <cell r="E109">
            <v>241.28</v>
          </cell>
        </row>
        <row r="110">
          <cell r="B110" t="str">
            <v>Sugar</v>
          </cell>
          <cell r="C110" t="str">
            <v>Grain</v>
          </cell>
          <cell r="E110">
            <v>113.16</v>
          </cell>
        </row>
        <row r="111">
          <cell r="B111" t="str">
            <v>Eggplant</v>
          </cell>
          <cell r="C111" t="str">
            <v>Vegetable</v>
          </cell>
          <cell r="E111">
            <v>75.260000000000005</v>
          </cell>
        </row>
        <row r="112">
          <cell r="B112" t="str">
            <v>Carrot</v>
          </cell>
          <cell r="C112" t="str">
            <v>Vegetable</v>
          </cell>
          <cell r="E112">
            <v>138.75</v>
          </cell>
        </row>
        <row r="113">
          <cell r="B113" t="str">
            <v>Tomato</v>
          </cell>
          <cell r="C113" t="str">
            <v>Vegetable</v>
          </cell>
          <cell r="E113">
            <v>113.19</v>
          </cell>
        </row>
        <row r="114">
          <cell r="B114" t="str">
            <v>Spices (Mixed)</v>
          </cell>
          <cell r="C114" t="str">
            <v>Condiment</v>
          </cell>
          <cell r="E114">
            <v>746.1</v>
          </cell>
        </row>
        <row r="115">
          <cell r="B115" t="str">
            <v>Flour (Atta)</v>
          </cell>
          <cell r="C115" t="str">
            <v>Grain</v>
          </cell>
          <cell r="E115">
            <v>109.03</v>
          </cell>
        </row>
        <row r="116">
          <cell r="B116" t="str">
            <v>Eggplant</v>
          </cell>
          <cell r="C116" t="str">
            <v>Vegetable</v>
          </cell>
          <cell r="E116">
            <v>72.05</v>
          </cell>
        </row>
        <row r="117">
          <cell r="B117" t="str">
            <v>Wheat</v>
          </cell>
          <cell r="C117" t="str">
            <v>Grain</v>
          </cell>
          <cell r="E117">
            <v>134.58000000000001</v>
          </cell>
        </row>
        <row r="118">
          <cell r="B118" t="str">
            <v>Yogurt</v>
          </cell>
          <cell r="C118" t="str">
            <v>Dairy</v>
          </cell>
          <cell r="E118">
            <v>245.89</v>
          </cell>
        </row>
        <row r="119">
          <cell r="B119" t="str">
            <v>Lentils (Moong)</v>
          </cell>
          <cell r="C119" t="str">
            <v>Pulses</v>
          </cell>
          <cell r="E119">
            <v>327.5</v>
          </cell>
        </row>
        <row r="120">
          <cell r="B120" t="str">
            <v>Flour (Atta)</v>
          </cell>
          <cell r="C120" t="str">
            <v>Grain</v>
          </cell>
          <cell r="E120">
            <v>108.73</v>
          </cell>
        </row>
        <row r="121">
          <cell r="B121" t="str">
            <v>Fish (Rohu)</v>
          </cell>
          <cell r="C121" t="str">
            <v>Meat</v>
          </cell>
          <cell r="E121">
            <v>744.81</v>
          </cell>
        </row>
        <row r="122">
          <cell r="B122" t="str">
            <v>Onion</v>
          </cell>
          <cell r="C122" t="str">
            <v>Vegetable</v>
          </cell>
          <cell r="E122">
            <v>97.28</v>
          </cell>
        </row>
        <row r="123">
          <cell r="B123" t="str">
            <v>Tomato</v>
          </cell>
          <cell r="C123" t="str">
            <v>Vegetable</v>
          </cell>
          <cell r="E123">
            <v>116.8</v>
          </cell>
        </row>
        <row r="124">
          <cell r="B124" t="str">
            <v>Eggplant</v>
          </cell>
          <cell r="C124" t="str">
            <v>Vegetable</v>
          </cell>
          <cell r="E124">
            <v>82.11</v>
          </cell>
        </row>
        <row r="125">
          <cell r="B125" t="str">
            <v>Chickpeas</v>
          </cell>
          <cell r="C125" t="str">
            <v>Pulses</v>
          </cell>
          <cell r="E125">
            <v>205.12</v>
          </cell>
        </row>
        <row r="126">
          <cell r="B126" t="str">
            <v>Mutton</v>
          </cell>
          <cell r="C126" t="str">
            <v>Meat</v>
          </cell>
          <cell r="E126">
            <v>1288.19</v>
          </cell>
        </row>
        <row r="127">
          <cell r="B127" t="str">
            <v>Spinach</v>
          </cell>
          <cell r="C127" t="str">
            <v>Vegetable</v>
          </cell>
          <cell r="E127">
            <v>71.27</v>
          </cell>
        </row>
        <row r="128">
          <cell r="B128" t="str">
            <v>Rice (Irri)</v>
          </cell>
          <cell r="C128" t="str">
            <v>Grain</v>
          </cell>
          <cell r="E128">
            <v>129.88</v>
          </cell>
        </row>
        <row r="129">
          <cell r="B129" t="str">
            <v>Grapes</v>
          </cell>
          <cell r="C129" t="str">
            <v>Fruit</v>
          </cell>
          <cell r="E129">
            <v>238.14</v>
          </cell>
        </row>
        <row r="130">
          <cell r="B130" t="str">
            <v>Mango</v>
          </cell>
          <cell r="C130" t="str">
            <v>Fruit</v>
          </cell>
          <cell r="E130">
            <v>262.29000000000002</v>
          </cell>
        </row>
        <row r="131">
          <cell r="B131" t="str">
            <v>Banana</v>
          </cell>
          <cell r="C131" t="str">
            <v>Fruit</v>
          </cell>
          <cell r="E131">
            <v>125.92</v>
          </cell>
        </row>
        <row r="132">
          <cell r="B132" t="str">
            <v>Fish (Rohu)</v>
          </cell>
          <cell r="C132" t="str">
            <v>Meat</v>
          </cell>
          <cell r="E132">
            <v>796.23</v>
          </cell>
        </row>
        <row r="133">
          <cell r="B133" t="str">
            <v>Tomato</v>
          </cell>
          <cell r="C133" t="str">
            <v>Vegetable</v>
          </cell>
          <cell r="E133">
            <v>129.01</v>
          </cell>
        </row>
        <row r="134">
          <cell r="B134" t="str">
            <v>Grapes</v>
          </cell>
          <cell r="C134" t="str">
            <v>Fruit</v>
          </cell>
          <cell r="E134">
            <v>227.86</v>
          </cell>
        </row>
        <row r="135">
          <cell r="B135" t="str">
            <v>Apple</v>
          </cell>
          <cell r="C135" t="str">
            <v>Fruit</v>
          </cell>
          <cell r="E135">
            <v>206.64</v>
          </cell>
        </row>
        <row r="136">
          <cell r="B136" t="str">
            <v>Mango</v>
          </cell>
          <cell r="C136" t="str">
            <v>Fruit</v>
          </cell>
          <cell r="E136">
            <v>237.64</v>
          </cell>
        </row>
        <row r="137">
          <cell r="B137" t="str">
            <v>Tomato</v>
          </cell>
          <cell r="C137" t="str">
            <v>Vegetable</v>
          </cell>
          <cell r="E137">
            <v>131.1</v>
          </cell>
        </row>
        <row r="138">
          <cell r="B138" t="str">
            <v>Spinach</v>
          </cell>
          <cell r="C138" t="str">
            <v>Vegetable</v>
          </cell>
          <cell r="E138">
            <v>66.63</v>
          </cell>
        </row>
        <row r="139">
          <cell r="B139" t="str">
            <v>Lentils (Moong)</v>
          </cell>
          <cell r="C139" t="str">
            <v>Pulses</v>
          </cell>
          <cell r="E139">
            <v>309.81</v>
          </cell>
        </row>
        <row r="140">
          <cell r="B140" t="str">
            <v>Maize</v>
          </cell>
          <cell r="C140" t="str">
            <v>Grain</v>
          </cell>
          <cell r="E140">
            <v>96.53</v>
          </cell>
        </row>
        <row r="141">
          <cell r="B141" t="str">
            <v>Lentils (Masoor)</v>
          </cell>
          <cell r="C141" t="str">
            <v>Pulses</v>
          </cell>
          <cell r="E141">
            <v>221.74</v>
          </cell>
        </row>
        <row r="142">
          <cell r="B142" t="str">
            <v>Spices (Mixed)</v>
          </cell>
          <cell r="C142" t="str">
            <v>Condiment</v>
          </cell>
          <cell r="E142">
            <v>700.59</v>
          </cell>
        </row>
        <row r="143">
          <cell r="B143" t="str">
            <v>Lentils (Masoor)</v>
          </cell>
          <cell r="C143" t="str">
            <v>Pulses</v>
          </cell>
          <cell r="E143">
            <v>257.39999999999998</v>
          </cell>
        </row>
        <row r="144">
          <cell r="B144" t="str">
            <v>Fish (Pomfret)</v>
          </cell>
          <cell r="C144" t="str">
            <v>Meat</v>
          </cell>
          <cell r="E144">
            <v>1202.58</v>
          </cell>
        </row>
        <row r="145">
          <cell r="B145" t="str">
            <v>Yogurt</v>
          </cell>
          <cell r="C145" t="str">
            <v>Dairy</v>
          </cell>
          <cell r="E145">
            <v>229.35</v>
          </cell>
        </row>
        <row r="146">
          <cell r="B146" t="str">
            <v>Rice (Irri)</v>
          </cell>
          <cell r="C146" t="str">
            <v>Grain</v>
          </cell>
          <cell r="E146">
            <v>151.88</v>
          </cell>
        </row>
        <row r="147">
          <cell r="B147" t="str">
            <v>Salt</v>
          </cell>
          <cell r="C147" t="str">
            <v>Condiment</v>
          </cell>
          <cell r="E147">
            <v>46.38</v>
          </cell>
        </row>
        <row r="148">
          <cell r="B148" t="str">
            <v>Milk</v>
          </cell>
          <cell r="C148" t="str">
            <v>Dairy</v>
          </cell>
          <cell r="E148">
            <v>220.81</v>
          </cell>
        </row>
        <row r="149">
          <cell r="B149" t="str">
            <v>Fish (Pomfret)</v>
          </cell>
          <cell r="C149" t="str">
            <v>Meat</v>
          </cell>
          <cell r="E149">
            <v>1030.25</v>
          </cell>
        </row>
        <row r="150">
          <cell r="B150" t="str">
            <v>Milk</v>
          </cell>
          <cell r="C150" t="str">
            <v>Dairy</v>
          </cell>
          <cell r="E150">
            <v>221.43</v>
          </cell>
        </row>
        <row r="151">
          <cell r="B151" t="str">
            <v>Chicken (Whole)</v>
          </cell>
          <cell r="C151" t="str">
            <v>Meat</v>
          </cell>
          <cell r="E151">
            <v>535.87</v>
          </cell>
        </row>
        <row r="152">
          <cell r="B152" t="str">
            <v>Spices (Mixed)</v>
          </cell>
          <cell r="C152" t="str">
            <v>Condiment</v>
          </cell>
          <cell r="E152">
            <v>724.1</v>
          </cell>
        </row>
        <row r="153">
          <cell r="B153" t="str">
            <v>Chicken (Whole)</v>
          </cell>
          <cell r="C153" t="str">
            <v>Meat</v>
          </cell>
          <cell r="E153">
            <v>559.20000000000005</v>
          </cell>
        </row>
        <row r="154">
          <cell r="B154" t="str">
            <v>Grapes</v>
          </cell>
          <cell r="C154" t="str">
            <v>Fruit</v>
          </cell>
          <cell r="E154">
            <v>208.12</v>
          </cell>
        </row>
        <row r="155">
          <cell r="B155" t="str">
            <v>Carrot</v>
          </cell>
          <cell r="C155" t="str">
            <v>Vegetable</v>
          </cell>
          <cell r="E155">
            <v>120.45</v>
          </cell>
        </row>
        <row r="156">
          <cell r="B156" t="str">
            <v>Spices (Mixed)</v>
          </cell>
          <cell r="C156" t="str">
            <v>Condiment</v>
          </cell>
          <cell r="E156">
            <v>865.28</v>
          </cell>
        </row>
        <row r="157">
          <cell r="B157" t="str">
            <v>Eggplant</v>
          </cell>
          <cell r="C157" t="str">
            <v>Vegetable</v>
          </cell>
          <cell r="E157">
            <v>85.04</v>
          </cell>
        </row>
        <row r="158">
          <cell r="B158" t="str">
            <v>Flour (Atta)</v>
          </cell>
          <cell r="C158" t="str">
            <v>Grain</v>
          </cell>
          <cell r="E158">
            <v>134.29</v>
          </cell>
        </row>
        <row r="159">
          <cell r="B159" t="str">
            <v>Grapes</v>
          </cell>
          <cell r="C159" t="str">
            <v>Fruit</v>
          </cell>
          <cell r="E159">
            <v>216.18</v>
          </cell>
        </row>
        <row r="160">
          <cell r="B160" t="str">
            <v>Lentils (Masoor)</v>
          </cell>
          <cell r="C160" t="str">
            <v>Pulses</v>
          </cell>
          <cell r="E160">
            <v>221.55</v>
          </cell>
        </row>
        <row r="161">
          <cell r="B161" t="str">
            <v>Eggplant</v>
          </cell>
          <cell r="C161" t="str">
            <v>Vegetable</v>
          </cell>
          <cell r="E161">
            <v>83.36</v>
          </cell>
        </row>
        <row r="162">
          <cell r="B162" t="str">
            <v>Beef (Local)</v>
          </cell>
          <cell r="C162" t="str">
            <v>Meat</v>
          </cell>
          <cell r="E162">
            <v>935.09</v>
          </cell>
        </row>
        <row r="163">
          <cell r="B163" t="str">
            <v>Potato</v>
          </cell>
          <cell r="C163" t="str">
            <v>Vegetable</v>
          </cell>
          <cell r="E163">
            <v>77.430000000000007</v>
          </cell>
        </row>
        <row r="164">
          <cell r="B164" t="str">
            <v>Mango</v>
          </cell>
          <cell r="C164" t="str">
            <v>Fruit</v>
          </cell>
          <cell r="E164">
            <v>239.33</v>
          </cell>
        </row>
        <row r="165">
          <cell r="B165" t="str">
            <v>Spices (Mixed)</v>
          </cell>
          <cell r="C165" t="str">
            <v>Condiment</v>
          </cell>
          <cell r="E165">
            <v>851.76</v>
          </cell>
        </row>
        <row r="166">
          <cell r="B166" t="str">
            <v>Onion</v>
          </cell>
          <cell r="C166" t="str">
            <v>Vegetable</v>
          </cell>
          <cell r="E166">
            <v>78.37</v>
          </cell>
        </row>
        <row r="167">
          <cell r="B167" t="str">
            <v>Guava</v>
          </cell>
          <cell r="C167" t="str">
            <v>Fruit</v>
          </cell>
          <cell r="E167">
            <v>145.5</v>
          </cell>
        </row>
        <row r="168">
          <cell r="B168" t="str">
            <v>Cooking Oil (Sunflower)</v>
          </cell>
          <cell r="C168" t="str">
            <v>Oil</v>
          </cell>
          <cell r="E168">
            <v>346.17</v>
          </cell>
        </row>
        <row r="169">
          <cell r="B169" t="str">
            <v>Guava</v>
          </cell>
          <cell r="C169" t="str">
            <v>Fruit</v>
          </cell>
          <cell r="E169">
            <v>145.81</v>
          </cell>
        </row>
        <row r="170">
          <cell r="B170" t="str">
            <v>Flour (Atta)</v>
          </cell>
          <cell r="C170" t="str">
            <v>Grain</v>
          </cell>
          <cell r="E170">
            <v>106.41</v>
          </cell>
        </row>
        <row r="171">
          <cell r="B171" t="str">
            <v>Tea (Loose)</v>
          </cell>
          <cell r="C171" t="str">
            <v>Beverage</v>
          </cell>
          <cell r="E171">
            <v>907.96</v>
          </cell>
        </row>
        <row r="172">
          <cell r="B172" t="str">
            <v>Banana</v>
          </cell>
          <cell r="C172" t="str">
            <v>Fruit</v>
          </cell>
          <cell r="E172">
            <v>120.99</v>
          </cell>
        </row>
        <row r="173">
          <cell r="B173" t="str">
            <v>Chickpeas</v>
          </cell>
          <cell r="C173" t="str">
            <v>Pulses</v>
          </cell>
          <cell r="E173">
            <v>196.14</v>
          </cell>
        </row>
        <row r="174">
          <cell r="B174" t="str">
            <v>Oranges</v>
          </cell>
          <cell r="C174" t="str">
            <v>Fruit</v>
          </cell>
          <cell r="E174">
            <v>168.18</v>
          </cell>
        </row>
        <row r="175">
          <cell r="B175" t="str">
            <v>Banana</v>
          </cell>
          <cell r="C175" t="str">
            <v>Fruit</v>
          </cell>
          <cell r="E175">
            <v>121.71</v>
          </cell>
        </row>
        <row r="176">
          <cell r="B176" t="str">
            <v>Cheese (Local)</v>
          </cell>
          <cell r="C176" t="str">
            <v>Dairy</v>
          </cell>
          <cell r="E176">
            <v>847.14</v>
          </cell>
        </row>
        <row r="177">
          <cell r="B177" t="str">
            <v>Sugar</v>
          </cell>
          <cell r="C177" t="str">
            <v>Grain</v>
          </cell>
          <cell r="E177">
            <v>121.65</v>
          </cell>
        </row>
        <row r="178">
          <cell r="B178" t="str">
            <v>Fish (Rohu)</v>
          </cell>
          <cell r="C178" t="str">
            <v>Meat</v>
          </cell>
          <cell r="E178">
            <v>785.94</v>
          </cell>
        </row>
        <row r="179">
          <cell r="B179" t="str">
            <v>Tea (Loose)</v>
          </cell>
          <cell r="C179" t="str">
            <v>Beverage</v>
          </cell>
          <cell r="E179">
            <v>938.46</v>
          </cell>
        </row>
        <row r="180">
          <cell r="B180" t="str">
            <v>Onion</v>
          </cell>
          <cell r="C180" t="str">
            <v>Vegetable</v>
          </cell>
          <cell r="E180">
            <v>90.37</v>
          </cell>
        </row>
        <row r="181">
          <cell r="B181" t="str">
            <v>Milk</v>
          </cell>
          <cell r="C181" t="str">
            <v>Dairy</v>
          </cell>
          <cell r="E181">
            <v>215.64</v>
          </cell>
        </row>
        <row r="182">
          <cell r="B182" t="str">
            <v>Milk</v>
          </cell>
          <cell r="C182" t="str">
            <v>Dairy</v>
          </cell>
          <cell r="E182">
            <v>211.99</v>
          </cell>
        </row>
        <row r="183">
          <cell r="B183" t="str">
            <v>Yogurt</v>
          </cell>
          <cell r="C183" t="str">
            <v>Dairy</v>
          </cell>
          <cell r="E183">
            <v>204.67</v>
          </cell>
        </row>
        <row r="184">
          <cell r="B184" t="str">
            <v>Potato</v>
          </cell>
          <cell r="C184" t="str">
            <v>Vegetable</v>
          </cell>
          <cell r="E184">
            <v>63.23</v>
          </cell>
        </row>
        <row r="185">
          <cell r="B185" t="str">
            <v>Flour (Atta)</v>
          </cell>
          <cell r="C185" t="str">
            <v>Grain</v>
          </cell>
          <cell r="E185">
            <v>106.65</v>
          </cell>
        </row>
        <row r="186">
          <cell r="B186" t="str">
            <v>Grapes</v>
          </cell>
          <cell r="C186" t="str">
            <v>Fruit</v>
          </cell>
          <cell r="E186">
            <v>226.09</v>
          </cell>
        </row>
        <row r="187">
          <cell r="B187" t="str">
            <v>Cheese (Local)</v>
          </cell>
          <cell r="C187" t="str">
            <v>Dairy</v>
          </cell>
          <cell r="E187">
            <v>852.38</v>
          </cell>
        </row>
        <row r="188">
          <cell r="B188" t="str">
            <v>Maize</v>
          </cell>
          <cell r="C188" t="str">
            <v>Grain</v>
          </cell>
          <cell r="E188">
            <v>110.49</v>
          </cell>
        </row>
        <row r="189">
          <cell r="B189" t="str">
            <v>Lentils (Masoor)</v>
          </cell>
          <cell r="C189" t="str">
            <v>Pulses</v>
          </cell>
          <cell r="E189">
            <v>226.48</v>
          </cell>
        </row>
        <row r="190">
          <cell r="B190" t="str">
            <v>Spinach</v>
          </cell>
          <cell r="C190" t="str">
            <v>Vegetable</v>
          </cell>
          <cell r="E190">
            <v>64.099999999999994</v>
          </cell>
        </row>
        <row r="191">
          <cell r="B191" t="str">
            <v>Apple</v>
          </cell>
          <cell r="C191" t="str">
            <v>Fruit</v>
          </cell>
          <cell r="E191">
            <v>205.84</v>
          </cell>
        </row>
        <row r="192">
          <cell r="B192" t="str">
            <v>Mutton</v>
          </cell>
          <cell r="C192" t="str">
            <v>Meat</v>
          </cell>
          <cell r="E192">
            <v>1304.0899999999999</v>
          </cell>
        </row>
        <row r="193">
          <cell r="B193" t="str">
            <v>Milk</v>
          </cell>
          <cell r="C193" t="str">
            <v>Dairy</v>
          </cell>
          <cell r="E193">
            <v>210.52</v>
          </cell>
        </row>
        <row r="194">
          <cell r="B194" t="str">
            <v>Fish (Rohu)</v>
          </cell>
          <cell r="C194" t="str">
            <v>Meat</v>
          </cell>
          <cell r="E194">
            <v>754.34</v>
          </cell>
        </row>
        <row r="195">
          <cell r="B195" t="str">
            <v>Spinach</v>
          </cell>
          <cell r="C195" t="str">
            <v>Vegetable</v>
          </cell>
          <cell r="E195">
            <v>52.81</v>
          </cell>
        </row>
        <row r="196">
          <cell r="B196" t="str">
            <v>Mango</v>
          </cell>
          <cell r="C196" t="str">
            <v>Fruit</v>
          </cell>
          <cell r="E196">
            <v>284.04000000000002</v>
          </cell>
        </row>
        <row r="197">
          <cell r="B197" t="str">
            <v>Tomato</v>
          </cell>
          <cell r="C197" t="str">
            <v>Vegetable</v>
          </cell>
          <cell r="E197">
            <v>126.74</v>
          </cell>
        </row>
        <row r="198">
          <cell r="B198" t="str">
            <v>Flour (Atta)</v>
          </cell>
          <cell r="C198" t="str">
            <v>Grain</v>
          </cell>
          <cell r="E198">
            <v>125.69</v>
          </cell>
        </row>
        <row r="199">
          <cell r="B199" t="str">
            <v>Guava</v>
          </cell>
          <cell r="C199" t="str">
            <v>Fruit</v>
          </cell>
          <cell r="E199">
            <v>125.19</v>
          </cell>
        </row>
        <row r="200">
          <cell r="B200" t="str">
            <v>Lentils (Moong)</v>
          </cell>
          <cell r="C200" t="str">
            <v>Pulses</v>
          </cell>
          <cell r="E200">
            <v>272.98</v>
          </cell>
        </row>
        <row r="201">
          <cell r="B201" t="str">
            <v>Salt</v>
          </cell>
          <cell r="C201" t="str">
            <v>Condiment</v>
          </cell>
          <cell r="E201">
            <v>42.47</v>
          </cell>
        </row>
        <row r="202">
          <cell r="B202" t="str">
            <v>Lentils (Masoor)</v>
          </cell>
          <cell r="C202" t="str">
            <v>Pulses</v>
          </cell>
          <cell r="E202">
            <v>281.36</v>
          </cell>
        </row>
        <row r="203">
          <cell r="B203" t="str">
            <v>Potato</v>
          </cell>
          <cell r="C203" t="str">
            <v>Vegetable</v>
          </cell>
          <cell r="E203">
            <v>65.7</v>
          </cell>
        </row>
        <row r="204">
          <cell r="B204" t="str">
            <v>Maize</v>
          </cell>
          <cell r="C204" t="str">
            <v>Grain</v>
          </cell>
          <cell r="E204">
            <v>92.93</v>
          </cell>
        </row>
        <row r="205">
          <cell r="B205" t="str">
            <v>Milk</v>
          </cell>
          <cell r="C205" t="str">
            <v>Dairy</v>
          </cell>
          <cell r="E205">
            <v>200.51</v>
          </cell>
        </row>
        <row r="206">
          <cell r="B206" t="str">
            <v>Lentils (Masoor)</v>
          </cell>
          <cell r="C206" t="str">
            <v>Pulses</v>
          </cell>
          <cell r="E206">
            <v>243.61</v>
          </cell>
        </row>
        <row r="207">
          <cell r="B207" t="str">
            <v>Chickpeas</v>
          </cell>
          <cell r="C207" t="str">
            <v>Pulses</v>
          </cell>
          <cell r="E207">
            <v>218.35</v>
          </cell>
        </row>
        <row r="208">
          <cell r="B208" t="str">
            <v>Tea (Loose)</v>
          </cell>
          <cell r="C208" t="str">
            <v>Beverage</v>
          </cell>
          <cell r="E208">
            <v>1025.27</v>
          </cell>
        </row>
        <row r="209">
          <cell r="B209" t="str">
            <v>Beef (Local)</v>
          </cell>
          <cell r="C209" t="str">
            <v>Meat</v>
          </cell>
          <cell r="E209">
            <v>914.04</v>
          </cell>
        </row>
        <row r="210">
          <cell r="B210" t="str">
            <v>Maize</v>
          </cell>
          <cell r="C210" t="str">
            <v>Grain</v>
          </cell>
          <cell r="E210">
            <v>104.5</v>
          </cell>
        </row>
        <row r="211">
          <cell r="B211" t="str">
            <v>Mutton</v>
          </cell>
          <cell r="C211" t="str">
            <v>Meat</v>
          </cell>
          <cell r="E211">
            <v>1014.03</v>
          </cell>
        </row>
        <row r="212">
          <cell r="B212" t="str">
            <v>Tomato</v>
          </cell>
          <cell r="C212" t="str">
            <v>Vegetable</v>
          </cell>
          <cell r="E212">
            <v>127.37</v>
          </cell>
        </row>
        <row r="213">
          <cell r="B213" t="str">
            <v>Spices (Mixed)</v>
          </cell>
          <cell r="C213" t="str">
            <v>Condiment</v>
          </cell>
          <cell r="E213">
            <v>721.32</v>
          </cell>
        </row>
        <row r="214">
          <cell r="B214" t="str">
            <v>Chicken (Whole)</v>
          </cell>
          <cell r="C214" t="str">
            <v>Meat</v>
          </cell>
          <cell r="E214">
            <v>517.21</v>
          </cell>
        </row>
        <row r="215">
          <cell r="B215" t="str">
            <v>Wheat</v>
          </cell>
          <cell r="C215" t="str">
            <v>Grain</v>
          </cell>
          <cell r="E215">
            <v>109.58</v>
          </cell>
        </row>
        <row r="216">
          <cell r="B216" t="str">
            <v>Chicken (Whole)</v>
          </cell>
          <cell r="C216" t="str">
            <v>Meat</v>
          </cell>
          <cell r="E216">
            <v>528.86</v>
          </cell>
        </row>
        <row r="217">
          <cell r="B217" t="str">
            <v>Mango</v>
          </cell>
          <cell r="C217" t="str">
            <v>Fruit</v>
          </cell>
          <cell r="E217">
            <v>255.91</v>
          </cell>
        </row>
        <row r="218">
          <cell r="B218" t="str">
            <v>Cheese (Local)</v>
          </cell>
          <cell r="C218" t="str">
            <v>Dairy</v>
          </cell>
          <cell r="E218">
            <v>958.53</v>
          </cell>
        </row>
        <row r="219">
          <cell r="B219" t="str">
            <v>Ghee</v>
          </cell>
          <cell r="C219" t="str">
            <v>Oil</v>
          </cell>
          <cell r="E219">
            <v>997.38</v>
          </cell>
        </row>
        <row r="220">
          <cell r="B220" t="str">
            <v>Banana</v>
          </cell>
          <cell r="C220" t="str">
            <v>Fruit</v>
          </cell>
          <cell r="E220">
            <v>122.71</v>
          </cell>
        </row>
        <row r="221">
          <cell r="B221" t="str">
            <v>Yogurt</v>
          </cell>
          <cell r="C221" t="str">
            <v>Dairy</v>
          </cell>
          <cell r="E221">
            <v>249.84</v>
          </cell>
        </row>
        <row r="222">
          <cell r="B222" t="str">
            <v>Cheese (Local)</v>
          </cell>
          <cell r="C222" t="str">
            <v>Dairy</v>
          </cell>
          <cell r="E222">
            <v>870.1</v>
          </cell>
        </row>
        <row r="223">
          <cell r="B223" t="str">
            <v>Milk</v>
          </cell>
          <cell r="C223" t="str">
            <v>Dairy</v>
          </cell>
          <cell r="E223">
            <v>211.03</v>
          </cell>
        </row>
        <row r="224">
          <cell r="B224" t="str">
            <v>Fish (Rohu)</v>
          </cell>
          <cell r="C224" t="str">
            <v>Meat</v>
          </cell>
          <cell r="E224">
            <v>641.19000000000005</v>
          </cell>
        </row>
        <row r="225">
          <cell r="B225" t="str">
            <v>Flour (Atta)</v>
          </cell>
          <cell r="C225" t="str">
            <v>Grain</v>
          </cell>
          <cell r="E225">
            <v>100.21</v>
          </cell>
        </row>
        <row r="226">
          <cell r="B226" t="str">
            <v>Guava</v>
          </cell>
          <cell r="C226" t="str">
            <v>Fruit</v>
          </cell>
          <cell r="E226">
            <v>145.19999999999999</v>
          </cell>
        </row>
        <row r="227">
          <cell r="B227" t="str">
            <v>Chicken (Whole)</v>
          </cell>
          <cell r="C227" t="str">
            <v>Meat</v>
          </cell>
          <cell r="E227">
            <v>491.19</v>
          </cell>
        </row>
        <row r="228">
          <cell r="B228" t="str">
            <v>Fish (Pomfret)</v>
          </cell>
          <cell r="C228" t="str">
            <v>Meat</v>
          </cell>
          <cell r="E228">
            <v>1067.6300000000001</v>
          </cell>
        </row>
        <row r="229">
          <cell r="B229" t="str">
            <v>Eggplant</v>
          </cell>
          <cell r="C229" t="str">
            <v>Vegetable</v>
          </cell>
          <cell r="E229">
            <v>77.069999999999993</v>
          </cell>
        </row>
        <row r="230">
          <cell r="B230" t="str">
            <v>Sugar</v>
          </cell>
          <cell r="C230" t="str">
            <v>Grain</v>
          </cell>
          <cell r="E230">
            <v>119.41</v>
          </cell>
        </row>
        <row r="231">
          <cell r="B231" t="str">
            <v>Salt</v>
          </cell>
          <cell r="C231" t="str">
            <v>Condiment</v>
          </cell>
          <cell r="E231">
            <v>46.21</v>
          </cell>
        </row>
        <row r="232">
          <cell r="B232" t="str">
            <v>Carrot</v>
          </cell>
          <cell r="C232" t="str">
            <v>Vegetable</v>
          </cell>
          <cell r="E232">
            <v>136.38999999999999</v>
          </cell>
        </row>
        <row r="233">
          <cell r="B233" t="str">
            <v>Eggplant</v>
          </cell>
          <cell r="C233" t="str">
            <v>Vegetable</v>
          </cell>
          <cell r="E233">
            <v>89.75</v>
          </cell>
        </row>
        <row r="234">
          <cell r="B234" t="str">
            <v>Fish (Rohu)</v>
          </cell>
          <cell r="C234" t="str">
            <v>Meat</v>
          </cell>
          <cell r="E234">
            <v>858.66</v>
          </cell>
        </row>
        <row r="235">
          <cell r="B235" t="str">
            <v>Fish (Rohu)</v>
          </cell>
          <cell r="C235" t="str">
            <v>Meat</v>
          </cell>
          <cell r="E235">
            <v>695.91</v>
          </cell>
        </row>
        <row r="236">
          <cell r="B236" t="str">
            <v>Chicken Breast</v>
          </cell>
          <cell r="C236" t="str">
            <v>Meat</v>
          </cell>
          <cell r="E236">
            <v>738.27</v>
          </cell>
        </row>
        <row r="237">
          <cell r="B237" t="str">
            <v>Salt</v>
          </cell>
          <cell r="C237" t="str">
            <v>Condiment</v>
          </cell>
          <cell r="E237">
            <v>34.92</v>
          </cell>
        </row>
        <row r="238">
          <cell r="B238" t="str">
            <v>Lentils (Moong)</v>
          </cell>
          <cell r="C238" t="str">
            <v>Pulses</v>
          </cell>
          <cell r="E238">
            <v>325.52</v>
          </cell>
        </row>
        <row r="239">
          <cell r="B239" t="str">
            <v>Chickpeas</v>
          </cell>
          <cell r="C239" t="str">
            <v>Pulses</v>
          </cell>
          <cell r="E239">
            <v>209.09</v>
          </cell>
        </row>
        <row r="240">
          <cell r="B240" t="str">
            <v>Oranges</v>
          </cell>
          <cell r="C240" t="str">
            <v>Fruit</v>
          </cell>
          <cell r="E240">
            <v>139.53</v>
          </cell>
        </row>
        <row r="241">
          <cell r="B241" t="str">
            <v>Mutton</v>
          </cell>
          <cell r="C241" t="str">
            <v>Meat</v>
          </cell>
          <cell r="E241">
            <v>1186.3599999999999</v>
          </cell>
        </row>
        <row r="242">
          <cell r="B242" t="str">
            <v>Lentils (Moong)</v>
          </cell>
          <cell r="C242" t="str">
            <v>Pulses</v>
          </cell>
          <cell r="E242">
            <v>274.08</v>
          </cell>
        </row>
        <row r="243">
          <cell r="B243" t="str">
            <v>Tomato</v>
          </cell>
          <cell r="C243" t="str">
            <v>Vegetable</v>
          </cell>
          <cell r="E243">
            <v>127.39</v>
          </cell>
        </row>
        <row r="244">
          <cell r="B244" t="str">
            <v>Banana</v>
          </cell>
          <cell r="C244" t="str">
            <v>Fruit</v>
          </cell>
          <cell r="E244">
            <v>136.4</v>
          </cell>
        </row>
        <row r="245">
          <cell r="B245" t="str">
            <v>Flour (Atta)</v>
          </cell>
          <cell r="C245" t="str">
            <v>Grain</v>
          </cell>
          <cell r="E245">
            <v>102.99</v>
          </cell>
        </row>
        <row r="246">
          <cell r="B246" t="str">
            <v>Lentils (Moong)</v>
          </cell>
          <cell r="C246" t="str">
            <v>Pulses</v>
          </cell>
          <cell r="E246">
            <v>287.66000000000003</v>
          </cell>
        </row>
        <row r="247">
          <cell r="B247" t="str">
            <v>Banana</v>
          </cell>
          <cell r="C247" t="str">
            <v>Fruit</v>
          </cell>
          <cell r="E247">
            <v>114.98</v>
          </cell>
        </row>
        <row r="248">
          <cell r="B248" t="str">
            <v>Onion</v>
          </cell>
          <cell r="C248" t="str">
            <v>Vegetable</v>
          </cell>
          <cell r="E248">
            <v>107.69</v>
          </cell>
        </row>
        <row r="249">
          <cell r="B249" t="str">
            <v>Flour (Atta)</v>
          </cell>
          <cell r="C249" t="str">
            <v>Grain</v>
          </cell>
          <cell r="E249">
            <v>114.43</v>
          </cell>
        </row>
        <row r="250">
          <cell r="B250" t="str">
            <v>Yogurt</v>
          </cell>
          <cell r="C250" t="str">
            <v>Dairy</v>
          </cell>
          <cell r="E250">
            <v>224.25</v>
          </cell>
        </row>
        <row r="251">
          <cell r="B251" t="str">
            <v>Grapes</v>
          </cell>
          <cell r="C251" t="str">
            <v>Fruit</v>
          </cell>
          <cell r="E251">
            <v>238.7</v>
          </cell>
        </row>
        <row r="252">
          <cell r="B252" t="str">
            <v>Rice (Irri)</v>
          </cell>
          <cell r="C252" t="str">
            <v>Grain</v>
          </cell>
          <cell r="E252">
            <v>143.31</v>
          </cell>
        </row>
        <row r="253">
          <cell r="B253" t="str">
            <v>Yogurt</v>
          </cell>
          <cell r="C253" t="str">
            <v>Dairy</v>
          </cell>
          <cell r="E253">
            <v>203.71</v>
          </cell>
        </row>
        <row r="254">
          <cell r="B254" t="str">
            <v>Lentils (Masoor)</v>
          </cell>
          <cell r="C254" t="str">
            <v>Pulses</v>
          </cell>
          <cell r="E254">
            <v>240.98</v>
          </cell>
        </row>
        <row r="255">
          <cell r="B255" t="str">
            <v>Oranges</v>
          </cell>
          <cell r="C255" t="str">
            <v>Fruit</v>
          </cell>
          <cell r="E255">
            <v>170.49</v>
          </cell>
        </row>
        <row r="256">
          <cell r="B256" t="str">
            <v>Lentils (Masoor)</v>
          </cell>
          <cell r="C256" t="str">
            <v>Pulses</v>
          </cell>
          <cell r="E256">
            <v>276.99</v>
          </cell>
        </row>
        <row r="257">
          <cell r="B257" t="str">
            <v>Banana</v>
          </cell>
          <cell r="C257" t="str">
            <v>Fruit</v>
          </cell>
          <cell r="E257">
            <v>127.61</v>
          </cell>
        </row>
        <row r="258">
          <cell r="B258" t="str">
            <v>Spices (Mixed)</v>
          </cell>
          <cell r="C258" t="str">
            <v>Condiment</v>
          </cell>
          <cell r="E258">
            <v>779.72</v>
          </cell>
        </row>
        <row r="259">
          <cell r="B259" t="str">
            <v>Cheese (Local)</v>
          </cell>
          <cell r="C259" t="str">
            <v>Dairy</v>
          </cell>
          <cell r="E259">
            <v>942.3</v>
          </cell>
        </row>
        <row r="260">
          <cell r="B260" t="str">
            <v>Chicken Breast</v>
          </cell>
          <cell r="C260" t="str">
            <v>Meat</v>
          </cell>
          <cell r="E260">
            <v>663.02</v>
          </cell>
        </row>
        <row r="261">
          <cell r="B261" t="str">
            <v>Flour (Atta)</v>
          </cell>
          <cell r="C261" t="str">
            <v>Grain</v>
          </cell>
          <cell r="E261">
            <v>124.32</v>
          </cell>
        </row>
        <row r="262">
          <cell r="B262" t="str">
            <v>Onion</v>
          </cell>
          <cell r="C262" t="str">
            <v>Vegetable</v>
          </cell>
          <cell r="E262">
            <v>74.489999999999995</v>
          </cell>
        </row>
        <row r="263">
          <cell r="B263" t="str">
            <v>Ghee</v>
          </cell>
          <cell r="C263" t="str">
            <v>Oil</v>
          </cell>
          <cell r="E263">
            <v>972.32</v>
          </cell>
        </row>
        <row r="264">
          <cell r="B264" t="str">
            <v>Lentils (Masoor)</v>
          </cell>
          <cell r="C264" t="str">
            <v>Pulses</v>
          </cell>
          <cell r="E264">
            <v>235.78</v>
          </cell>
        </row>
        <row r="265">
          <cell r="B265" t="str">
            <v>Wheat</v>
          </cell>
          <cell r="C265" t="str">
            <v>Grain</v>
          </cell>
          <cell r="E265">
            <v>115.34</v>
          </cell>
        </row>
        <row r="266">
          <cell r="B266" t="str">
            <v>Lentils (Moong)</v>
          </cell>
          <cell r="C266" t="str">
            <v>Pulses</v>
          </cell>
          <cell r="E266">
            <v>311.04000000000002</v>
          </cell>
        </row>
        <row r="267">
          <cell r="B267" t="str">
            <v>Ghee</v>
          </cell>
          <cell r="C267" t="str">
            <v>Oil</v>
          </cell>
          <cell r="E267">
            <v>1009.06</v>
          </cell>
        </row>
        <row r="268">
          <cell r="B268" t="str">
            <v>Beef (Local)</v>
          </cell>
          <cell r="C268" t="str">
            <v>Meat</v>
          </cell>
          <cell r="E268">
            <v>1027.18</v>
          </cell>
        </row>
        <row r="269">
          <cell r="B269" t="str">
            <v>Mango</v>
          </cell>
          <cell r="C269" t="str">
            <v>Fruit</v>
          </cell>
          <cell r="E269">
            <v>223.75</v>
          </cell>
        </row>
        <row r="270">
          <cell r="B270" t="str">
            <v>Lentils (Masoor)</v>
          </cell>
          <cell r="C270" t="str">
            <v>Pulses</v>
          </cell>
          <cell r="E270">
            <v>218.55</v>
          </cell>
        </row>
        <row r="271">
          <cell r="B271" t="str">
            <v>Guava</v>
          </cell>
          <cell r="C271" t="str">
            <v>Fruit</v>
          </cell>
          <cell r="E271">
            <v>124.76</v>
          </cell>
        </row>
        <row r="272">
          <cell r="B272" t="str">
            <v>Rice (Irri)</v>
          </cell>
          <cell r="C272" t="str">
            <v>Grain</v>
          </cell>
          <cell r="E272">
            <v>132.44999999999999</v>
          </cell>
        </row>
        <row r="273">
          <cell r="B273" t="str">
            <v>Chicken (Whole)</v>
          </cell>
          <cell r="C273" t="str">
            <v>Meat</v>
          </cell>
          <cell r="E273">
            <v>486.69</v>
          </cell>
        </row>
        <row r="274">
          <cell r="B274" t="str">
            <v>Maize</v>
          </cell>
          <cell r="C274" t="str">
            <v>Grain</v>
          </cell>
          <cell r="E274">
            <v>93.81</v>
          </cell>
        </row>
        <row r="275">
          <cell r="B275" t="str">
            <v>Milk</v>
          </cell>
          <cell r="C275" t="str">
            <v>Dairy</v>
          </cell>
          <cell r="E275">
            <v>190.34</v>
          </cell>
        </row>
        <row r="276">
          <cell r="B276" t="str">
            <v>Milk</v>
          </cell>
          <cell r="C276" t="str">
            <v>Dairy</v>
          </cell>
          <cell r="E276">
            <v>214.39</v>
          </cell>
        </row>
        <row r="277">
          <cell r="B277" t="str">
            <v>Milk</v>
          </cell>
          <cell r="C277" t="str">
            <v>Dairy</v>
          </cell>
          <cell r="E277">
            <v>220.74</v>
          </cell>
        </row>
        <row r="278">
          <cell r="B278" t="str">
            <v>Tea (Loose)</v>
          </cell>
          <cell r="C278" t="str">
            <v>Beverage</v>
          </cell>
          <cell r="E278">
            <v>870.47</v>
          </cell>
        </row>
        <row r="279">
          <cell r="B279" t="str">
            <v>Salt</v>
          </cell>
          <cell r="C279" t="str">
            <v>Condiment</v>
          </cell>
          <cell r="E279">
            <v>39.549999999999997</v>
          </cell>
        </row>
        <row r="280">
          <cell r="B280" t="str">
            <v>Chickpeas</v>
          </cell>
          <cell r="C280" t="str">
            <v>Pulses</v>
          </cell>
          <cell r="E280">
            <v>192.02</v>
          </cell>
        </row>
        <row r="281">
          <cell r="B281" t="str">
            <v>Tomato</v>
          </cell>
          <cell r="C281" t="str">
            <v>Vegetable</v>
          </cell>
          <cell r="E281">
            <v>121.13</v>
          </cell>
        </row>
        <row r="282">
          <cell r="B282" t="str">
            <v>Potato</v>
          </cell>
          <cell r="C282" t="str">
            <v>Vegetable</v>
          </cell>
          <cell r="E282">
            <v>76.150000000000006</v>
          </cell>
        </row>
        <row r="283">
          <cell r="B283" t="str">
            <v>Potato</v>
          </cell>
          <cell r="C283" t="str">
            <v>Vegetable</v>
          </cell>
          <cell r="E283">
            <v>63.76</v>
          </cell>
        </row>
        <row r="284">
          <cell r="B284" t="str">
            <v>Chicken Breast</v>
          </cell>
          <cell r="C284" t="str">
            <v>Meat</v>
          </cell>
          <cell r="E284">
            <v>705.93</v>
          </cell>
        </row>
        <row r="285">
          <cell r="B285" t="str">
            <v>Milk</v>
          </cell>
          <cell r="C285" t="str">
            <v>Dairy</v>
          </cell>
          <cell r="E285">
            <v>207.01</v>
          </cell>
        </row>
        <row r="286">
          <cell r="B286" t="str">
            <v>Lentils (Moong)</v>
          </cell>
          <cell r="C286" t="str">
            <v>Pulses</v>
          </cell>
          <cell r="E286">
            <v>279.47000000000003</v>
          </cell>
        </row>
        <row r="287">
          <cell r="B287" t="str">
            <v>Cheese (Local)</v>
          </cell>
          <cell r="C287" t="str">
            <v>Dairy</v>
          </cell>
          <cell r="E287">
            <v>879.59</v>
          </cell>
        </row>
        <row r="288">
          <cell r="B288" t="str">
            <v>Mutton</v>
          </cell>
          <cell r="C288" t="str">
            <v>Meat</v>
          </cell>
          <cell r="E288">
            <v>1134.31</v>
          </cell>
        </row>
        <row r="289">
          <cell r="B289" t="str">
            <v>Cheese (Local)</v>
          </cell>
          <cell r="C289" t="str">
            <v>Dairy</v>
          </cell>
          <cell r="E289">
            <v>893.74</v>
          </cell>
        </row>
        <row r="290">
          <cell r="B290" t="str">
            <v>Tomato</v>
          </cell>
          <cell r="C290" t="str">
            <v>Vegetable</v>
          </cell>
          <cell r="E290">
            <v>132.93</v>
          </cell>
        </row>
        <row r="291">
          <cell r="B291" t="str">
            <v>Beef (Local)</v>
          </cell>
          <cell r="C291" t="str">
            <v>Meat</v>
          </cell>
          <cell r="E291">
            <v>810.27</v>
          </cell>
        </row>
        <row r="292">
          <cell r="B292" t="str">
            <v>Spices (Mixed)</v>
          </cell>
          <cell r="C292" t="str">
            <v>Condiment</v>
          </cell>
          <cell r="E292">
            <v>726.49</v>
          </cell>
        </row>
        <row r="293">
          <cell r="B293" t="str">
            <v>Cooking Oil (Sunflower)</v>
          </cell>
          <cell r="C293" t="str">
            <v>Oil</v>
          </cell>
          <cell r="E293">
            <v>394.5</v>
          </cell>
        </row>
        <row r="294">
          <cell r="B294" t="str">
            <v>Potato</v>
          </cell>
          <cell r="C294" t="str">
            <v>Vegetable</v>
          </cell>
          <cell r="E294">
            <v>74.12</v>
          </cell>
        </row>
        <row r="295">
          <cell r="B295" t="str">
            <v>Milk</v>
          </cell>
          <cell r="C295" t="str">
            <v>Dairy</v>
          </cell>
          <cell r="E295">
            <v>191.01</v>
          </cell>
        </row>
        <row r="296">
          <cell r="B296" t="str">
            <v>Milk</v>
          </cell>
          <cell r="C296" t="str">
            <v>Dairy</v>
          </cell>
          <cell r="E296">
            <v>187.93</v>
          </cell>
        </row>
        <row r="297">
          <cell r="B297" t="str">
            <v>Rice (Irri)</v>
          </cell>
          <cell r="C297" t="str">
            <v>Grain</v>
          </cell>
          <cell r="E297">
            <v>148.99</v>
          </cell>
        </row>
        <row r="298">
          <cell r="B298" t="str">
            <v>Tea (Loose)</v>
          </cell>
          <cell r="C298" t="str">
            <v>Beverage</v>
          </cell>
          <cell r="E298">
            <v>894.52</v>
          </cell>
        </row>
        <row r="299">
          <cell r="B299" t="str">
            <v>Mutton</v>
          </cell>
          <cell r="C299" t="str">
            <v>Meat</v>
          </cell>
          <cell r="E299">
            <v>1099.82</v>
          </cell>
        </row>
        <row r="300">
          <cell r="B300" t="str">
            <v>Eggplant</v>
          </cell>
          <cell r="C300" t="str">
            <v>Vegetable</v>
          </cell>
          <cell r="E300">
            <v>89.35</v>
          </cell>
        </row>
        <row r="301">
          <cell r="B301" t="str">
            <v>Tomato</v>
          </cell>
          <cell r="C301" t="str">
            <v>Vegetable</v>
          </cell>
          <cell r="E301">
            <v>112.78</v>
          </cell>
        </row>
        <row r="302">
          <cell r="B302" t="str">
            <v>Wheat</v>
          </cell>
          <cell r="C302" t="str">
            <v>Grain</v>
          </cell>
          <cell r="E302">
            <v>114.06</v>
          </cell>
        </row>
        <row r="303">
          <cell r="B303" t="str">
            <v>Sugar</v>
          </cell>
          <cell r="C303" t="str">
            <v>Grain</v>
          </cell>
          <cell r="E303">
            <v>117.5</v>
          </cell>
        </row>
        <row r="304">
          <cell r="B304" t="str">
            <v>Lentils (Masoor)</v>
          </cell>
          <cell r="C304" t="str">
            <v>Pulses</v>
          </cell>
          <cell r="E304">
            <v>264.43</v>
          </cell>
        </row>
        <row r="305">
          <cell r="B305" t="str">
            <v>Fish (Rohu)</v>
          </cell>
          <cell r="C305" t="str">
            <v>Meat</v>
          </cell>
          <cell r="E305">
            <v>781.32</v>
          </cell>
        </row>
        <row r="306">
          <cell r="B306" t="str">
            <v>Rice (Irri)</v>
          </cell>
          <cell r="C306" t="str">
            <v>Grain</v>
          </cell>
          <cell r="E306">
            <v>133.96</v>
          </cell>
        </row>
        <row r="307">
          <cell r="B307" t="str">
            <v>Rice (Irri)</v>
          </cell>
          <cell r="C307" t="str">
            <v>Grain</v>
          </cell>
          <cell r="E307">
            <v>122.63</v>
          </cell>
        </row>
        <row r="308">
          <cell r="B308" t="str">
            <v>Rice (Irri)</v>
          </cell>
          <cell r="C308" t="str">
            <v>Grain</v>
          </cell>
          <cell r="E308">
            <v>154.13999999999999</v>
          </cell>
        </row>
        <row r="309">
          <cell r="B309" t="str">
            <v>Sugar</v>
          </cell>
          <cell r="C309" t="str">
            <v>Grain</v>
          </cell>
          <cell r="E309">
            <v>119.37</v>
          </cell>
        </row>
        <row r="310">
          <cell r="B310" t="str">
            <v>Spinach</v>
          </cell>
          <cell r="C310" t="str">
            <v>Vegetable</v>
          </cell>
          <cell r="E310">
            <v>66.86</v>
          </cell>
        </row>
        <row r="311">
          <cell r="B311" t="str">
            <v>Ghee</v>
          </cell>
          <cell r="C311" t="str">
            <v>Oil</v>
          </cell>
          <cell r="E311">
            <v>994.02</v>
          </cell>
        </row>
        <row r="312">
          <cell r="B312" t="str">
            <v>Lentils (Moong)</v>
          </cell>
          <cell r="C312" t="str">
            <v>Pulses</v>
          </cell>
          <cell r="E312">
            <v>289.77</v>
          </cell>
        </row>
        <row r="313">
          <cell r="B313" t="str">
            <v>Ghee</v>
          </cell>
          <cell r="C313" t="str">
            <v>Oil</v>
          </cell>
          <cell r="E313">
            <v>901.3</v>
          </cell>
        </row>
        <row r="314">
          <cell r="B314" t="str">
            <v>Carrot</v>
          </cell>
          <cell r="C314" t="str">
            <v>Vegetable</v>
          </cell>
          <cell r="E314">
            <v>145.62</v>
          </cell>
        </row>
        <row r="315">
          <cell r="B315" t="str">
            <v>Wheat</v>
          </cell>
          <cell r="C315" t="str">
            <v>Grain</v>
          </cell>
          <cell r="E315">
            <v>114.37</v>
          </cell>
        </row>
        <row r="316">
          <cell r="B316" t="str">
            <v>Eggplant</v>
          </cell>
          <cell r="C316" t="str">
            <v>Vegetable</v>
          </cell>
          <cell r="E316">
            <v>89.36</v>
          </cell>
        </row>
        <row r="317">
          <cell r="B317" t="str">
            <v>Chickpeas</v>
          </cell>
          <cell r="C317" t="str">
            <v>Pulses</v>
          </cell>
          <cell r="E317">
            <v>211.62</v>
          </cell>
        </row>
        <row r="318">
          <cell r="B318" t="str">
            <v>Apple</v>
          </cell>
          <cell r="C318" t="str">
            <v>Fruit</v>
          </cell>
          <cell r="E318">
            <v>227.21</v>
          </cell>
        </row>
        <row r="319">
          <cell r="B319" t="str">
            <v>Oranges</v>
          </cell>
          <cell r="C319" t="str">
            <v>Fruit</v>
          </cell>
          <cell r="E319">
            <v>150.37</v>
          </cell>
        </row>
        <row r="320">
          <cell r="B320" t="str">
            <v>Fish (Pomfret)</v>
          </cell>
          <cell r="C320" t="str">
            <v>Meat</v>
          </cell>
          <cell r="E320">
            <v>1111.79</v>
          </cell>
        </row>
        <row r="321">
          <cell r="B321" t="str">
            <v>Yogurt</v>
          </cell>
          <cell r="C321" t="str">
            <v>Dairy</v>
          </cell>
          <cell r="E321">
            <v>215.47</v>
          </cell>
        </row>
        <row r="322">
          <cell r="B322" t="str">
            <v>Apple</v>
          </cell>
          <cell r="C322" t="str">
            <v>Fruit</v>
          </cell>
          <cell r="E322">
            <v>205.45</v>
          </cell>
        </row>
        <row r="323">
          <cell r="B323" t="str">
            <v>Apple</v>
          </cell>
          <cell r="C323" t="str">
            <v>Fruit</v>
          </cell>
          <cell r="E323">
            <v>224.46</v>
          </cell>
        </row>
        <row r="324">
          <cell r="B324" t="str">
            <v>Chicken (Whole)</v>
          </cell>
          <cell r="C324" t="str">
            <v>Meat</v>
          </cell>
          <cell r="E324">
            <v>535.13</v>
          </cell>
        </row>
        <row r="325">
          <cell r="B325" t="str">
            <v>Chicken Breast</v>
          </cell>
          <cell r="C325" t="str">
            <v>Meat</v>
          </cell>
          <cell r="E325">
            <v>712.38</v>
          </cell>
        </row>
        <row r="326">
          <cell r="B326" t="str">
            <v>Chicken (Whole)</v>
          </cell>
          <cell r="C326" t="str">
            <v>Meat</v>
          </cell>
          <cell r="E326">
            <v>568.64</v>
          </cell>
        </row>
        <row r="327">
          <cell r="B327" t="str">
            <v>Tea (Loose)</v>
          </cell>
          <cell r="C327" t="str">
            <v>Beverage</v>
          </cell>
          <cell r="E327">
            <v>829.6</v>
          </cell>
        </row>
        <row r="328">
          <cell r="B328" t="str">
            <v>Ghee</v>
          </cell>
          <cell r="C328" t="str">
            <v>Oil</v>
          </cell>
          <cell r="E328">
            <v>927.99</v>
          </cell>
        </row>
        <row r="329">
          <cell r="B329" t="str">
            <v>Ghee</v>
          </cell>
          <cell r="C329" t="str">
            <v>Oil</v>
          </cell>
          <cell r="E329">
            <v>1018.59</v>
          </cell>
        </row>
        <row r="330">
          <cell r="B330" t="str">
            <v>Chicken Breast</v>
          </cell>
          <cell r="C330" t="str">
            <v>Meat</v>
          </cell>
          <cell r="E330">
            <v>631.91</v>
          </cell>
        </row>
        <row r="331">
          <cell r="B331" t="str">
            <v>Sugar</v>
          </cell>
          <cell r="C331" t="str">
            <v>Grain</v>
          </cell>
          <cell r="E331">
            <v>114.77</v>
          </cell>
        </row>
        <row r="332">
          <cell r="B332" t="str">
            <v>Cheese (Local)</v>
          </cell>
          <cell r="C332" t="str">
            <v>Dairy</v>
          </cell>
          <cell r="E332">
            <v>830.6</v>
          </cell>
        </row>
        <row r="333">
          <cell r="B333" t="str">
            <v>Rice (Irri)</v>
          </cell>
          <cell r="C333" t="str">
            <v>Grain</v>
          </cell>
          <cell r="E333">
            <v>143.72</v>
          </cell>
        </row>
        <row r="334">
          <cell r="B334" t="str">
            <v>Flour (Atta)</v>
          </cell>
          <cell r="C334" t="str">
            <v>Grain</v>
          </cell>
          <cell r="E334">
            <v>119.94</v>
          </cell>
        </row>
        <row r="335">
          <cell r="B335" t="str">
            <v>Yogurt</v>
          </cell>
          <cell r="C335" t="str">
            <v>Dairy</v>
          </cell>
          <cell r="E335">
            <v>230.35</v>
          </cell>
        </row>
        <row r="336">
          <cell r="B336" t="str">
            <v>Sugar</v>
          </cell>
          <cell r="C336" t="str">
            <v>Grain</v>
          </cell>
          <cell r="E336">
            <v>117.46</v>
          </cell>
        </row>
        <row r="337">
          <cell r="B337" t="str">
            <v>Spinach</v>
          </cell>
          <cell r="C337" t="str">
            <v>Vegetable</v>
          </cell>
          <cell r="E337">
            <v>62.84</v>
          </cell>
        </row>
        <row r="338">
          <cell r="B338" t="str">
            <v>Flour (Atta)</v>
          </cell>
          <cell r="C338" t="str">
            <v>Grain</v>
          </cell>
          <cell r="E338">
            <v>101.76</v>
          </cell>
        </row>
        <row r="339">
          <cell r="B339" t="str">
            <v>Lentils (Moong)</v>
          </cell>
          <cell r="C339" t="str">
            <v>Pulses</v>
          </cell>
          <cell r="E339">
            <v>326.83999999999997</v>
          </cell>
        </row>
        <row r="340">
          <cell r="B340" t="str">
            <v>Chicken Breast</v>
          </cell>
          <cell r="C340" t="str">
            <v>Meat</v>
          </cell>
          <cell r="E340">
            <v>764.14</v>
          </cell>
        </row>
        <row r="341">
          <cell r="B341" t="str">
            <v>Chickpeas</v>
          </cell>
          <cell r="C341" t="str">
            <v>Pulses</v>
          </cell>
          <cell r="E341">
            <v>191.77</v>
          </cell>
        </row>
        <row r="342">
          <cell r="B342" t="str">
            <v>Tea (Loose)</v>
          </cell>
          <cell r="C342" t="str">
            <v>Beverage</v>
          </cell>
          <cell r="E342">
            <v>966.79</v>
          </cell>
        </row>
        <row r="343">
          <cell r="B343" t="str">
            <v>Tomato</v>
          </cell>
          <cell r="C343" t="str">
            <v>Vegetable</v>
          </cell>
          <cell r="E343">
            <v>129.35</v>
          </cell>
        </row>
        <row r="344">
          <cell r="B344" t="str">
            <v>Wheat</v>
          </cell>
          <cell r="C344" t="str">
            <v>Grain</v>
          </cell>
          <cell r="E344">
            <v>117.65</v>
          </cell>
        </row>
        <row r="345">
          <cell r="B345" t="str">
            <v>Flour (Atta)</v>
          </cell>
          <cell r="C345" t="str">
            <v>Grain</v>
          </cell>
          <cell r="E345">
            <v>127.43</v>
          </cell>
        </row>
        <row r="346">
          <cell r="B346" t="str">
            <v>Maize</v>
          </cell>
          <cell r="C346" t="str">
            <v>Grain</v>
          </cell>
          <cell r="E346">
            <v>112.42</v>
          </cell>
        </row>
        <row r="347">
          <cell r="B347" t="str">
            <v>Flour (Atta)</v>
          </cell>
          <cell r="C347" t="str">
            <v>Grain</v>
          </cell>
          <cell r="E347">
            <v>119.91</v>
          </cell>
        </row>
        <row r="348">
          <cell r="B348" t="str">
            <v>Spices (Mixed)</v>
          </cell>
          <cell r="C348" t="str">
            <v>Condiment</v>
          </cell>
          <cell r="E348">
            <v>703.81</v>
          </cell>
        </row>
        <row r="349">
          <cell r="B349" t="str">
            <v>Cooking Oil (Sunflower)</v>
          </cell>
          <cell r="C349" t="str">
            <v>Oil</v>
          </cell>
          <cell r="E349">
            <v>344.63</v>
          </cell>
        </row>
        <row r="350">
          <cell r="B350" t="str">
            <v>Flour (Atta)</v>
          </cell>
          <cell r="C350" t="str">
            <v>Grain</v>
          </cell>
          <cell r="E350">
            <v>103.92</v>
          </cell>
        </row>
        <row r="351">
          <cell r="B351" t="str">
            <v>Yogurt</v>
          </cell>
          <cell r="C351" t="str">
            <v>Dairy</v>
          </cell>
          <cell r="E351">
            <v>254.88</v>
          </cell>
        </row>
        <row r="352">
          <cell r="B352" t="str">
            <v>Oranges</v>
          </cell>
          <cell r="C352" t="str">
            <v>Fruit</v>
          </cell>
          <cell r="E352">
            <v>163.4</v>
          </cell>
        </row>
        <row r="353">
          <cell r="B353" t="str">
            <v>Mutton</v>
          </cell>
          <cell r="C353" t="str">
            <v>Meat</v>
          </cell>
          <cell r="E353">
            <v>1267.76</v>
          </cell>
        </row>
        <row r="354">
          <cell r="B354" t="str">
            <v>Potato</v>
          </cell>
          <cell r="C354" t="str">
            <v>Vegetable</v>
          </cell>
          <cell r="E354">
            <v>67.650000000000006</v>
          </cell>
        </row>
        <row r="355">
          <cell r="B355" t="str">
            <v>Yogurt</v>
          </cell>
          <cell r="C355" t="str">
            <v>Dairy</v>
          </cell>
          <cell r="E355">
            <v>252.74</v>
          </cell>
        </row>
        <row r="356">
          <cell r="B356" t="str">
            <v>Grapes</v>
          </cell>
          <cell r="C356" t="str">
            <v>Fruit</v>
          </cell>
          <cell r="E356">
            <v>242.61</v>
          </cell>
        </row>
        <row r="357">
          <cell r="B357" t="str">
            <v>Lentils (Masoor)</v>
          </cell>
          <cell r="C357" t="str">
            <v>Pulses</v>
          </cell>
          <cell r="E357">
            <v>283.63</v>
          </cell>
        </row>
        <row r="358">
          <cell r="B358" t="str">
            <v>Grapes</v>
          </cell>
          <cell r="C358" t="str">
            <v>Fruit</v>
          </cell>
          <cell r="E358">
            <v>204.46</v>
          </cell>
        </row>
        <row r="359">
          <cell r="B359" t="str">
            <v>Lentils (Moong)</v>
          </cell>
          <cell r="C359" t="str">
            <v>Pulses</v>
          </cell>
          <cell r="E359">
            <v>300.31</v>
          </cell>
        </row>
        <row r="360">
          <cell r="B360" t="str">
            <v>Fish (Pomfret)</v>
          </cell>
          <cell r="C360" t="str">
            <v>Meat</v>
          </cell>
          <cell r="E360">
            <v>1130.31</v>
          </cell>
        </row>
        <row r="361">
          <cell r="B361" t="str">
            <v>Flour (Atta)</v>
          </cell>
          <cell r="C361" t="str">
            <v>Grain</v>
          </cell>
          <cell r="E361">
            <v>111.93</v>
          </cell>
        </row>
        <row r="362">
          <cell r="B362" t="str">
            <v>Ghee</v>
          </cell>
          <cell r="C362" t="str">
            <v>Oil</v>
          </cell>
          <cell r="E362">
            <v>914.23</v>
          </cell>
        </row>
        <row r="363">
          <cell r="B363" t="str">
            <v>Lentils (Moong)</v>
          </cell>
          <cell r="C363" t="str">
            <v>Pulses</v>
          </cell>
          <cell r="E363">
            <v>353.03</v>
          </cell>
        </row>
        <row r="364">
          <cell r="B364" t="str">
            <v>Beef (Local)</v>
          </cell>
          <cell r="C364" t="str">
            <v>Meat</v>
          </cell>
          <cell r="E364">
            <v>858.41</v>
          </cell>
        </row>
        <row r="365">
          <cell r="B365" t="str">
            <v>Guava</v>
          </cell>
          <cell r="C365" t="str">
            <v>Fruit</v>
          </cell>
          <cell r="E365">
            <v>133.22999999999999</v>
          </cell>
        </row>
        <row r="366">
          <cell r="B366" t="str">
            <v>Milk</v>
          </cell>
          <cell r="C366" t="str">
            <v>Dairy</v>
          </cell>
          <cell r="E366">
            <v>214.29</v>
          </cell>
        </row>
        <row r="367">
          <cell r="B367" t="str">
            <v>Beef (Local)</v>
          </cell>
          <cell r="C367" t="str">
            <v>Meat</v>
          </cell>
          <cell r="E367">
            <v>936.02</v>
          </cell>
        </row>
        <row r="368">
          <cell r="B368" t="str">
            <v>Chickpeas</v>
          </cell>
          <cell r="C368" t="str">
            <v>Pulses</v>
          </cell>
          <cell r="E368">
            <v>198</v>
          </cell>
        </row>
        <row r="369">
          <cell r="B369" t="str">
            <v>Chicken (Whole)</v>
          </cell>
          <cell r="C369" t="str">
            <v>Meat</v>
          </cell>
          <cell r="E369">
            <v>574.28</v>
          </cell>
        </row>
        <row r="370">
          <cell r="B370" t="str">
            <v>Onion</v>
          </cell>
          <cell r="C370" t="str">
            <v>Vegetable</v>
          </cell>
          <cell r="E370">
            <v>91.07</v>
          </cell>
        </row>
        <row r="371">
          <cell r="B371" t="str">
            <v>Cheese (Local)</v>
          </cell>
          <cell r="C371" t="str">
            <v>Dairy</v>
          </cell>
          <cell r="E371">
            <v>829.85</v>
          </cell>
        </row>
        <row r="372">
          <cell r="B372" t="str">
            <v>Potato</v>
          </cell>
          <cell r="C372" t="str">
            <v>Vegetable</v>
          </cell>
          <cell r="E372">
            <v>78.66</v>
          </cell>
        </row>
        <row r="373">
          <cell r="B373" t="str">
            <v>Wheat</v>
          </cell>
          <cell r="C373" t="str">
            <v>Grain</v>
          </cell>
          <cell r="E373">
            <v>135.63999999999999</v>
          </cell>
        </row>
        <row r="374">
          <cell r="B374" t="str">
            <v>Tea (Loose)</v>
          </cell>
          <cell r="C374" t="str">
            <v>Beverage</v>
          </cell>
          <cell r="E374">
            <v>817.23</v>
          </cell>
        </row>
        <row r="375">
          <cell r="B375" t="str">
            <v>Chickpeas</v>
          </cell>
          <cell r="C375" t="str">
            <v>Pulses</v>
          </cell>
          <cell r="E375">
            <v>180.23</v>
          </cell>
        </row>
        <row r="376">
          <cell r="B376" t="str">
            <v>Fish (Rohu)</v>
          </cell>
          <cell r="C376" t="str">
            <v>Meat</v>
          </cell>
          <cell r="E376">
            <v>724.37</v>
          </cell>
        </row>
        <row r="377">
          <cell r="B377" t="str">
            <v>Spinach</v>
          </cell>
          <cell r="C377" t="str">
            <v>Vegetable</v>
          </cell>
          <cell r="E377">
            <v>62.78</v>
          </cell>
        </row>
        <row r="378">
          <cell r="B378" t="str">
            <v>Rice (Basmati)</v>
          </cell>
          <cell r="C378" t="str">
            <v>Grain</v>
          </cell>
          <cell r="E378">
            <v>349.36</v>
          </cell>
        </row>
        <row r="379">
          <cell r="B379" t="str">
            <v>Mango</v>
          </cell>
          <cell r="C379" t="str">
            <v>Fruit</v>
          </cell>
          <cell r="E379">
            <v>261.07</v>
          </cell>
        </row>
        <row r="380">
          <cell r="B380" t="str">
            <v>Chickpeas</v>
          </cell>
          <cell r="C380" t="str">
            <v>Pulses</v>
          </cell>
          <cell r="E380">
            <v>186.42</v>
          </cell>
        </row>
        <row r="381">
          <cell r="B381" t="str">
            <v>Guava</v>
          </cell>
          <cell r="C381" t="str">
            <v>Fruit</v>
          </cell>
          <cell r="E381">
            <v>132.21</v>
          </cell>
        </row>
        <row r="382">
          <cell r="B382" t="str">
            <v>Oranges</v>
          </cell>
          <cell r="C382" t="str">
            <v>Fruit</v>
          </cell>
          <cell r="E382">
            <v>157.44</v>
          </cell>
        </row>
        <row r="383">
          <cell r="B383" t="str">
            <v>Salt</v>
          </cell>
          <cell r="C383" t="str">
            <v>Condiment</v>
          </cell>
          <cell r="E383">
            <v>36.979999999999997</v>
          </cell>
        </row>
        <row r="384">
          <cell r="B384" t="str">
            <v>Tea (Loose)</v>
          </cell>
          <cell r="C384" t="str">
            <v>Beverage</v>
          </cell>
          <cell r="E384">
            <v>897.31</v>
          </cell>
        </row>
        <row r="385">
          <cell r="B385" t="str">
            <v>Milk</v>
          </cell>
          <cell r="C385" t="str">
            <v>Dairy</v>
          </cell>
          <cell r="E385">
            <v>188.97</v>
          </cell>
        </row>
        <row r="386">
          <cell r="B386" t="str">
            <v>Spinach</v>
          </cell>
          <cell r="C386" t="str">
            <v>Vegetable</v>
          </cell>
          <cell r="E386">
            <v>70.17</v>
          </cell>
        </row>
        <row r="387">
          <cell r="B387" t="str">
            <v>Oranges</v>
          </cell>
          <cell r="C387" t="str">
            <v>Fruit</v>
          </cell>
          <cell r="E387">
            <v>127.23</v>
          </cell>
        </row>
        <row r="388">
          <cell r="B388" t="str">
            <v>Sugar</v>
          </cell>
          <cell r="C388" t="str">
            <v>Grain</v>
          </cell>
          <cell r="E388">
            <v>129.72</v>
          </cell>
        </row>
        <row r="389">
          <cell r="B389" t="str">
            <v>Tea (Loose)</v>
          </cell>
          <cell r="C389" t="str">
            <v>Beverage</v>
          </cell>
          <cell r="E389">
            <v>940.64</v>
          </cell>
        </row>
        <row r="390">
          <cell r="B390" t="str">
            <v>Mutton</v>
          </cell>
          <cell r="C390" t="str">
            <v>Meat</v>
          </cell>
          <cell r="E390">
            <v>1226.06</v>
          </cell>
        </row>
        <row r="391">
          <cell r="B391" t="str">
            <v>Spinach</v>
          </cell>
          <cell r="C391" t="str">
            <v>Vegetable</v>
          </cell>
          <cell r="E391">
            <v>66.13</v>
          </cell>
        </row>
        <row r="392">
          <cell r="B392" t="str">
            <v>Chicken Breast</v>
          </cell>
          <cell r="C392" t="str">
            <v>Meat</v>
          </cell>
          <cell r="E392">
            <v>727.74</v>
          </cell>
        </row>
        <row r="393">
          <cell r="B393" t="str">
            <v>Milk</v>
          </cell>
          <cell r="C393" t="str">
            <v>Dairy</v>
          </cell>
          <cell r="E393">
            <v>184.37</v>
          </cell>
        </row>
        <row r="394">
          <cell r="B394" t="str">
            <v>Eggplant</v>
          </cell>
          <cell r="C394" t="str">
            <v>Vegetable</v>
          </cell>
          <cell r="E394">
            <v>81.510000000000005</v>
          </cell>
        </row>
        <row r="395">
          <cell r="B395" t="str">
            <v>Oranges</v>
          </cell>
          <cell r="C395" t="str">
            <v>Fruit</v>
          </cell>
          <cell r="E395">
            <v>144.28</v>
          </cell>
        </row>
        <row r="396">
          <cell r="B396" t="str">
            <v>Mutton</v>
          </cell>
          <cell r="C396" t="str">
            <v>Meat</v>
          </cell>
          <cell r="E396">
            <v>1235.8800000000001</v>
          </cell>
        </row>
        <row r="397">
          <cell r="B397" t="str">
            <v>Apple</v>
          </cell>
          <cell r="C397" t="str">
            <v>Fruit</v>
          </cell>
          <cell r="E397">
            <v>215.54</v>
          </cell>
        </row>
        <row r="398">
          <cell r="B398" t="str">
            <v>Fish (Rohu)</v>
          </cell>
          <cell r="C398" t="str">
            <v>Meat</v>
          </cell>
          <cell r="E398">
            <v>674.45</v>
          </cell>
        </row>
        <row r="399">
          <cell r="B399" t="str">
            <v>Chickpeas</v>
          </cell>
          <cell r="C399" t="str">
            <v>Pulses</v>
          </cell>
          <cell r="E399">
            <v>210.99</v>
          </cell>
        </row>
        <row r="400">
          <cell r="B400" t="str">
            <v>Cooking Oil (Sunflower)</v>
          </cell>
          <cell r="C400" t="str">
            <v>Oil</v>
          </cell>
          <cell r="E400">
            <v>375.19</v>
          </cell>
        </row>
        <row r="401">
          <cell r="B401" t="str">
            <v>Fish (Pomfret)</v>
          </cell>
          <cell r="C401" t="str">
            <v>Meat</v>
          </cell>
          <cell r="E401">
            <v>1215.3900000000001</v>
          </cell>
        </row>
        <row r="402">
          <cell r="B402" t="str">
            <v>Mango</v>
          </cell>
          <cell r="C402" t="str">
            <v>Fruit</v>
          </cell>
          <cell r="E402">
            <v>247.03</v>
          </cell>
        </row>
        <row r="403">
          <cell r="B403" t="str">
            <v>Potato</v>
          </cell>
          <cell r="C403" t="str">
            <v>Vegetable</v>
          </cell>
          <cell r="E403">
            <v>75.67</v>
          </cell>
        </row>
        <row r="404">
          <cell r="B404" t="str">
            <v>Rice (Basmati)</v>
          </cell>
          <cell r="C404" t="str">
            <v>Grain</v>
          </cell>
          <cell r="E404">
            <v>281.8</v>
          </cell>
        </row>
        <row r="405">
          <cell r="B405" t="str">
            <v>Rice (Basmati)</v>
          </cell>
          <cell r="C405" t="str">
            <v>Grain</v>
          </cell>
          <cell r="E405">
            <v>327.76</v>
          </cell>
        </row>
        <row r="406">
          <cell r="B406" t="str">
            <v>Grapes</v>
          </cell>
          <cell r="C406" t="str">
            <v>Fruit</v>
          </cell>
          <cell r="E406">
            <v>247</v>
          </cell>
        </row>
        <row r="407">
          <cell r="B407" t="str">
            <v>Oranges</v>
          </cell>
          <cell r="C407" t="str">
            <v>Fruit</v>
          </cell>
          <cell r="E407">
            <v>163.69</v>
          </cell>
        </row>
        <row r="408">
          <cell r="B408" t="str">
            <v>Apple</v>
          </cell>
          <cell r="C408" t="str">
            <v>Fruit</v>
          </cell>
          <cell r="E408">
            <v>231.76</v>
          </cell>
        </row>
        <row r="409">
          <cell r="B409" t="str">
            <v>Rice (Basmati)</v>
          </cell>
          <cell r="C409" t="str">
            <v>Grain</v>
          </cell>
          <cell r="E409">
            <v>322.63</v>
          </cell>
        </row>
        <row r="410">
          <cell r="B410" t="str">
            <v>Grapes</v>
          </cell>
          <cell r="C410" t="str">
            <v>Fruit</v>
          </cell>
          <cell r="E410">
            <v>244.25</v>
          </cell>
        </row>
        <row r="411">
          <cell r="B411" t="str">
            <v>Apple</v>
          </cell>
          <cell r="C411" t="str">
            <v>Fruit</v>
          </cell>
          <cell r="E411">
            <v>221.75</v>
          </cell>
        </row>
        <row r="412">
          <cell r="B412" t="str">
            <v>Cheese (Local)</v>
          </cell>
          <cell r="C412" t="str">
            <v>Dairy</v>
          </cell>
          <cell r="E412">
            <v>960.28</v>
          </cell>
        </row>
        <row r="413">
          <cell r="B413" t="str">
            <v>Sugar</v>
          </cell>
          <cell r="C413" t="str">
            <v>Grain</v>
          </cell>
          <cell r="E413">
            <v>128.36000000000001</v>
          </cell>
        </row>
        <row r="414">
          <cell r="B414" t="str">
            <v>Carrot</v>
          </cell>
          <cell r="C414" t="str">
            <v>Vegetable</v>
          </cell>
          <cell r="E414">
            <v>154.29</v>
          </cell>
        </row>
        <row r="415">
          <cell r="B415" t="str">
            <v>Flour (Atta)</v>
          </cell>
          <cell r="C415" t="str">
            <v>Grain</v>
          </cell>
          <cell r="E415">
            <v>115.34</v>
          </cell>
        </row>
        <row r="416">
          <cell r="B416" t="str">
            <v>Carrot</v>
          </cell>
          <cell r="C416" t="str">
            <v>Vegetable</v>
          </cell>
          <cell r="E416">
            <v>134.29</v>
          </cell>
        </row>
        <row r="417">
          <cell r="B417" t="str">
            <v>Oranges</v>
          </cell>
          <cell r="C417" t="str">
            <v>Fruit</v>
          </cell>
          <cell r="E417">
            <v>145.01</v>
          </cell>
        </row>
        <row r="418">
          <cell r="B418" t="str">
            <v>Chickpeas</v>
          </cell>
          <cell r="C418" t="str">
            <v>Pulses</v>
          </cell>
          <cell r="E418">
            <v>176.85</v>
          </cell>
        </row>
        <row r="419">
          <cell r="B419" t="str">
            <v>Spices (Mixed)</v>
          </cell>
          <cell r="C419" t="str">
            <v>Condiment</v>
          </cell>
          <cell r="E419">
            <v>858.94</v>
          </cell>
        </row>
        <row r="420">
          <cell r="B420" t="str">
            <v>Chickpeas</v>
          </cell>
          <cell r="C420" t="str">
            <v>Pulses</v>
          </cell>
          <cell r="E420">
            <v>199.46</v>
          </cell>
        </row>
        <row r="421">
          <cell r="B421" t="str">
            <v>Chicken (Whole)</v>
          </cell>
          <cell r="C421" t="str">
            <v>Meat</v>
          </cell>
          <cell r="E421">
            <v>480.98</v>
          </cell>
        </row>
        <row r="422">
          <cell r="B422" t="str">
            <v>Fish (Pomfret)</v>
          </cell>
          <cell r="C422" t="str">
            <v>Meat</v>
          </cell>
          <cell r="E422">
            <v>1224.05</v>
          </cell>
        </row>
        <row r="423">
          <cell r="B423" t="str">
            <v>Potato</v>
          </cell>
          <cell r="C423" t="str">
            <v>Vegetable</v>
          </cell>
          <cell r="E423">
            <v>59.97</v>
          </cell>
        </row>
        <row r="424">
          <cell r="B424" t="str">
            <v>Maize</v>
          </cell>
          <cell r="C424" t="str">
            <v>Grain</v>
          </cell>
          <cell r="E424">
            <v>107.63</v>
          </cell>
        </row>
        <row r="425">
          <cell r="B425" t="str">
            <v>Tea (Loose)</v>
          </cell>
          <cell r="C425" t="str">
            <v>Beverage</v>
          </cell>
          <cell r="E425">
            <v>893.86</v>
          </cell>
        </row>
        <row r="426">
          <cell r="B426" t="str">
            <v>Fish (Rohu)</v>
          </cell>
          <cell r="C426" t="str">
            <v>Meat</v>
          </cell>
          <cell r="E426">
            <v>728.58</v>
          </cell>
        </row>
        <row r="427">
          <cell r="B427" t="str">
            <v>Maize</v>
          </cell>
          <cell r="C427" t="str">
            <v>Grain</v>
          </cell>
          <cell r="E427">
            <v>106.4</v>
          </cell>
        </row>
        <row r="428">
          <cell r="B428" t="str">
            <v>Cooking Oil (Sunflower)</v>
          </cell>
          <cell r="C428" t="str">
            <v>Oil</v>
          </cell>
          <cell r="E428">
            <v>387.23</v>
          </cell>
        </row>
        <row r="429">
          <cell r="B429" t="str">
            <v>Grapes</v>
          </cell>
          <cell r="C429" t="str">
            <v>Fruit</v>
          </cell>
          <cell r="E429">
            <v>251.34</v>
          </cell>
        </row>
        <row r="430">
          <cell r="B430" t="str">
            <v>Potato</v>
          </cell>
          <cell r="C430" t="str">
            <v>Vegetable</v>
          </cell>
          <cell r="E430">
            <v>65.959999999999994</v>
          </cell>
        </row>
        <row r="431">
          <cell r="B431" t="str">
            <v>Fish (Rohu)</v>
          </cell>
          <cell r="C431" t="str">
            <v>Meat</v>
          </cell>
          <cell r="E431">
            <v>744.38</v>
          </cell>
        </row>
        <row r="432">
          <cell r="B432" t="str">
            <v>Grapes</v>
          </cell>
          <cell r="C432" t="str">
            <v>Fruit</v>
          </cell>
          <cell r="E432">
            <v>215.96</v>
          </cell>
        </row>
        <row r="433">
          <cell r="B433" t="str">
            <v>Carrot</v>
          </cell>
          <cell r="C433" t="str">
            <v>Vegetable</v>
          </cell>
          <cell r="E433">
            <v>134.06</v>
          </cell>
        </row>
        <row r="434">
          <cell r="B434" t="str">
            <v>Maize</v>
          </cell>
          <cell r="C434" t="str">
            <v>Grain</v>
          </cell>
          <cell r="E434">
            <v>87.96</v>
          </cell>
        </row>
        <row r="435">
          <cell r="B435" t="str">
            <v>Chickpeas</v>
          </cell>
          <cell r="C435" t="str">
            <v>Pulses</v>
          </cell>
          <cell r="E435">
            <v>220.89</v>
          </cell>
        </row>
        <row r="436">
          <cell r="B436" t="str">
            <v>Guava</v>
          </cell>
          <cell r="C436" t="str">
            <v>Fruit</v>
          </cell>
          <cell r="E436">
            <v>144.68</v>
          </cell>
        </row>
        <row r="437">
          <cell r="B437" t="str">
            <v>Rice (Irri)</v>
          </cell>
          <cell r="C437" t="str">
            <v>Grain</v>
          </cell>
          <cell r="E437">
            <v>135.71</v>
          </cell>
        </row>
        <row r="438">
          <cell r="B438" t="str">
            <v>Cooking Oil (Sunflower)</v>
          </cell>
          <cell r="C438" t="str">
            <v>Oil</v>
          </cell>
          <cell r="E438">
            <v>419.19</v>
          </cell>
        </row>
        <row r="439">
          <cell r="B439" t="str">
            <v>Beef (Local)</v>
          </cell>
          <cell r="C439" t="str">
            <v>Meat</v>
          </cell>
          <cell r="E439">
            <v>824.25</v>
          </cell>
        </row>
        <row r="440">
          <cell r="B440" t="str">
            <v>Wheat</v>
          </cell>
          <cell r="C440" t="str">
            <v>Grain</v>
          </cell>
          <cell r="E440">
            <v>125.34</v>
          </cell>
        </row>
        <row r="441">
          <cell r="B441" t="str">
            <v>Eggplant</v>
          </cell>
          <cell r="C441" t="str">
            <v>Vegetable</v>
          </cell>
          <cell r="E441">
            <v>89.68</v>
          </cell>
        </row>
        <row r="442">
          <cell r="B442" t="str">
            <v>Beef (Local)</v>
          </cell>
          <cell r="C442" t="str">
            <v>Meat</v>
          </cell>
          <cell r="E442">
            <v>960.71</v>
          </cell>
        </row>
        <row r="443">
          <cell r="B443" t="str">
            <v>Ghee</v>
          </cell>
          <cell r="C443" t="str">
            <v>Oil</v>
          </cell>
          <cell r="E443">
            <v>1081.03</v>
          </cell>
        </row>
        <row r="444">
          <cell r="B444" t="str">
            <v>Rice (Basmati)</v>
          </cell>
          <cell r="C444" t="str">
            <v>Grain</v>
          </cell>
          <cell r="E444">
            <v>281.57</v>
          </cell>
        </row>
        <row r="445">
          <cell r="B445" t="str">
            <v>Grapes</v>
          </cell>
          <cell r="C445" t="str">
            <v>Fruit</v>
          </cell>
          <cell r="E445">
            <v>227.84</v>
          </cell>
        </row>
        <row r="446">
          <cell r="B446" t="str">
            <v>Sugar</v>
          </cell>
          <cell r="C446" t="str">
            <v>Grain</v>
          </cell>
          <cell r="E446">
            <v>129.38</v>
          </cell>
        </row>
        <row r="447">
          <cell r="B447" t="str">
            <v>Lentils (Moong)</v>
          </cell>
          <cell r="C447" t="str">
            <v>Pulses</v>
          </cell>
          <cell r="E447">
            <v>312.02</v>
          </cell>
        </row>
        <row r="448">
          <cell r="B448" t="str">
            <v>Carrot</v>
          </cell>
          <cell r="C448" t="str">
            <v>Vegetable</v>
          </cell>
          <cell r="E448">
            <v>129.29</v>
          </cell>
        </row>
        <row r="449">
          <cell r="B449" t="str">
            <v>Banana</v>
          </cell>
          <cell r="C449" t="str">
            <v>Fruit</v>
          </cell>
          <cell r="E449">
            <v>111.54</v>
          </cell>
        </row>
        <row r="450">
          <cell r="B450" t="str">
            <v>Potato</v>
          </cell>
          <cell r="C450" t="str">
            <v>Vegetable</v>
          </cell>
          <cell r="E450">
            <v>59.32</v>
          </cell>
        </row>
        <row r="451">
          <cell r="B451" t="str">
            <v>Tomato</v>
          </cell>
          <cell r="C451" t="str">
            <v>Vegetable</v>
          </cell>
          <cell r="E451">
            <v>111.59</v>
          </cell>
        </row>
        <row r="452">
          <cell r="B452" t="str">
            <v>Sugar</v>
          </cell>
          <cell r="C452" t="str">
            <v>Grain</v>
          </cell>
          <cell r="E452">
            <v>115.24</v>
          </cell>
        </row>
        <row r="453">
          <cell r="B453" t="str">
            <v>Chicken (Whole)</v>
          </cell>
          <cell r="C453" t="str">
            <v>Meat</v>
          </cell>
          <cell r="E453">
            <v>496.31</v>
          </cell>
        </row>
        <row r="454">
          <cell r="B454" t="str">
            <v>Beef (Local)</v>
          </cell>
          <cell r="C454" t="str">
            <v>Meat</v>
          </cell>
          <cell r="E454">
            <v>861</v>
          </cell>
        </row>
        <row r="455">
          <cell r="B455" t="str">
            <v>Guava</v>
          </cell>
          <cell r="C455" t="str">
            <v>Fruit</v>
          </cell>
          <cell r="E455">
            <v>123.06</v>
          </cell>
        </row>
        <row r="456">
          <cell r="B456" t="str">
            <v>Grapes</v>
          </cell>
          <cell r="C456" t="str">
            <v>Fruit</v>
          </cell>
          <cell r="E456">
            <v>231.54</v>
          </cell>
        </row>
        <row r="457">
          <cell r="B457" t="str">
            <v>Rice (Irri)</v>
          </cell>
          <cell r="C457" t="str">
            <v>Grain</v>
          </cell>
          <cell r="E457">
            <v>144.85</v>
          </cell>
        </row>
        <row r="458">
          <cell r="B458" t="str">
            <v>Mango</v>
          </cell>
          <cell r="C458" t="str">
            <v>Fruit</v>
          </cell>
          <cell r="E458">
            <v>253.99</v>
          </cell>
        </row>
        <row r="459">
          <cell r="B459" t="str">
            <v>Sugar</v>
          </cell>
          <cell r="C459" t="str">
            <v>Grain</v>
          </cell>
          <cell r="E459">
            <v>128.33000000000001</v>
          </cell>
        </row>
        <row r="460">
          <cell r="B460" t="str">
            <v>Cooking Oil (Sunflower)</v>
          </cell>
          <cell r="C460" t="str">
            <v>Oil</v>
          </cell>
          <cell r="E460">
            <v>397.39</v>
          </cell>
        </row>
        <row r="461">
          <cell r="B461" t="str">
            <v>Potato</v>
          </cell>
          <cell r="C461" t="str">
            <v>Vegetable</v>
          </cell>
          <cell r="E461">
            <v>79.63</v>
          </cell>
        </row>
        <row r="462">
          <cell r="B462" t="str">
            <v>Tea (Loose)</v>
          </cell>
          <cell r="C462" t="str">
            <v>Beverage</v>
          </cell>
          <cell r="E462">
            <v>930.03</v>
          </cell>
        </row>
        <row r="463">
          <cell r="B463" t="str">
            <v>Tea (Loose)</v>
          </cell>
          <cell r="C463" t="str">
            <v>Beverage</v>
          </cell>
          <cell r="E463">
            <v>875.12</v>
          </cell>
        </row>
        <row r="464">
          <cell r="B464" t="str">
            <v>Fish (Pomfret)</v>
          </cell>
          <cell r="C464" t="str">
            <v>Meat</v>
          </cell>
          <cell r="E464">
            <v>1104.78</v>
          </cell>
        </row>
        <row r="465">
          <cell r="B465" t="str">
            <v>Chicken (Whole)</v>
          </cell>
          <cell r="C465" t="str">
            <v>Meat</v>
          </cell>
          <cell r="E465">
            <v>490.55</v>
          </cell>
        </row>
        <row r="466">
          <cell r="B466" t="str">
            <v>Fish (Rohu)</v>
          </cell>
          <cell r="C466" t="str">
            <v>Meat</v>
          </cell>
          <cell r="E466">
            <v>720.63</v>
          </cell>
        </row>
        <row r="467">
          <cell r="B467" t="str">
            <v>Oranges</v>
          </cell>
          <cell r="C467" t="str">
            <v>Fruit</v>
          </cell>
          <cell r="E467">
            <v>135.27000000000001</v>
          </cell>
        </row>
        <row r="468">
          <cell r="B468" t="str">
            <v>Flour (Atta)</v>
          </cell>
          <cell r="C468" t="str">
            <v>Grain</v>
          </cell>
          <cell r="E468">
            <v>108.48</v>
          </cell>
        </row>
        <row r="469">
          <cell r="B469" t="str">
            <v>Tomato</v>
          </cell>
          <cell r="C469" t="str">
            <v>Vegetable</v>
          </cell>
          <cell r="E469">
            <v>118.35</v>
          </cell>
        </row>
        <row r="470">
          <cell r="B470" t="str">
            <v>Eggplant</v>
          </cell>
          <cell r="C470" t="str">
            <v>Vegetable</v>
          </cell>
          <cell r="E470">
            <v>70.75</v>
          </cell>
        </row>
        <row r="471">
          <cell r="B471" t="str">
            <v>Fish (Pomfret)</v>
          </cell>
          <cell r="C471" t="str">
            <v>Meat</v>
          </cell>
          <cell r="E471">
            <v>927.84</v>
          </cell>
        </row>
        <row r="472">
          <cell r="B472" t="str">
            <v>Sugar</v>
          </cell>
          <cell r="C472" t="str">
            <v>Grain</v>
          </cell>
          <cell r="E472">
            <v>123.77</v>
          </cell>
        </row>
        <row r="473">
          <cell r="B473" t="str">
            <v>Onion</v>
          </cell>
          <cell r="C473" t="str">
            <v>Vegetable</v>
          </cell>
          <cell r="E473">
            <v>93.97</v>
          </cell>
        </row>
        <row r="474">
          <cell r="B474" t="str">
            <v>Milk</v>
          </cell>
          <cell r="C474" t="str">
            <v>Dairy</v>
          </cell>
          <cell r="E474">
            <v>206.71</v>
          </cell>
        </row>
        <row r="475">
          <cell r="B475" t="str">
            <v>Maize</v>
          </cell>
          <cell r="C475" t="str">
            <v>Grain</v>
          </cell>
          <cell r="E475">
            <v>110.06</v>
          </cell>
        </row>
        <row r="476">
          <cell r="B476" t="str">
            <v>Onion</v>
          </cell>
          <cell r="C476" t="str">
            <v>Vegetable</v>
          </cell>
          <cell r="E476">
            <v>86.92</v>
          </cell>
        </row>
        <row r="477">
          <cell r="B477" t="str">
            <v>Beef (Local)</v>
          </cell>
          <cell r="C477" t="str">
            <v>Meat</v>
          </cell>
          <cell r="E477">
            <v>977.54</v>
          </cell>
        </row>
        <row r="478">
          <cell r="B478" t="str">
            <v>Fish (Pomfret)</v>
          </cell>
          <cell r="C478" t="str">
            <v>Meat</v>
          </cell>
          <cell r="E478">
            <v>1018.52</v>
          </cell>
        </row>
        <row r="479">
          <cell r="B479" t="str">
            <v>Carrot</v>
          </cell>
          <cell r="C479" t="str">
            <v>Vegetable</v>
          </cell>
          <cell r="E479">
            <v>145.41</v>
          </cell>
        </row>
        <row r="480">
          <cell r="B480" t="str">
            <v>Carrot</v>
          </cell>
          <cell r="C480" t="str">
            <v>Vegetable</v>
          </cell>
          <cell r="E480">
            <v>150.85</v>
          </cell>
        </row>
        <row r="481">
          <cell r="B481" t="str">
            <v>Chicken (Whole)</v>
          </cell>
          <cell r="C481" t="str">
            <v>Meat</v>
          </cell>
          <cell r="E481">
            <v>494.45</v>
          </cell>
        </row>
        <row r="482">
          <cell r="B482" t="str">
            <v>Banana</v>
          </cell>
          <cell r="C482" t="str">
            <v>Fruit</v>
          </cell>
          <cell r="E482">
            <v>117.61</v>
          </cell>
        </row>
        <row r="483">
          <cell r="B483" t="str">
            <v>Mutton</v>
          </cell>
          <cell r="C483" t="str">
            <v>Meat</v>
          </cell>
          <cell r="E483">
            <v>1302.9000000000001</v>
          </cell>
        </row>
        <row r="484">
          <cell r="B484" t="str">
            <v>Beef (Local)</v>
          </cell>
          <cell r="C484" t="str">
            <v>Meat</v>
          </cell>
          <cell r="E484">
            <v>863.94</v>
          </cell>
        </row>
        <row r="485">
          <cell r="B485" t="str">
            <v>Cheese (Local)</v>
          </cell>
          <cell r="C485" t="str">
            <v>Dairy</v>
          </cell>
          <cell r="E485">
            <v>875.36</v>
          </cell>
        </row>
        <row r="486">
          <cell r="B486" t="str">
            <v>Rice (Irri)</v>
          </cell>
          <cell r="C486" t="str">
            <v>Grain</v>
          </cell>
          <cell r="E486">
            <v>132.76</v>
          </cell>
        </row>
        <row r="487">
          <cell r="B487" t="str">
            <v>Spinach</v>
          </cell>
          <cell r="C487" t="str">
            <v>Vegetable</v>
          </cell>
          <cell r="E487">
            <v>55.72</v>
          </cell>
        </row>
        <row r="488">
          <cell r="B488" t="str">
            <v>Eggplant</v>
          </cell>
          <cell r="C488" t="str">
            <v>Vegetable</v>
          </cell>
          <cell r="E488">
            <v>82</v>
          </cell>
        </row>
        <row r="489">
          <cell r="B489" t="str">
            <v>Flour (Atta)</v>
          </cell>
          <cell r="C489" t="str">
            <v>Grain</v>
          </cell>
          <cell r="E489">
            <v>126.29</v>
          </cell>
        </row>
        <row r="490">
          <cell r="B490" t="str">
            <v>Tea (Loose)</v>
          </cell>
          <cell r="C490" t="str">
            <v>Beverage</v>
          </cell>
          <cell r="E490">
            <v>907.98</v>
          </cell>
        </row>
        <row r="491">
          <cell r="B491" t="str">
            <v>Rice (Basmati)</v>
          </cell>
          <cell r="C491" t="str">
            <v>Grain</v>
          </cell>
          <cell r="E491">
            <v>330.09</v>
          </cell>
        </row>
        <row r="492">
          <cell r="B492" t="str">
            <v>Chicken Breast</v>
          </cell>
          <cell r="C492" t="str">
            <v>Meat</v>
          </cell>
          <cell r="E492">
            <v>653.88</v>
          </cell>
        </row>
        <row r="493">
          <cell r="B493" t="str">
            <v>Lentils (Moong)</v>
          </cell>
          <cell r="C493" t="str">
            <v>Pulses</v>
          </cell>
          <cell r="E493">
            <v>330.8</v>
          </cell>
        </row>
        <row r="494">
          <cell r="B494" t="str">
            <v>Lentils (Masoor)</v>
          </cell>
          <cell r="C494" t="str">
            <v>Pulses</v>
          </cell>
          <cell r="E494">
            <v>234.02</v>
          </cell>
        </row>
        <row r="495">
          <cell r="B495" t="str">
            <v>Rice (Irri)</v>
          </cell>
          <cell r="C495" t="str">
            <v>Grain</v>
          </cell>
          <cell r="E495">
            <v>126.55</v>
          </cell>
        </row>
        <row r="496">
          <cell r="B496" t="str">
            <v>Beef (Local)</v>
          </cell>
          <cell r="C496" t="str">
            <v>Meat</v>
          </cell>
          <cell r="E496">
            <v>1009.2</v>
          </cell>
        </row>
        <row r="497">
          <cell r="B497" t="str">
            <v>Potato</v>
          </cell>
          <cell r="C497" t="str">
            <v>Vegetable</v>
          </cell>
          <cell r="E497">
            <v>62.14</v>
          </cell>
        </row>
        <row r="498">
          <cell r="B498" t="str">
            <v>Ghee</v>
          </cell>
          <cell r="C498" t="str">
            <v>Oil</v>
          </cell>
          <cell r="E498">
            <v>1073.9000000000001</v>
          </cell>
        </row>
        <row r="499">
          <cell r="B499" t="str">
            <v>Oranges</v>
          </cell>
          <cell r="C499" t="str">
            <v>Fruit</v>
          </cell>
          <cell r="E499">
            <v>153.72999999999999</v>
          </cell>
        </row>
        <row r="500">
          <cell r="B500" t="str">
            <v>Cheese (Local)</v>
          </cell>
          <cell r="C500" t="str">
            <v>Dairy</v>
          </cell>
          <cell r="E500">
            <v>814.18</v>
          </cell>
        </row>
        <row r="501">
          <cell r="B501" t="str">
            <v>Cooking Oil (Sunflower)</v>
          </cell>
          <cell r="C501" t="str">
            <v>Oil</v>
          </cell>
          <cell r="E501">
            <v>358.87</v>
          </cell>
        </row>
        <row r="502">
          <cell r="B502" t="str">
            <v>Apple</v>
          </cell>
          <cell r="C502" t="str">
            <v>Fruit</v>
          </cell>
          <cell r="E502">
            <v>216.4</v>
          </cell>
        </row>
        <row r="503">
          <cell r="B503" t="str">
            <v>Lentils (Moong)</v>
          </cell>
          <cell r="C503" t="str">
            <v>Pulses</v>
          </cell>
          <cell r="E503">
            <v>281.49</v>
          </cell>
        </row>
        <row r="504">
          <cell r="B504" t="str">
            <v>Banana</v>
          </cell>
          <cell r="C504" t="str">
            <v>Fruit</v>
          </cell>
          <cell r="E504">
            <v>119.67</v>
          </cell>
        </row>
        <row r="505">
          <cell r="B505" t="str">
            <v>Apple</v>
          </cell>
          <cell r="C505" t="str">
            <v>Fruit</v>
          </cell>
          <cell r="E505">
            <v>183.59</v>
          </cell>
        </row>
        <row r="506">
          <cell r="B506" t="str">
            <v>Oranges</v>
          </cell>
          <cell r="C506" t="str">
            <v>Fruit</v>
          </cell>
          <cell r="E506">
            <v>163.75</v>
          </cell>
        </row>
        <row r="507">
          <cell r="B507" t="str">
            <v>Tea (Loose)</v>
          </cell>
          <cell r="C507" t="str">
            <v>Beverage</v>
          </cell>
          <cell r="E507">
            <v>1057.54</v>
          </cell>
        </row>
        <row r="508">
          <cell r="B508" t="str">
            <v>Apple</v>
          </cell>
          <cell r="C508" t="str">
            <v>Fruit</v>
          </cell>
          <cell r="E508">
            <v>219.63</v>
          </cell>
        </row>
        <row r="509">
          <cell r="B509" t="str">
            <v>Flour (Atta)</v>
          </cell>
          <cell r="C509" t="str">
            <v>Grain</v>
          </cell>
          <cell r="E509">
            <v>115.69</v>
          </cell>
        </row>
        <row r="510">
          <cell r="B510" t="str">
            <v>Lentils (Moong)</v>
          </cell>
          <cell r="C510" t="str">
            <v>Pulses</v>
          </cell>
          <cell r="E510">
            <v>276.66000000000003</v>
          </cell>
        </row>
        <row r="511">
          <cell r="B511" t="str">
            <v>Grapes</v>
          </cell>
          <cell r="C511" t="str">
            <v>Fruit</v>
          </cell>
          <cell r="E511">
            <v>247.9</v>
          </cell>
        </row>
        <row r="512">
          <cell r="B512" t="str">
            <v>Onion</v>
          </cell>
          <cell r="C512" t="str">
            <v>Vegetable</v>
          </cell>
          <cell r="E512">
            <v>87.75</v>
          </cell>
        </row>
        <row r="513">
          <cell r="B513" t="str">
            <v>Flour (Atta)</v>
          </cell>
          <cell r="C513" t="str">
            <v>Grain</v>
          </cell>
          <cell r="E513">
            <v>126.33</v>
          </cell>
        </row>
        <row r="514">
          <cell r="B514" t="str">
            <v>Carrot</v>
          </cell>
          <cell r="C514" t="str">
            <v>Vegetable</v>
          </cell>
          <cell r="E514">
            <v>151.63999999999999</v>
          </cell>
        </row>
        <row r="515">
          <cell r="B515" t="str">
            <v>Beef (Local)</v>
          </cell>
          <cell r="C515" t="str">
            <v>Meat</v>
          </cell>
          <cell r="E515">
            <v>931.78</v>
          </cell>
        </row>
        <row r="516">
          <cell r="B516" t="str">
            <v>Salt</v>
          </cell>
          <cell r="C516" t="str">
            <v>Condiment</v>
          </cell>
          <cell r="E516">
            <v>45.2</v>
          </cell>
        </row>
        <row r="517">
          <cell r="B517" t="str">
            <v>Yogurt</v>
          </cell>
          <cell r="C517" t="str">
            <v>Dairy</v>
          </cell>
          <cell r="E517">
            <v>203.56</v>
          </cell>
        </row>
        <row r="518">
          <cell r="B518" t="str">
            <v>Eggplant</v>
          </cell>
          <cell r="C518" t="str">
            <v>Vegetable</v>
          </cell>
          <cell r="E518">
            <v>77.17</v>
          </cell>
        </row>
        <row r="519">
          <cell r="B519" t="str">
            <v>Ghee</v>
          </cell>
          <cell r="C519" t="str">
            <v>Oil</v>
          </cell>
          <cell r="E519">
            <v>1077.05</v>
          </cell>
        </row>
        <row r="520">
          <cell r="B520" t="str">
            <v>Lentils (Masoor)</v>
          </cell>
          <cell r="C520" t="str">
            <v>Pulses</v>
          </cell>
          <cell r="E520">
            <v>286.48</v>
          </cell>
        </row>
        <row r="521">
          <cell r="B521" t="str">
            <v>Chicken Breast</v>
          </cell>
          <cell r="C521" t="str">
            <v>Meat</v>
          </cell>
          <cell r="E521">
            <v>777.87</v>
          </cell>
        </row>
        <row r="522">
          <cell r="B522" t="str">
            <v>Tea (Loose)</v>
          </cell>
          <cell r="C522" t="str">
            <v>Beverage</v>
          </cell>
          <cell r="E522">
            <v>929.79</v>
          </cell>
        </row>
        <row r="523">
          <cell r="B523" t="str">
            <v>Guava</v>
          </cell>
          <cell r="C523" t="str">
            <v>Fruit</v>
          </cell>
          <cell r="E523">
            <v>115.21</v>
          </cell>
        </row>
        <row r="524">
          <cell r="B524" t="str">
            <v>Tomato</v>
          </cell>
          <cell r="C524" t="str">
            <v>Vegetable</v>
          </cell>
          <cell r="E524">
            <v>111.14</v>
          </cell>
        </row>
        <row r="525">
          <cell r="B525" t="str">
            <v>Grapes</v>
          </cell>
          <cell r="C525" t="str">
            <v>Fruit</v>
          </cell>
          <cell r="E525">
            <v>199.57</v>
          </cell>
        </row>
        <row r="526">
          <cell r="B526" t="str">
            <v>Tea (Loose)</v>
          </cell>
          <cell r="C526" t="str">
            <v>Beverage</v>
          </cell>
          <cell r="E526">
            <v>991.62</v>
          </cell>
        </row>
        <row r="527">
          <cell r="B527" t="str">
            <v>Wheat</v>
          </cell>
          <cell r="C527" t="str">
            <v>Grain</v>
          </cell>
          <cell r="E527">
            <v>127.83</v>
          </cell>
        </row>
        <row r="528">
          <cell r="B528" t="str">
            <v>Chicken Breast</v>
          </cell>
          <cell r="C528" t="str">
            <v>Meat</v>
          </cell>
          <cell r="E528">
            <v>569.76</v>
          </cell>
        </row>
        <row r="529">
          <cell r="B529" t="str">
            <v>Yogurt</v>
          </cell>
          <cell r="C529" t="str">
            <v>Dairy</v>
          </cell>
          <cell r="E529">
            <v>208.48</v>
          </cell>
        </row>
        <row r="530">
          <cell r="B530" t="str">
            <v>Spices (Mixed)</v>
          </cell>
          <cell r="C530" t="str">
            <v>Condiment</v>
          </cell>
          <cell r="E530">
            <v>813.93</v>
          </cell>
        </row>
        <row r="531">
          <cell r="B531" t="str">
            <v>Milk</v>
          </cell>
          <cell r="C531" t="str">
            <v>Dairy</v>
          </cell>
          <cell r="E531">
            <v>187.9</v>
          </cell>
        </row>
        <row r="532">
          <cell r="B532" t="str">
            <v>Potato</v>
          </cell>
          <cell r="C532" t="str">
            <v>Vegetable</v>
          </cell>
          <cell r="E532">
            <v>71.95</v>
          </cell>
        </row>
        <row r="533">
          <cell r="B533" t="str">
            <v>Apple</v>
          </cell>
          <cell r="C533" t="str">
            <v>Fruit</v>
          </cell>
          <cell r="E533">
            <v>178.62</v>
          </cell>
        </row>
        <row r="534">
          <cell r="B534" t="str">
            <v>Beef (Local)</v>
          </cell>
          <cell r="C534" t="str">
            <v>Meat</v>
          </cell>
          <cell r="E534">
            <v>854.06</v>
          </cell>
        </row>
        <row r="535">
          <cell r="B535" t="str">
            <v>Onion</v>
          </cell>
          <cell r="C535" t="str">
            <v>Vegetable</v>
          </cell>
          <cell r="E535">
            <v>91.03</v>
          </cell>
        </row>
        <row r="536">
          <cell r="B536" t="str">
            <v>Lentils (Masoor)</v>
          </cell>
          <cell r="C536" t="str">
            <v>Pulses</v>
          </cell>
          <cell r="E536">
            <v>212.41</v>
          </cell>
        </row>
        <row r="537">
          <cell r="B537" t="str">
            <v>Maize</v>
          </cell>
          <cell r="C537" t="str">
            <v>Grain</v>
          </cell>
          <cell r="E537">
            <v>106.1</v>
          </cell>
        </row>
        <row r="538">
          <cell r="B538" t="str">
            <v>Onion</v>
          </cell>
          <cell r="C538" t="str">
            <v>Vegetable</v>
          </cell>
          <cell r="E538">
            <v>91.25</v>
          </cell>
        </row>
        <row r="539">
          <cell r="B539" t="str">
            <v>Ghee</v>
          </cell>
          <cell r="C539" t="str">
            <v>Oil</v>
          </cell>
          <cell r="E539">
            <v>1079.6500000000001</v>
          </cell>
        </row>
        <row r="540">
          <cell r="B540" t="str">
            <v>Salt</v>
          </cell>
          <cell r="C540" t="str">
            <v>Condiment</v>
          </cell>
          <cell r="E540">
            <v>39.86</v>
          </cell>
        </row>
        <row r="541">
          <cell r="B541" t="str">
            <v>Mango</v>
          </cell>
          <cell r="C541" t="str">
            <v>Fruit</v>
          </cell>
          <cell r="E541">
            <v>292.64</v>
          </cell>
        </row>
        <row r="542">
          <cell r="B542" t="str">
            <v>Rice (Basmati)</v>
          </cell>
          <cell r="C542" t="str">
            <v>Grain</v>
          </cell>
          <cell r="E542">
            <v>306.01</v>
          </cell>
        </row>
        <row r="543">
          <cell r="B543" t="str">
            <v>Sugar</v>
          </cell>
          <cell r="C543" t="str">
            <v>Grain</v>
          </cell>
          <cell r="E543">
            <v>130.66999999999999</v>
          </cell>
        </row>
        <row r="544">
          <cell r="B544" t="str">
            <v>Chickpeas</v>
          </cell>
          <cell r="C544" t="str">
            <v>Pulses</v>
          </cell>
          <cell r="E544">
            <v>187.98</v>
          </cell>
        </row>
        <row r="545">
          <cell r="B545" t="str">
            <v>Wheat</v>
          </cell>
          <cell r="C545" t="str">
            <v>Grain</v>
          </cell>
          <cell r="E545">
            <v>119.94</v>
          </cell>
        </row>
        <row r="546">
          <cell r="B546" t="str">
            <v>Milk</v>
          </cell>
          <cell r="C546" t="str">
            <v>Dairy</v>
          </cell>
          <cell r="E546">
            <v>232.37</v>
          </cell>
        </row>
        <row r="547">
          <cell r="B547" t="str">
            <v>Mango</v>
          </cell>
          <cell r="C547" t="str">
            <v>Fruit</v>
          </cell>
          <cell r="E547">
            <v>276.77</v>
          </cell>
        </row>
        <row r="548">
          <cell r="B548" t="str">
            <v>Salt</v>
          </cell>
          <cell r="C548" t="str">
            <v>Condiment</v>
          </cell>
          <cell r="E548">
            <v>40.130000000000003</v>
          </cell>
        </row>
        <row r="549">
          <cell r="B549" t="str">
            <v>Lentils (Masoor)</v>
          </cell>
          <cell r="C549" t="str">
            <v>Pulses</v>
          </cell>
          <cell r="E549">
            <v>266.14999999999998</v>
          </cell>
        </row>
        <row r="550">
          <cell r="B550" t="str">
            <v>Carrot</v>
          </cell>
          <cell r="C550" t="str">
            <v>Vegetable</v>
          </cell>
          <cell r="E550">
            <v>145.16</v>
          </cell>
        </row>
        <row r="551">
          <cell r="B551" t="str">
            <v>Apple</v>
          </cell>
          <cell r="C551" t="str">
            <v>Fruit</v>
          </cell>
          <cell r="E551">
            <v>214.31</v>
          </cell>
        </row>
        <row r="552">
          <cell r="B552" t="str">
            <v>Lentils (Moong)</v>
          </cell>
          <cell r="C552" t="str">
            <v>Pulses</v>
          </cell>
          <cell r="E552">
            <v>268.31</v>
          </cell>
        </row>
        <row r="553">
          <cell r="B553" t="str">
            <v>Mutton</v>
          </cell>
          <cell r="C553" t="str">
            <v>Meat</v>
          </cell>
          <cell r="E553">
            <v>1358.35</v>
          </cell>
        </row>
        <row r="554">
          <cell r="B554" t="str">
            <v>Maize</v>
          </cell>
          <cell r="C554" t="str">
            <v>Grain</v>
          </cell>
          <cell r="E554">
            <v>95.01</v>
          </cell>
        </row>
        <row r="555">
          <cell r="B555" t="str">
            <v>Potato</v>
          </cell>
          <cell r="C555" t="str">
            <v>Vegetable</v>
          </cell>
          <cell r="E555">
            <v>68.45</v>
          </cell>
        </row>
        <row r="556">
          <cell r="B556" t="str">
            <v>Banana</v>
          </cell>
          <cell r="C556" t="str">
            <v>Fruit</v>
          </cell>
          <cell r="E556">
            <v>108.58</v>
          </cell>
        </row>
        <row r="557">
          <cell r="B557" t="str">
            <v>Onion</v>
          </cell>
          <cell r="C557" t="str">
            <v>Vegetable</v>
          </cell>
          <cell r="E557">
            <v>97.2</v>
          </cell>
        </row>
        <row r="558">
          <cell r="B558" t="str">
            <v>Wheat</v>
          </cell>
          <cell r="C558" t="str">
            <v>Grain</v>
          </cell>
          <cell r="E558">
            <v>109.98</v>
          </cell>
        </row>
        <row r="559">
          <cell r="B559" t="str">
            <v>Apple</v>
          </cell>
          <cell r="C559" t="str">
            <v>Fruit</v>
          </cell>
          <cell r="E559">
            <v>213.45</v>
          </cell>
        </row>
        <row r="560">
          <cell r="B560" t="str">
            <v>Eggplant</v>
          </cell>
          <cell r="C560" t="str">
            <v>Vegetable</v>
          </cell>
          <cell r="E560">
            <v>85.04</v>
          </cell>
        </row>
        <row r="561">
          <cell r="B561" t="str">
            <v>Beef (Local)</v>
          </cell>
          <cell r="C561" t="str">
            <v>Meat</v>
          </cell>
          <cell r="E561">
            <v>917.57</v>
          </cell>
        </row>
        <row r="562">
          <cell r="B562" t="str">
            <v>Oranges</v>
          </cell>
          <cell r="C562" t="str">
            <v>Fruit</v>
          </cell>
          <cell r="E562">
            <v>166.23</v>
          </cell>
        </row>
        <row r="563">
          <cell r="B563" t="str">
            <v>Oranges</v>
          </cell>
          <cell r="C563" t="str">
            <v>Fruit</v>
          </cell>
          <cell r="E563">
            <v>142.33000000000001</v>
          </cell>
        </row>
        <row r="564">
          <cell r="B564" t="str">
            <v>Oranges</v>
          </cell>
          <cell r="C564" t="str">
            <v>Fruit</v>
          </cell>
          <cell r="E564">
            <v>133.71</v>
          </cell>
        </row>
        <row r="565">
          <cell r="B565" t="str">
            <v>Flour (Atta)</v>
          </cell>
          <cell r="C565" t="str">
            <v>Grain</v>
          </cell>
          <cell r="E565">
            <v>99.03</v>
          </cell>
        </row>
        <row r="566">
          <cell r="B566" t="str">
            <v>Chickpeas</v>
          </cell>
          <cell r="C566" t="str">
            <v>Pulses</v>
          </cell>
          <cell r="E566">
            <v>206.98</v>
          </cell>
        </row>
        <row r="567">
          <cell r="B567" t="str">
            <v>Banana</v>
          </cell>
          <cell r="C567" t="str">
            <v>Fruit</v>
          </cell>
          <cell r="E567">
            <v>117.54</v>
          </cell>
        </row>
        <row r="568">
          <cell r="B568" t="str">
            <v>Beef (Local)</v>
          </cell>
          <cell r="C568" t="str">
            <v>Meat</v>
          </cell>
          <cell r="E568">
            <v>1034.1400000000001</v>
          </cell>
        </row>
        <row r="569">
          <cell r="B569" t="str">
            <v>Fish (Rohu)</v>
          </cell>
          <cell r="C569" t="str">
            <v>Meat</v>
          </cell>
          <cell r="E569">
            <v>685.87</v>
          </cell>
        </row>
        <row r="570">
          <cell r="B570" t="str">
            <v>Lentils (Masoor)</v>
          </cell>
          <cell r="C570" t="str">
            <v>Pulses</v>
          </cell>
          <cell r="E570">
            <v>234.01</v>
          </cell>
        </row>
        <row r="571">
          <cell r="B571" t="str">
            <v>Milk</v>
          </cell>
          <cell r="C571" t="str">
            <v>Dairy</v>
          </cell>
          <cell r="E571">
            <v>223.93</v>
          </cell>
        </row>
        <row r="572">
          <cell r="B572" t="str">
            <v>Guava</v>
          </cell>
          <cell r="C572" t="str">
            <v>Fruit</v>
          </cell>
          <cell r="E572">
            <v>124.77</v>
          </cell>
        </row>
        <row r="573">
          <cell r="B573" t="str">
            <v>Apple</v>
          </cell>
          <cell r="C573" t="str">
            <v>Fruit</v>
          </cell>
          <cell r="E573">
            <v>193.87</v>
          </cell>
        </row>
        <row r="574">
          <cell r="B574" t="str">
            <v>Flour (Atta)</v>
          </cell>
          <cell r="C574" t="str">
            <v>Grain</v>
          </cell>
          <cell r="E574">
            <v>115.58</v>
          </cell>
        </row>
        <row r="575">
          <cell r="B575" t="str">
            <v>Mango</v>
          </cell>
          <cell r="C575" t="str">
            <v>Fruit</v>
          </cell>
          <cell r="E575">
            <v>285.13</v>
          </cell>
        </row>
        <row r="576">
          <cell r="B576" t="str">
            <v>Beef (Local)</v>
          </cell>
          <cell r="C576" t="str">
            <v>Meat</v>
          </cell>
          <cell r="E576">
            <v>821.71</v>
          </cell>
        </row>
        <row r="577">
          <cell r="B577" t="str">
            <v>Sugar</v>
          </cell>
          <cell r="C577" t="str">
            <v>Grain</v>
          </cell>
          <cell r="E577">
            <v>128.09</v>
          </cell>
        </row>
        <row r="578">
          <cell r="B578" t="str">
            <v>Ghee</v>
          </cell>
          <cell r="C578" t="str">
            <v>Oil</v>
          </cell>
          <cell r="E578">
            <v>1154.17</v>
          </cell>
        </row>
        <row r="579">
          <cell r="B579" t="str">
            <v>Banana</v>
          </cell>
          <cell r="C579" t="str">
            <v>Fruit</v>
          </cell>
          <cell r="E579">
            <v>117.63</v>
          </cell>
        </row>
        <row r="580">
          <cell r="B580" t="str">
            <v>Chickpeas</v>
          </cell>
          <cell r="C580" t="str">
            <v>Pulses</v>
          </cell>
          <cell r="E580">
            <v>197.77</v>
          </cell>
        </row>
        <row r="581">
          <cell r="B581" t="str">
            <v>Chicken Breast</v>
          </cell>
          <cell r="C581" t="str">
            <v>Meat</v>
          </cell>
          <cell r="E581">
            <v>632.66999999999996</v>
          </cell>
        </row>
        <row r="582">
          <cell r="B582" t="str">
            <v>Lentils (Masoor)</v>
          </cell>
          <cell r="C582" t="str">
            <v>Pulses</v>
          </cell>
          <cell r="E582">
            <v>233.73</v>
          </cell>
        </row>
        <row r="583">
          <cell r="B583" t="str">
            <v>Lentils (Moong)</v>
          </cell>
          <cell r="C583" t="str">
            <v>Pulses</v>
          </cell>
          <cell r="E583">
            <v>301.77</v>
          </cell>
        </row>
        <row r="584">
          <cell r="B584" t="str">
            <v>Chickpeas</v>
          </cell>
          <cell r="C584" t="str">
            <v>Pulses</v>
          </cell>
          <cell r="E584">
            <v>221.64</v>
          </cell>
        </row>
        <row r="585">
          <cell r="B585" t="str">
            <v>Spinach</v>
          </cell>
          <cell r="C585" t="str">
            <v>Vegetable</v>
          </cell>
          <cell r="E585">
            <v>58.68</v>
          </cell>
        </row>
        <row r="586">
          <cell r="B586" t="str">
            <v>Milk</v>
          </cell>
          <cell r="C586" t="str">
            <v>Dairy</v>
          </cell>
          <cell r="E586">
            <v>227.89</v>
          </cell>
        </row>
        <row r="587">
          <cell r="B587" t="str">
            <v>Tea (Loose)</v>
          </cell>
          <cell r="C587" t="str">
            <v>Beverage</v>
          </cell>
          <cell r="E587">
            <v>840.79</v>
          </cell>
        </row>
        <row r="588">
          <cell r="B588" t="str">
            <v>Spices (Mixed)</v>
          </cell>
          <cell r="C588" t="str">
            <v>Condiment</v>
          </cell>
          <cell r="E588">
            <v>810.62</v>
          </cell>
        </row>
        <row r="589">
          <cell r="B589" t="str">
            <v>Milk</v>
          </cell>
          <cell r="C589" t="str">
            <v>Dairy</v>
          </cell>
          <cell r="E589">
            <v>215.79</v>
          </cell>
        </row>
        <row r="590">
          <cell r="B590" t="str">
            <v>Milk</v>
          </cell>
          <cell r="C590" t="str">
            <v>Dairy</v>
          </cell>
          <cell r="E590">
            <v>216.26</v>
          </cell>
        </row>
        <row r="591">
          <cell r="B591" t="str">
            <v>Carrot</v>
          </cell>
          <cell r="C591" t="str">
            <v>Vegetable</v>
          </cell>
          <cell r="E591">
            <v>150.91</v>
          </cell>
        </row>
        <row r="592">
          <cell r="B592" t="str">
            <v>Oranges</v>
          </cell>
          <cell r="C592" t="str">
            <v>Fruit</v>
          </cell>
          <cell r="E592">
            <v>146.61000000000001</v>
          </cell>
        </row>
        <row r="593">
          <cell r="B593" t="str">
            <v>Mango</v>
          </cell>
          <cell r="C593" t="str">
            <v>Fruit</v>
          </cell>
          <cell r="E593">
            <v>273.82</v>
          </cell>
        </row>
        <row r="594">
          <cell r="B594" t="str">
            <v>Cooking Oil (Sunflower)</v>
          </cell>
          <cell r="C594" t="str">
            <v>Oil</v>
          </cell>
          <cell r="E594">
            <v>308</v>
          </cell>
        </row>
        <row r="595">
          <cell r="B595" t="str">
            <v>Fish (Rohu)</v>
          </cell>
          <cell r="C595" t="str">
            <v>Meat</v>
          </cell>
          <cell r="E595">
            <v>711.13</v>
          </cell>
        </row>
        <row r="596">
          <cell r="B596" t="str">
            <v>Fish (Rohu)</v>
          </cell>
          <cell r="C596" t="str">
            <v>Meat</v>
          </cell>
          <cell r="E596">
            <v>630.28</v>
          </cell>
        </row>
        <row r="597">
          <cell r="B597" t="str">
            <v>Spices (Mixed)</v>
          </cell>
          <cell r="C597" t="str">
            <v>Condiment</v>
          </cell>
          <cell r="E597">
            <v>912.99</v>
          </cell>
        </row>
        <row r="598">
          <cell r="B598" t="str">
            <v>Mango</v>
          </cell>
          <cell r="C598" t="str">
            <v>Fruit</v>
          </cell>
          <cell r="E598">
            <v>262.89</v>
          </cell>
        </row>
        <row r="599">
          <cell r="B599" t="str">
            <v>Carrot</v>
          </cell>
          <cell r="C599" t="str">
            <v>Vegetable</v>
          </cell>
          <cell r="E599">
            <v>141.22</v>
          </cell>
        </row>
        <row r="600">
          <cell r="B600" t="str">
            <v>Fish (Pomfret)</v>
          </cell>
          <cell r="C600" t="str">
            <v>Meat</v>
          </cell>
          <cell r="E600">
            <v>1049.1400000000001</v>
          </cell>
        </row>
        <row r="601">
          <cell r="B601" t="str">
            <v>Spices (Mixed)</v>
          </cell>
          <cell r="C601" t="str">
            <v>Condiment</v>
          </cell>
          <cell r="E601">
            <v>755.66</v>
          </cell>
        </row>
        <row r="602">
          <cell r="B602" t="str">
            <v>Banana</v>
          </cell>
          <cell r="C602" t="str">
            <v>Fruit</v>
          </cell>
          <cell r="E602">
            <v>112.27</v>
          </cell>
        </row>
        <row r="603">
          <cell r="B603" t="str">
            <v>Tea (Loose)</v>
          </cell>
          <cell r="C603" t="str">
            <v>Beverage</v>
          </cell>
          <cell r="E603">
            <v>1028.53</v>
          </cell>
        </row>
        <row r="604">
          <cell r="B604" t="str">
            <v>Rice (Basmati)</v>
          </cell>
          <cell r="C604" t="str">
            <v>Grain</v>
          </cell>
          <cell r="E604">
            <v>286.74</v>
          </cell>
        </row>
        <row r="605">
          <cell r="B605" t="str">
            <v>Tomato</v>
          </cell>
          <cell r="C605" t="str">
            <v>Vegetable</v>
          </cell>
          <cell r="E605">
            <v>109.19</v>
          </cell>
        </row>
        <row r="606">
          <cell r="B606" t="str">
            <v>Mango</v>
          </cell>
          <cell r="C606" t="str">
            <v>Fruit</v>
          </cell>
          <cell r="E606">
            <v>255.8</v>
          </cell>
        </row>
        <row r="607">
          <cell r="B607" t="str">
            <v>Ghee</v>
          </cell>
          <cell r="C607" t="str">
            <v>Oil</v>
          </cell>
          <cell r="E607">
            <v>1125.71</v>
          </cell>
        </row>
        <row r="608">
          <cell r="B608" t="str">
            <v>Beef (Local)</v>
          </cell>
          <cell r="C608" t="str">
            <v>Meat</v>
          </cell>
          <cell r="E608">
            <v>991.1</v>
          </cell>
        </row>
        <row r="609">
          <cell r="B609" t="str">
            <v>Spices (Mixed)</v>
          </cell>
          <cell r="C609" t="str">
            <v>Condiment</v>
          </cell>
          <cell r="E609">
            <v>793.87</v>
          </cell>
        </row>
        <row r="610">
          <cell r="B610" t="str">
            <v>Spinach</v>
          </cell>
          <cell r="C610" t="str">
            <v>Vegetable</v>
          </cell>
          <cell r="E610">
            <v>57.15</v>
          </cell>
        </row>
        <row r="611">
          <cell r="B611" t="str">
            <v>Apple</v>
          </cell>
          <cell r="C611" t="str">
            <v>Fruit</v>
          </cell>
          <cell r="E611">
            <v>232.62</v>
          </cell>
        </row>
        <row r="612">
          <cell r="B612" t="str">
            <v>Salt</v>
          </cell>
          <cell r="C612" t="str">
            <v>Condiment</v>
          </cell>
          <cell r="E612">
            <v>36.869999999999997</v>
          </cell>
        </row>
        <row r="613">
          <cell r="B613" t="str">
            <v>Cooking Oil (Sunflower)</v>
          </cell>
          <cell r="C613" t="str">
            <v>Oil</v>
          </cell>
          <cell r="E613">
            <v>345.7</v>
          </cell>
        </row>
        <row r="614">
          <cell r="B614" t="str">
            <v>Wheat</v>
          </cell>
          <cell r="C614" t="str">
            <v>Grain</v>
          </cell>
          <cell r="E614">
            <v>125.32</v>
          </cell>
        </row>
        <row r="615">
          <cell r="B615" t="str">
            <v>Fish (Pomfret)</v>
          </cell>
          <cell r="C615" t="str">
            <v>Meat</v>
          </cell>
          <cell r="E615">
            <v>1257.53</v>
          </cell>
        </row>
        <row r="616">
          <cell r="B616" t="str">
            <v>Chicken (Whole)</v>
          </cell>
          <cell r="C616" t="str">
            <v>Meat</v>
          </cell>
          <cell r="E616">
            <v>471.42</v>
          </cell>
        </row>
        <row r="617">
          <cell r="B617" t="str">
            <v>Carrot</v>
          </cell>
          <cell r="C617" t="str">
            <v>Vegetable</v>
          </cell>
          <cell r="E617">
            <v>126.17</v>
          </cell>
        </row>
        <row r="618">
          <cell r="B618" t="str">
            <v>Maize</v>
          </cell>
          <cell r="C618" t="str">
            <v>Grain</v>
          </cell>
          <cell r="E618">
            <v>103.53</v>
          </cell>
        </row>
        <row r="619">
          <cell r="B619" t="str">
            <v>Ghee</v>
          </cell>
          <cell r="C619" t="str">
            <v>Oil</v>
          </cell>
          <cell r="E619">
            <v>1103.53</v>
          </cell>
        </row>
        <row r="620">
          <cell r="B620" t="str">
            <v>Lentils (Masoor)</v>
          </cell>
          <cell r="C620" t="str">
            <v>Pulses</v>
          </cell>
          <cell r="E620">
            <v>286.3</v>
          </cell>
        </row>
        <row r="621">
          <cell r="B621" t="str">
            <v>Salt</v>
          </cell>
          <cell r="C621" t="str">
            <v>Condiment</v>
          </cell>
          <cell r="E621">
            <v>43.35</v>
          </cell>
        </row>
        <row r="622">
          <cell r="B622" t="str">
            <v>Flour (Atta)</v>
          </cell>
          <cell r="C622" t="str">
            <v>Grain</v>
          </cell>
          <cell r="E622">
            <v>105.08</v>
          </cell>
        </row>
        <row r="623">
          <cell r="B623" t="str">
            <v>Tea (Loose)</v>
          </cell>
          <cell r="C623" t="str">
            <v>Beverage</v>
          </cell>
          <cell r="E623">
            <v>910.09</v>
          </cell>
        </row>
        <row r="624">
          <cell r="B624" t="str">
            <v>Lentils (Moong)</v>
          </cell>
          <cell r="C624" t="str">
            <v>Pulses</v>
          </cell>
          <cell r="E624">
            <v>278.57</v>
          </cell>
        </row>
        <row r="625">
          <cell r="B625" t="str">
            <v>Rice (Irri)</v>
          </cell>
          <cell r="C625" t="str">
            <v>Grain</v>
          </cell>
          <cell r="E625">
            <v>140.07</v>
          </cell>
        </row>
        <row r="626">
          <cell r="B626" t="str">
            <v>Spinach</v>
          </cell>
          <cell r="C626" t="str">
            <v>Vegetable</v>
          </cell>
          <cell r="E626">
            <v>69.430000000000007</v>
          </cell>
        </row>
        <row r="627">
          <cell r="B627" t="str">
            <v>Mutton</v>
          </cell>
          <cell r="C627" t="str">
            <v>Meat</v>
          </cell>
          <cell r="E627">
            <v>1152.3499999999999</v>
          </cell>
        </row>
        <row r="628">
          <cell r="B628" t="str">
            <v>Chicken (Whole)</v>
          </cell>
          <cell r="C628" t="str">
            <v>Meat</v>
          </cell>
          <cell r="E628">
            <v>515.34</v>
          </cell>
        </row>
        <row r="629">
          <cell r="B629" t="str">
            <v>Mutton</v>
          </cell>
          <cell r="C629" t="str">
            <v>Meat</v>
          </cell>
          <cell r="E629">
            <v>1359.06</v>
          </cell>
        </row>
        <row r="630">
          <cell r="B630" t="str">
            <v>Spinach</v>
          </cell>
          <cell r="C630" t="str">
            <v>Vegetable</v>
          </cell>
          <cell r="E630">
            <v>64.040000000000006</v>
          </cell>
        </row>
        <row r="631">
          <cell r="B631" t="str">
            <v>Eggplant</v>
          </cell>
          <cell r="C631" t="str">
            <v>Vegetable</v>
          </cell>
          <cell r="E631">
            <v>81.67</v>
          </cell>
        </row>
        <row r="632">
          <cell r="B632" t="str">
            <v>Fish (Rohu)</v>
          </cell>
          <cell r="C632" t="str">
            <v>Meat</v>
          </cell>
          <cell r="E632">
            <v>792.85</v>
          </cell>
        </row>
        <row r="633">
          <cell r="B633" t="str">
            <v>Carrot</v>
          </cell>
          <cell r="C633" t="str">
            <v>Vegetable</v>
          </cell>
          <cell r="E633">
            <v>150.52000000000001</v>
          </cell>
        </row>
        <row r="634">
          <cell r="B634" t="str">
            <v>Cooking Oil (Sunflower)</v>
          </cell>
          <cell r="C634" t="str">
            <v>Oil</v>
          </cell>
          <cell r="E634">
            <v>399.98</v>
          </cell>
        </row>
        <row r="635">
          <cell r="B635" t="str">
            <v>Chicken (Whole)</v>
          </cell>
          <cell r="C635" t="str">
            <v>Meat</v>
          </cell>
          <cell r="E635">
            <v>436.31</v>
          </cell>
        </row>
        <row r="636">
          <cell r="B636" t="str">
            <v>Salt</v>
          </cell>
          <cell r="C636" t="str">
            <v>Condiment</v>
          </cell>
          <cell r="E636">
            <v>46.32</v>
          </cell>
        </row>
        <row r="637">
          <cell r="B637" t="str">
            <v>Eggplant</v>
          </cell>
          <cell r="C637" t="str">
            <v>Vegetable</v>
          </cell>
          <cell r="E637">
            <v>91.73</v>
          </cell>
        </row>
        <row r="638">
          <cell r="B638" t="str">
            <v>Guava</v>
          </cell>
          <cell r="C638" t="str">
            <v>Fruit</v>
          </cell>
          <cell r="E638">
            <v>126.4</v>
          </cell>
        </row>
        <row r="639">
          <cell r="B639" t="str">
            <v>Fish (Rohu)</v>
          </cell>
          <cell r="C639" t="str">
            <v>Meat</v>
          </cell>
          <cell r="E639">
            <v>672.13</v>
          </cell>
        </row>
        <row r="640">
          <cell r="B640" t="str">
            <v>Chicken (Whole)</v>
          </cell>
          <cell r="C640" t="str">
            <v>Meat</v>
          </cell>
          <cell r="E640">
            <v>608.46</v>
          </cell>
        </row>
        <row r="641">
          <cell r="B641" t="str">
            <v>Sugar</v>
          </cell>
          <cell r="C641" t="str">
            <v>Grain</v>
          </cell>
          <cell r="E641">
            <v>120.75</v>
          </cell>
        </row>
        <row r="642">
          <cell r="B642" t="str">
            <v>Grapes</v>
          </cell>
          <cell r="C642" t="str">
            <v>Fruit</v>
          </cell>
          <cell r="E642">
            <v>221.47</v>
          </cell>
        </row>
        <row r="643">
          <cell r="B643" t="str">
            <v>Carrot</v>
          </cell>
          <cell r="C643" t="str">
            <v>Vegetable</v>
          </cell>
          <cell r="E643">
            <v>145.65</v>
          </cell>
        </row>
        <row r="644">
          <cell r="B644" t="str">
            <v>Mutton</v>
          </cell>
          <cell r="C644" t="str">
            <v>Meat</v>
          </cell>
          <cell r="E644">
            <v>1169.8800000000001</v>
          </cell>
        </row>
        <row r="645">
          <cell r="B645" t="str">
            <v>Fish (Pomfret)</v>
          </cell>
          <cell r="C645" t="str">
            <v>Meat</v>
          </cell>
          <cell r="E645">
            <v>1065.04</v>
          </cell>
        </row>
        <row r="646">
          <cell r="B646" t="str">
            <v>Rice (Irri)</v>
          </cell>
          <cell r="C646" t="str">
            <v>Grain</v>
          </cell>
          <cell r="E646">
            <v>149.80000000000001</v>
          </cell>
        </row>
        <row r="647">
          <cell r="B647" t="str">
            <v>Flour (Atta)</v>
          </cell>
          <cell r="C647" t="str">
            <v>Grain</v>
          </cell>
          <cell r="E647">
            <v>132.06</v>
          </cell>
        </row>
        <row r="648">
          <cell r="B648" t="str">
            <v>Ghee</v>
          </cell>
          <cell r="C648" t="str">
            <v>Oil</v>
          </cell>
          <cell r="E648">
            <v>1136.26</v>
          </cell>
        </row>
        <row r="649">
          <cell r="B649" t="str">
            <v>Rice (Basmati)</v>
          </cell>
          <cell r="C649" t="str">
            <v>Grain</v>
          </cell>
          <cell r="E649">
            <v>330.64</v>
          </cell>
        </row>
        <row r="650">
          <cell r="B650" t="str">
            <v>Cheese (Local)</v>
          </cell>
          <cell r="C650" t="str">
            <v>Dairy</v>
          </cell>
          <cell r="E650">
            <v>914.3</v>
          </cell>
        </row>
        <row r="651">
          <cell r="B651" t="str">
            <v>Rice (Irri)</v>
          </cell>
          <cell r="C651" t="str">
            <v>Grain</v>
          </cell>
          <cell r="E651">
            <v>143.85</v>
          </cell>
        </row>
        <row r="652">
          <cell r="B652" t="str">
            <v>Chickpeas</v>
          </cell>
          <cell r="C652" t="str">
            <v>Pulses</v>
          </cell>
          <cell r="E652">
            <v>241.01</v>
          </cell>
        </row>
        <row r="653">
          <cell r="B653" t="str">
            <v>Banana</v>
          </cell>
          <cell r="C653" t="str">
            <v>Fruit</v>
          </cell>
          <cell r="E653">
            <v>112.71</v>
          </cell>
        </row>
        <row r="654">
          <cell r="B654" t="str">
            <v>Yogurt</v>
          </cell>
          <cell r="C654" t="str">
            <v>Dairy</v>
          </cell>
          <cell r="E654">
            <v>228.23</v>
          </cell>
        </row>
        <row r="655">
          <cell r="B655" t="str">
            <v>Chickpeas</v>
          </cell>
          <cell r="C655" t="str">
            <v>Pulses</v>
          </cell>
          <cell r="E655">
            <v>206.49</v>
          </cell>
        </row>
        <row r="656">
          <cell r="B656" t="str">
            <v>Lentils (Moong)</v>
          </cell>
          <cell r="C656" t="str">
            <v>Pulses</v>
          </cell>
          <cell r="E656">
            <v>282.33</v>
          </cell>
        </row>
        <row r="657">
          <cell r="B657" t="str">
            <v>Carrot</v>
          </cell>
          <cell r="C657" t="str">
            <v>Vegetable</v>
          </cell>
          <cell r="E657">
            <v>140.49</v>
          </cell>
        </row>
        <row r="658">
          <cell r="B658" t="str">
            <v>Mango</v>
          </cell>
          <cell r="C658" t="str">
            <v>Fruit</v>
          </cell>
          <cell r="E658">
            <v>251.19</v>
          </cell>
        </row>
        <row r="659">
          <cell r="B659" t="str">
            <v>Lentils (Moong)</v>
          </cell>
          <cell r="C659" t="str">
            <v>Pulses</v>
          </cell>
          <cell r="E659">
            <v>339.82</v>
          </cell>
        </row>
        <row r="660">
          <cell r="B660" t="str">
            <v>Lentils (Moong)</v>
          </cell>
          <cell r="C660" t="str">
            <v>Pulses</v>
          </cell>
          <cell r="E660">
            <v>291.39999999999998</v>
          </cell>
        </row>
        <row r="661">
          <cell r="B661" t="str">
            <v>Flour (Atta)</v>
          </cell>
          <cell r="C661" t="str">
            <v>Grain</v>
          </cell>
          <cell r="E661">
            <v>111.34</v>
          </cell>
        </row>
        <row r="662">
          <cell r="B662" t="str">
            <v>Chicken (Whole)</v>
          </cell>
          <cell r="C662" t="str">
            <v>Meat</v>
          </cell>
          <cell r="E662">
            <v>535.02</v>
          </cell>
        </row>
        <row r="663">
          <cell r="B663" t="str">
            <v>Flour (Atta)</v>
          </cell>
          <cell r="C663" t="str">
            <v>Grain</v>
          </cell>
          <cell r="E663">
            <v>103.57</v>
          </cell>
        </row>
        <row r="664">
          <cell r="B664" t="str">
            <v>Rice (Basmati)</v>
          </cell>
          <cell r="C664" t="str">
            <v>Grain</v>
          </cell>
          <cell r="E664">
            <v>286.05</v>
          </cell>
        </row>
        <row r="665">
          <cell r="B665" t="str">
            <v>Cooking Oil (Sunflower)</v>
          </cell>
          <cell r="C665" t="str">
            <v>Oil</v>
          </cell>
          <cell r="E665">
            <v>418.22</v>
          </cell>
        </row>
        <row r="666">
          <cell r="B666" t="str">
            <v>Beef (Local)</v>
          </cell>
          <cell r="C666" t="str">
            <v>Meat</v>
          </cell>
          <cell r="E666">
            <v>1015.62</v>
          </cell>
        </row>
        <row r="667">
          <cell r="B667" t="str">
            <v>Sugar</v>
          </cell>
          <cell r="C667" t="str">
            <v>Grain</v>
          </cell>
          <cell r="E667">
            <v>132.09</v>
          </cell>
        </row>
        <row r="668">
          <cell r="B668" t="str">
            <v>Spinach</v>
          </cell>
          <cell r="C668" t="str">
            <v>Vegetable</v>
          </cell>
          <cell r="E668">
            <v>61.28</v>
          </cell>
        </row>
        <row r="669">
          <cell r="B669" t="str">
            <v>Mutton</v>
          </cell>
          <cell r="C669" t="str">
            <v>Meat</v>
          </cell>
          <cell r="E669">
            <v>1119.33</v>
          </cell>
        </row>
        <row r="670">
          <cell r="B670" t="str">
            <v>Apple</v>
          </cell>
          <cell r="C670" t="str">
            <v>Fruit</v>
          </cell>
          <cell r="E670">
            <v>196.8</v>
          </cell>
        </row>
        <row r="671">
          <cell r="B671" t="str">
            <v>Sugar</v>
          </cell>
          <cell r="C671" t="str">
            <v>Grain</v>
          </cell>
          <cell r="E671">
            <v>125.02</v>
          </cell>
        </row>
        <row r="672">
          <cell r="B672" t="str">
            <v>Guava</v>
          </cell>
          <cell r="C672" t="str">
            <v>Fruit</v>
          </cell>
          <cell r="E672">
            <v>129.24</v>
          </cell>
        </row>
        <row r="673">
          <cell r="B673" t="str">
            <v>Spices (Mixed)</v>
          </cell>
          <cell r="C673" t="str">
            <v>Condiment</v>
          </cell>
          <cell r="E673">
            <v>876.29</v>
          </cell>
        </row>
        <row r="674">
          <cell r="B674" t="str">
            <v>Wheat</v>
          </cell>
          <cell r="C674" t="str">
            <v>Grain</v>
          </cell>
          <cell r="E674">
            <v>106.22</v>
          </cell>
        </row>
        <row r="675">
          <cell r="B675" t="str">
            <v>Maize</v>
          </cell>
          <cell r="C675" t="str">
            <v>Grain</v>
          </cell>
          <cell r="E675">
            <v>105.49</v>
          </cell>
        </row>
        <row r="676">
          <cell r="B676" t="str">
            <v>Tea (Loose)</v>
          </cell>
          <cell r="C676" t="str">
            <v>Beverage</v>
          </cell>
          <cell r="E676">
            <v>978.39</v>
          </cell>
        </row>
        <row r="677">
          <cell r="B677" t="str">
            <v>Cheese (Local)</v>
          </cell>
          <cell r="C677" t="str">
            <v>Dairy</v>
          </cell>
          <cell r="E677">
            <v>813.03</v>
          </cell>
        </row>
        <row r="678">
          <cell r="B678" t="str">
            <v>Lentils (Moong)</v>
          </cell>
          <cell r="C678" t="str">
            <v>Pulses</v>
          </cell>
          <cell r="E678">
            <v>305.68</v>
          </cell>
        </row>
        <row r="679">
          <cell r="B679" t="str">
            <v>Ghee</v>
          </cell>
          <cell r="C679" t="str">
            <v>Oil</v>
          </cell>
          <cell r="E679">
            <v>1047.04</v>
          </cell>
        </row>
        <row r="680">
          <cell r="B680" t="str">
            <v>Milk</v>
          </cell>
          <cell r="C680" t="str">
            <v>Dairy</v>
          </cell>
          <cell r="E680">
            <v>207.46</v>
          </cell>
        </row>
        <row r="681">
          <cell r="B681" t="str">
            <v>Eggplant</v>
          </cell>
          <cell r="C681" t="str">
            <v>Vegetable</v>
          </cell>
          <cell r="E681">
            <v>72.73</v>
          </cell>
        </row>
        <row r="682">
          <cell r="B682" t="str">
            <v>Chicken Breast</v>
          </cell>
          <cell r="C682" t="str">
            <v>Meat</v>
          </cell>
          <cell r="E682">
            <v>619.4</v>
          </cell>
        </row>
        <row r="683">
          <cell r="B683" t="str">
            <v>Chicken (Whole)</v>
          </cell>
          <cell r="C683" t="str">
            <v>Meat</v>
          </cell>
          <cell r="E683">
            <v>554.73</v>
          </cell>
        </row>
        <row r="684">
          <cell r="B684" t="str">
            <v>Fish (Rohu)</v>
          </cell>
          <cell r="C684" t="str">
            <v>Meat</v>
          </cell>
          <cell r="E684">
            <v>663.97</v>
          </cell>
        </row>
        <row r="685">
          <cell r="B685" t="str">
            <v>Apple</v>
          </cell>
          <cell r="C685" t="str">
            <v>Fruit</v>
          </cell>
          <cell r="E685">
            <v>218.89</v>
          </cell>
        </row>
        <row r="686">
          <cell r="B686" t="str">
            <v>Apple</v>
          </cell>
          <cell r="C686" t="str">
            <v>Fruit</v>
          </cell>
          <cell r="E686">
            <v>185.56</v>
          </cell>
        </row>
        <row r="687">
          <cell r="B687" t="str">
            <v>Onion</v>
          </cell>
          <cell r="C687" t="str">
            <v>Vegetable</v>
          </cell>
          <cell r="E687">
            <v>92.14</v>
          </cell>
        </row>
        <row r="688">
          <cell r="B688" t="str">
            <v>Sugar</v>
          </cell>
          <cell r="C688" t="str">
            <v>Grain</v>
          </cell>
          <cell r="E688">
            <v>129.19999999999999</v>
          </cell>
        </row>
        <row r="689">
          <cell r="B689" t="str">
            <v>Cooking Oil (Sunflower)</v>
          </cell>
          <cell r="C689" t="str">
            <v>Oil</v>
          </cell>
          <cell r="E689">
            <v>334.31</v>
          </cell>
        </row>
        <row r="690">
          <cell r="B690" t="str">
            <v>Fish (Pomfret)</v>
          </cell>
          <cell r="C690" t="str">
            <v>Meat</v>
          </cell>
          <cell r="E690">
            <v>991.07</v>
          </cell>
        </row>
        <row r="691">
          <cell r="B691" t="str">
            <v>Yogurt</v>
          </cell>
          <cell r="C691" t="str">
            <v>Dairy</v>
          </cell>
          <cell r="E691">
            <v>228.57</v>
          </cell>
        </row>
        <row r="692">
          <cell r="B692" t="str">
            <v>Wheat</v>
          </cell>
          <cell r="C692" t="str">
            <v>Grain</v>
          </cell>
          <cell r="E692">
            <v>110.57</v>
          </cell>
        </row>
        <row r="693">
          <cell r="B693" t="str">
            <v>Spices (Mixed)</v>
          </cell>
          <cell r="C693" t="str">
            <v>Condiment</v>
          </cell>
          <cell r="E693">
            <v>755.7</v>
          </cell>
        </row>
        <row r="694">
          <cell r="B694" t="str">
            <v>Beef (Local)</v>
          </cell>
          <cell r="C694" t="str">
            <v>Meat</v>
          </cell>
          <cell r="E694">
            <v>956.77</v>
          </cell>
        </row>
        <row r="695">
          <cell r="B695" t="str">
            <v>Wheat</v>
          </cell>
          <cell r="C695" t="str">
            <v>Grain</v>
          </cell>
          <cell r="E695">
            <v>116.13</v>
          </cell>
        </row>
        <row r="696">
          <cell r="B696" t="str">
            <v>Chickpeas</v>
          </cell>
          <cell r="C696" t="str">
            <v>Pulses</v>
          </cell>
          <cell r="E696">
            <v>195.16</v>
          </cell>
        </row>
        <row r="697">
          <cell r="B697" t="str">
            <v>Apple</v>
          </cell>
          <cell r="C697" t="str">
            <v>Fruit</v>
          </cell>
          <cell r="E697">
            <v>217.66</v>
          </cell>
        </row>
        <row r="698">
          <cell r="B698" t="str">
            <v>Chicken (Whole)</v>
          </cell>
          <cell r="C698" t="str">
            <v>Meat</v>
          </cell>
          <cell r="E698">
            <v>585.86</v>
          </cell>
        </row>
        <row r="699">
          <cell r="B699" t="str">
            <v>Fish (Pomfret)</v>
          </cell>
          <cell r="C699" t="str">
            <v>Meat</v>
          </cell>
          <cell r="E699">
            <v>1178.68</v>
          </cell>
        </row>
        <row r="700">
          <cell r="B700" t="str">
            <v>Apple</v>
          </cell>
          <cell r="C700" t="str">
            <v>Fruit</v>
          </cell>
          <cell r="E700">
            <v>229.74</v>
          </cell>
        </row>
        <row r="701">
          <cell r="B701" t="str">
            <v>Carrot</v>
          </cell>
          <cell r="C701" t="str">
            <v>Vegetable</v>
          </cell>
          <cell r="E701">
            <v>134.29</v>
          </cell>
        </row>
        <row r="702">
          <cell r="B702" t="str">
            <v>Cheese (Local)</v>
          </cell>
          <cell r="C702" t="str">
            <v>Dairy</v>
          </cell>
          <cell r="E702">
            <v>999.98</v>
          </cell>
        </row>
        <row r="703">
          <cell r="B703" t="str">
            <v>Beef (Local)</v>
          </cell>
          <cell r="C703" t="str">
            <v>Meat</v>
          </cell>
          <cell r="E703">
            <v>868.04</v>
          </cell>
        </row>
        <row r="704">
          <cell r="B704" t="str">
            <v>Tea (Loose)</v>
          </cell>
          <cell r="C704" t="str">
            <v>Beverage</v>
          </cell>
          <cell r="E704">
            <v>834.83</v>
          </cell>
        </row>
        <row r="705">
          <cell r="B705" t="str">
            <v>Spinach</v>
          </cell>
          <cell r="C705" t="str">
            <v>Vegetable</v>
          </cell>
          <cell r="E705">
            <v>53.38</v>
          </cell>
        </row>
        <row r="706">
          <cell r="B706" t="str">
            <v>Tea (Loose)</v>
          </cell>
          <cell r="C706" t="str">
            <v>Beverage</v>
          </cell>
          <cell r="E706">
            <v>829.06</v>
          </cell>
        </row>
        <row r="707">
          <cell r="B707" t="str">
            <v>Spinach</v>
          </cell>
          <cell r="C707" t="str">
            <v>Vegetable</v>
          </cell>
          <cell r="E707">
            <v>58.93</v>
          </cell>
        </row>
        <row r="708">
          <cell r="B708" t="str">
            <v>Rice (Irri)</v>
          </cell>
          <cell r="C708" t="str">
            <v>Grain</v>
          </cell>
          <cell r="E708">
            <v>154.41999999999999</v>
          </cell>
        </row>
        <row r="709">
          <cell r="B709" t="str">
            <v>Potato</v>
          </cell>
          <cell r="C709" t="str">
            <v>Vegetable</v>
          </cell>
          <cell r="E709">
            <v>73.81</v>
          </cell>
        </row>
        <row r="710">
          <cell r="B710" t="str">
            <v>Onion</v>
          </cell>
          <cell r="C710" t="str">
            <v>Vegetable</v>
          </cell>
          <cell r="E710">
            <v>82.45</v>
          </cell>
        </row>
        <row r="711">
          <cell r="B711" t="str">
            <v>Tea (Loose)</v>
          </cell>
          <cell r="C711" t="str">
            <v>Beverage</v>
          </cell>
          <cell r="E711">
            <v>951.1</v>
          </cell>
        </row>
        <row r="712">
          <cell r="B712" t="str">
            <v>Beef (Local)</v>
          </cell>
          <cell r="C712" t="str">
            <v>Meat</v>
          </cell>
          <cell r="E712">
            <v>832.63</v>
          </cell>
        </row>
        <row r="713">
          <cell r="B713" t="str">
            <v>Spices (Mixed)</v>
          </cell>
          <cell r="C713" t="str">
            <v>Condiment</v>
          </cell>
          <cell r="E713">
            <v>921.15</v>
          </cell>
        </row>
        <row r="714">
          <cell r="B714" t="str">
            <v>Mutton</v>
          </cell>
          <cell r="C714" t="str">
            <v>Meat</v>
          </cell>
          <cell r="E714">
            <v>1359.63</v>
          </cell>
        </row>
        <row r="715">
          <cell r="B715" t="str">
            <v>Salt</v>
          </cell>
          <cell r="C715" t="str">
            <v>Condiment</v>
          </cell>
          <cell r="E715">
            <v>40.57</v>
          </cell>
        </row>
        <row r="716">
          <cell r="B716" t="str">
            <v>Cooking Oil (Sunflower)</v>
          </cell>
          <cell r="C716" t="str">
            <v>Oil</v>
          </cell>
          <cell r="E716">
            <v>363.92</v>
          </cell>
        </row>
        <row r="717">
          <cell r="B717" t="str">
            <v>Cooking Oil (Sunflower)</v>
          </cell>
          <cell r="C717" t="str">
            <v>Oil</v>
          </cell>
          <cell r="E717">
            <v>355.41</v>
          </cell>
        </row>
        <row r="718">
          <cell r="B718" t="str">
            <v>Spinach</v>
          </cell>
          <cell r="C718" t="str">
            <v>Vegetable</v>
          </cell>
          <cell r="E718">
            <v>64.61</v>
          </cell>
        </row>
        <row r="719">
          <cell r="B719" t="str">
            <v>Yogurt</v>
          </cell>
          <cell r="C719" t="str">
            <v>Dairy</v>
          </cell>
          <cell r="E719">
            <v>221.14</v>
          </cell>
        </row>
        <row r="720">
          <cell r="B720" t="str">
            <v>Yogurt</v>
          </cell>
          <cell r="C720" t="str">
            <v>Dairy</v>
          </cell>
          <cell r="E720">
            <v>225.36</v>
          </cell>
        </row>
        <row r="721">
          <cell r="B721" t="str">
            <v>Oranges</v>
          </cell>
          <cell r="C721" t="str">
            <v>Fruit</v>
          </cell>
          <cell r="E721">
            <v>162.62</v>
          </cell>
        </row>
        <row r="722">
          <cell r="B722" t="str">
            <v>Oranges</v>
          </cell>
          <cell r="C722" t="str">
            <v>Fruit</v>
          </cell>
          <cell r="E722">
            <v>174.32</v>
          </cell>
        </row>
        <row r="723">
          <cell r="B723" t="str">
            <v>Tea (Loose)</v>
          </cell>
          <cell r="C723" t="str">
            <v>Beverage</v>
          </cell>
          <cell r="E723">
            <v>798.49</v>
          </cell>
        </row>
        <row r="724">
          <cell r="B724" t="str">
            <v>Banana</v>
          </cell>
          <cell r="C724" t="str">
            <v>Fruit</v>
          </cell>
          <cell r="E724">
            <v>131.93</v>
          </cell>
        </row>
        <row r="725">
          <cell r="B725" t="str">
            <v>Rice (Basmati)</v>
          </cell>
          <cell r="C725" t="str">
            <v>Grain</v>
          </cell>
          <cell r="E725">
            <v>325.55</v>
          </cell>
        </row>
        <row r="726">
          <cell r="B726" t="str">
            <v>Beef (Local)</v>
          </cell>
          <cell r="C726" t="str">
            <v>Meat</v>
          </cell>
          <cell r="E726">
            <v>868.32</v>
          </cell>
        </row>
        <row r="727">
          <cell r="B727" t="str">
            <v>Banana</v>
          </cell>
          <cell r="C727" t="str">
            <v>Fruit</v>
          </cell>
          <cell r="E727">
            <v>123.79</v>
          </cell>
        </row>
        <row r="728">
          <cell r="B728" t="str">
            <v>Spinach</v>
          </cell>
          <cell r="C728" t="str">
            <v>Vegetable</v>
          </cell>
          <cell r="E728">
            <v>55.43</v>
          </cell>
        </row>
        <row r="729">
          <cell r="B729" t="str">
            <v>Banana</v>
          </cell>
          <cell r="C729" t="str">
            <v>Fruit</v>
          </cell>
          <cell r="E729">
            <v>130.13</v>
          </cell>
        </row>
        <row r="730">
          <cell r="B730" t="str">
            <v>Tomato</v>
          </cell>
          <cell r="C730" t="str">
            <v>Vegetable</v>
          </cell>
          <cell r="E730">
            <v>120.96</v>
          </cell>
        </row>
        <row r="731">
          <cell r="B731" t="str">
            <v>Sugar</v>
          </cell>
          <cell r="C731" t="str">
            <v>Grain</v>
          </cell>
          <cell r="E731">
            <v>127.92</v>
          </cell>
        </row>
        <row r="732">
          <cell r="B732" t="str">
            <v>Carrot</v>
          </cell>
          <cell r="C732" t="str">
            <v>Vegetable</v>
          </cell>
          <cell r="E732">
            <v>161.54</v>
          </cell>
        </row>
        <row r="733">
          <cell r="B733" t="str">
            <v>Milk</v>
          </cell>
          <cell r="C733" t="str">
            <v>Dairy</v>
          </cell>
          <cell r="E733">
            <v>216.12</v>
          </cell>
        </row>
        <row r="734">
          <cell r="B734" t="str">
            <v>Carrot</v>
          </cell>
          <cell r="C734" t="str">
            <v>Vegetable</v>
          </cell>
          <cell r="E734">
            <v>148.09</v>
          </cell>
        </row>
        <row r="735">
          <cell r="B735" t="str">
            <v>Grapes</v>
          </cell>
          <cell r="C735" t="str">
            <v>Fruit</v>
          </cell>
          <cell r="E735">
            <v>257.62</v>
          </cell>
        </row>
        <row r="736">
          <cell r="B736" t="str">
            <v>Lentils (Moong)</v>
          </cell>
          <cell r="C736" t="str">
            <v>Pulses</v>
          </cell>
          <cell r="E736">
            <v>345.47</v>
          </cell>
        </row>
        <row r="737">
          <cell r="B737" t="str">
            <v>Beef (Local)</v>
          </cell>
          <cell r="C737" t="str">
            <v>Meat</v>
          </cell>
          <cell r="E737">
            <v>853.04</v>
          </cell>
        </row>
        <row r="738">
          <cell r="B738" t="str">
            <v>Potato</v>
          </cell>
          <cell r="C738" t="str">
            <v>Vegetable</v>
          </cell>
          <cell r="E738">
            <v>67.89</v>
          </cell>
        </row>
        <row r="739">
          <cell r="B739" t="str">
            <v>Flour (Atta)</v>
          </cell>
          <cell r="C739" t="str">
            <v>Grain</v>
          </cell>
          <cell r="E739">
            <v>119.86</v>
          </cell>
        </row>
        <row r="740">
          <cell r="B740" t="str">
            <v>Onion</v>
          </cell>
          <cell r="C740" t="str">
            <v>Vegetable</v>
          </cell>
          <cell r="E740">
            <v>93.44</v>
          </cell>
        </row>
        <row r="741">
          <cell r="B741" t="str">
            <v>Salt</v>
          </cell>
          <cell r="C741" t="str">
            <v>Condiment</v>
          </cell>
          <cell r="E741">
            <v>37.25</v>
          </cell>
        </row>
        <row r="742">
          <cell r="B742" t="str">
            <v>Potato</v>
          </cell>
          <cell r="C742" t="str">
            <v>Vegetable</v>
          </cell>
          <cell r="E742">
            <v>74.400000000000006</v>
          </cell>
        </row>
        <row r="743">
          <cell r="B743" t="str">
            <v>Apple</v>
          </cell>
          <cell r="C743" t="str">
            <v>Fruit</v>
          </cell>
          <cell r="E743">
            <v>221</v>
          </cell>
        </row>
        <row r="744">
          <cell r="B744" t="str">
            <v>Salt</v>
          </cell>
          <cell r="C744" t="str">
            <v>Condiment</v>
          </cell>
          <cell r="E744">
            <v>36.89</v>
          </cell>
        </row>
        <row r="745">
          <cell r="B745" t="str">
            <v>Tomato</v>
          </cell>
          <cell r="C745" t="str">
            <v>Vegetable</v>
          </cell>
          <cell r="E745">
            <v>114.13</v>
          </cell>
        </row>
        <row r="746">
          <cell r="B746" t="str">
            <v>Cheese (Local)</v>
          </cell>
          <cell r="C746" t="str">
            <v>Dairy</v>
          </cell>
          <cell r="E746">
            <v>883.43</v>
          </cell>
        </row>
        <row r="747">
          <cell r="B747" t="str">
            <v>Mango</v>
          </cell>
          <cell r="C747" t="str">
            <v>Fruit</v>
          </cell>
          <cell r="E747">
            <v>277.88</v>
          </cell>
        </row>
        <row r="748">
          <cell r="B748" t="str">
            <v>Cooking Oil (Sunflower)</v>
          </cell>
          <cell r="C748" t="str">
            <v>Oil</v>
          </cell>
          <cell r="E748">
            <v>367.03</v>
          </cell>
        </row>
        <row r="749">
          <cell r="B749" t="str">
            <v>Lentils (Moong)</v>
          </cell>
          <cell r="C749" t="str">
            <v>Pulses</v>
          </cell>
          <cell r="E749">
            <v>293.89999999999998</v>
          </cell>
        </row>
        <row r="750">
          <cell r="B750" t="str">
            <v>Yogurt</v>
          </cell>
          <cell r="C750" t="str">
            <v>Dairy</v>
          </cell>
          <cell r="E750">
            <v>222.11</v>
          </cell>
        </row>
        <row r="751">
          <cell r="B751" t="str">
            <v>Mango</v>
          </cell>
          <cell r="C751" t="str">
            <v>Fruit</v>
          </cell>
          <cell r="E751">
            <v>236.08</v>
          </cell>
        </row>
        <row r="752">
          <cell r="B752" t="str">
            <v>Guava</v>
          </cell>
          <cell r="C752" t="str">
            <v>Fruit</v>
          </cell>
          <cell r="E752">
            <v>129.88999999999999</v>
          </cell>
        </row>
        <row r="753">
          <cell r="B753" t="str">
            <v>Lentils (Masoor)</v>
          </cell>
          <cell r="C753" t="str">
            <v>Pulses</v>
          </cell>
          <cell r="E753">
            <v>255.05</v>
          </cell>
        </row>
        <row r="754">
          <cell r="B754" t="str">
            <v>Tomato</v>
          </cell>
          <cell r="C754" t="str">
            <v>Vegetable</v>
          </cell>
          <cell r="E754">
            <v>129.84</v>
          </cell>
        </row>
        <row r="755">
          <cell r="B755" t="str">
            <v>Guava</v>
          </cell>
          <cell r="C755" t="str">
            <v>Fruit</v>
          </cell>
          <cell r="E755">
            <v>144.54</v>
          </cell>
        </row>
        <row r="756">
          <cell r="B756" t="str">
            <v>Sugar</v>
          </cell>
          <cell r="C756" t="str">
            <v>Grain</v>
          </cell>
          <cell r="E756">
            <v>113.03</v>
          </cell>
        </row>
        <row r="757">
          <cell r="B757" t="str">
            <v>Chicken (Whole)</v>
          </cell>
          <cell r="C757" t="str">
            <v>Meat</v>
          </cell>
          <cell r="E757">
            <v>515.49</v>
          </cell>
        </row>
        <row r="758">
          <cell r="B758" t="str">
            <v>Cooking Oil (Sunflower)</v>
          </cell>
          <cell r="C758" t="str">
            <v>Oil</v>
          </cell>
          <cell r="E758">
            <v>349.01</v>
          </cell>
        </row>
        <row r="759">
          <cell r="B759" t="str">
            <v>Milk</v>
          </cell>
          <cell r="C759" t="str">
            <v>Dairy</v>
          </cell>
          <cell r="E759">
            <v>226.12</v>
          </cell>
        </row>
        <row r="760">
          <cell r="B760" t="str">
            <v>Lentils (Masoor)</v>
          </cell>
          <cell r="C760" t="str">
            <v>Pulses</v>
          </cell>
          <cell r="E760">
            <v>270.45</v>
          </cell>
        </row>
        <row r="761">
          <cell r="B761" t="str">
            <v>Apple</v>
          </cell>
          <cell r="C761" t="str">
            <v>Fruit</v>
          </cell>
          <cell r="E761">
            <v>197.31</v>
          </cell>
        </row>
        <row r="762">
          <cell r="B762" t="str">
            <v>Tea (Loose)</v>
          </cell>
          <cell r="C762" t="str">
            <v>Beverage</v>
          </cell>
          <cell r="E762">
            <v>907.25</v>
          </cell>
        </row>
        <row r="763">
          <cell r="B763" t="str">
            <v>Yogurt</v>
          </cell>
          <cell r="C763" t="str">
            <v>Dairy</v>
          </cell>
          <cell r="E763">
            <v>215.45</v>
          </cell>
        </row>
        <row r="764">
          <cell r="B764" t="str">
            <v>Spices (Mixed)</v>
          </cell>
          <cell r="C764" t="str">
            <v>Condiment</v>
          </cell>
          <cell r="E764">
            <v>793.31</v>
          </cell>
        </row>
        <row r="765">
          <cell r="B765" t="str">
            <v>Salt</v>
          </cell>
          <cell r="C765" t="str">
            <v>Condiment</v>
          </cell>
          <cell r="E765">
            <v>42.26</v>
          </cell>
        </row>
        <row r="766">
          <cell r="B766" t="str">
            <v>Mutton</v>
          </cell>
          <cell r="C766" t="str">
            <v>Meat</v>
          </cell>
          <cell r="E766">
            <v>1304.8599999999999</v>
          </cell>
        </row>
        <row r="767">
          <cell r="B767" t="str">
            <v>Chickpeas</v>
          </cell>
          <cell r="C767" t="str">
            <v>Pulses</v>
          </cell>
          <cell r="E767">
            <v>223.89</v>
          </cell>
        </row>
        <row r="768">
          <cell r="B768" t="str">
            <v>Salt</v>
          </cell>
          <cell r="C768" t="str">
            <v>Condiment</v>
          </cell>
          <cell r="E768">
            <v>37.06</v>
          </cell>
        </row>
        <row r="769">
          <cell r="B769" t="str">
            <v>Beef (Local)</v>
          </cell>
          <cell r="C769" t="str">
            <v>Meat</v>
          </cell>
          <cell r="E769">
            <v>1006.84</v>
          </cell>
        </row>
        <row r="770">
          <cell r="B770" t="str">
            <v>Yogurt</v>
          </cell>
          <cell r="C770" t="str">
            <v>Dairy</v>
          </cell>
          <cell r="E770">
            <v>236.84</v>
          </cell>
        </row>
        <row r="771">
          <cell r="B771" t="str">
            <v>Flour (Atta)</v>
          </cell>
          <cell r="C771" t="str">
            <v>Grain</v>
          </cell>
          <cell r="E771">
            <v>105.97</v>
          </cell>
        </row>
        <row r="772">
          <cell r="B772" t="str">
            <v>Oranges</v>
          </cell>
          <cell r="C772" t="str">
            <v>Fruit</v>
          </cell>
          <cell r="E772">
            <v>151.78</v>
          </cell>
        </row>
        <row r="773">
          <cell r="B773" t="str">
            <v>Wheat</v>
          </cell>
          <cell r="C773" t="str">
            <v>Grain</v>
          </cell>
          <cell r="E773">
            <v>122.12</v>
          </cell>
        </row>
        <row r="774">
          <cell r="B774" t="str">
            <v>Maize</v>
          </cell>
          <cell r="C774" t="str">
            <v>Grain</v>
          </cell>
          <cell r="E774">
            <v>105.27</v>
          </cell>
        </row>
        <row r="775">
          <cell r="B775" t="str">
            <v>Lentils (Masoor)</v>
          </cell>
          <cell r="C775" t="str">
            <v>Pulses</v>
          </cell>
          <cell r="E775">
            <v>274.98</v>
          </cell>
        </row>
        <row r="776">
          <cell r="B776" t="str">
            <v>Chickpeas</v>
          </cell>
          <cell r="C776" t="str">
            <v>Pulses</v>
          </cell>
          <cell r="E776">
            <v>202.35</v>
          </cell>
        </row>
        <row r="777">
          <cell r="B777" t="str">
            <v>Ghee</v>
          </cell>
          <cell r="C777" t="str">
            <v>Oil</v>
          </cell>
          <cell r="E777">
            <v>934.15</v>
          </cell>
        </row>
        <row r="778">
          <cell r="B778" t="str">
            <v>Tea (Loose)</v>
          </cell>
          <cell r="C778" t="str">
            <v>Beverage</v>
          </cell>
          <cell r="E778">
            <v>865.01</v>
          </cell>
        </row>
        <row r="779">
          <cell r="B779" t="str">
            <v>Banana</v>
          </cell>
          <cell r="C779" t="str">
            <v>Fruit</v>
          </cell>
          <cell r="E779">
            <v>126.51</v>
          </cell>
        </row>
        <row r="780">
          <cell r="B780" t="str">
            <v>Spices (Mixed)</v>
          </cell>
          <cell r="C780" t="str">
            <v>Condiment</v>
          </cell>
          <cell r="E780">
            <v>856.6</v>
          </cell>
        </row>
        <row r="781">
          <cell r="B781" t="str">
            <v>Carrot</v>
          </cell>
          <cell r="C781" t="str">
            <v>Vegetable</v>
          </cell>
          <cell r="E781">
            <v>143.66</v>
          </cell>
        </row>
        <row r="782">
          <cell r="B782" t="str">
            <v>Grapes</v>
          </cell>
          <cell r="C782" t="str">
            <v>Fruit</v>
          </cell>
          <cell r="E782">
            <v>234.31</v>
          </cell>
        </row>
        <row r="783">
          <cell r="B783" t="str">
            <v>Cheese (Local)</v>
          </cell>
          <cell r="C783" t="str">
            <v>Dairy</v>
          </cell>
          <cell r="E783">
            <v>974.62</v>
          </cell>
        </row>
        <row r="784">
          <cell r="B784" t="str">
            <v>Sugar</v>
          </cell>
          <cell r="C784" t="str">
            <v>Grain</v>
          </cell>
          <cell r="E784">
            <v>102.87</v>
          </cell>
        </row>
        <row r="785">
          <cell r="B785" t="str">
            <v>Fish (Pomfret)</v>
          </cell>
          <cell r="C785" t="str">
            <v>Meat</v>
          </cell>
          <cell r="E785">
            <v>1017.77</v>
          </cell>
        </row>
        <row r="786">
          <cell r="B786" t="str">
            <v>Maize</v>
          </cell>
          <cell r="C786" t="str">
            <v>Grain</v>
          </cell>
          <cell r="E786">
            <v>112.13</v>
          </cell>
        </row>
        <row r="787">
          <cell r="B787" t="str">
            <v>Tomato</v>
          </cell>
          <cell r="C787" t="str">
            <v>Vegetable</v>
          </cell>
          <cell r="E787">
            <v>131.96</v>
          </cell>
        </row>
        <row r="788">
          <cell r="B788" t="str">
            <v>Mango</v>
          </cell>
          <cell r="C788" t="str">
            <v>Fruit</v>
          </cell>
          <cell r="E788">
            <v>251.71</v>
          </cell>
        </row>
        <row r="789">
          <cell r="B789" t="str">
            <v>Eggplant</v>
          </cell>
          <cell r="C789" t="str">
            <v>Vegetable</v>
          </cell>
          <cell r="E789">
            <v>91.14</v>
          </cell>
        </row>
        <row r="790">
          <cell r="B790" t="str">
            <v>Fish (Rohu)</v>
          </cell>
          <cell r="C790" t="str">
            <v>Meat</v>
          </cell>
          <cell r="E790">
            <v>684.9</v>
          </cell>
        </row>
        <row r="791">
          <cell r="B791" t="str">
            <v>Sugar</v>
          </cell>
          <cell r="C791" t="str">
            <v>Grain</v>
          </cell>
          <cell r="E791">
            <v>121.44</v>
          </cell>
        </row>
        <row r="792">
          <cell r="B792" t="str">
            <v>Milk</v>
          </cell>
          <cell r="C792" t="str">
            <v>Dairy</v>
          </cell>
          <cell r="E792">
            <v>221.05</v>
          </cell>
        </row>
        <row r="793">
          <cell r="B793" t="str">
            <v>Spices (Mixed)</v>
          </cell>
          <cell r="C793" t="str">
            <v>Condiment</v>
          </cell>
          <cell r="E793">
            <v>843.19</v>
          </cell>
        </row>
        <row r="794">
          <cell r="B794" t="str">
            <v>Eggplant</v>
          </cell>
          <cell r="C794" t="str">
            <v>Vegetable</v>
          </cell>
          <cell r="E794">
            <v>83.99</v>
          </cell>
        </row>
        <row r="795">
          <cell r="B795" t="str">
            <v>Tea (Loose)</v>
          </cell>
          <cell r="C795" t="str">
            <v>Beverage</v>
          </cell>
          <cell r="E795">
            <v>827.79</v>
          </cell>
        </row>
        <row r="796">
          <cell r="B796" t="str">
            <v>Tea (Loose)</v>
          </cell>
          <cell r="C796" t="str">
            <v>Beverage</v>
          </cell>
          <cell r="E796">
            <v>850.96</v>
          </cell>
        </row>
        <row r="797">
          <cell r="B797" t="str">
            <v>Flour (Atta)</v>
          </cell>
          <cell r="C797" t="str">
            <v>Grain</v>
          </cell>
          <cell r="E797">
            <v>104.91</v>
          </cell>
        </row>
        <row r="798">
          <cell r="B798" t="str">
            <v>Carrot</v>
          </cell>
          <cell r="C798" t="str">
            <v>Vegetable</v>
          </cell>
          <cell r="E798">
            <v>137.15</v>
          </cell>
        </row>
        <row r="799">
          <cell r="B799" t="str">
            <v>Wheat</v>
          </cell>
          <cell r="C799" t="str">
            <v>Grain</v>
          </cell>
          <cell r="E799">
            <v>109.16</v>
          </cell>
        </row>
        <row r="800">
          <cell r="B800" t="str">
            <v>Fish (Rohu)</v>
          </cell>
          <cell r="C800" t="str">
            <v>Meat</v>
          </cell>
          <cell r="E800">
            <v>695.33</v>
          </cell>
        </row>
        <row r="801">
          <cell r="B801" t="str">
            <v>Chickpeas</v>
          </cell>
          <cell r="C801" t="str">
            <v>Pulses</v>
          </cell>
          <cell r="E801">
            <v>180.44</v>
          </cell>
        </row>
        <row r="802">
          <cell r="B802" t="str">
            <v>Mango</v>
          </cell>
          <cell r="C802" t="str">
            <v>Fruit</v>
          </cell>
          <cell r="E802">
            <v>274.79000000000002</v>
          </cell>
        </row>
        <row r="803">
          <cell r="B803" t="str">
            <v>Chickpeas</v>
          </cell>
          <cell r="C803" t="str">
            <v>Pulses</v>
          </cell>
          <cell r="E803">
            <v>218.63</v>
          </cell>
        </row>
        <row r="804">
          <cell r="B804" t="str">
            <v>Maize</v>
          </cell>
          <cell r="C804" t="str">
            <v>Grain</v>
          </cell>
          <cell r="E804">
            <v>118.51</v>
          </cell>
        </row>
        <row r="805">
          <cell r="B805" t="str">
            <v>Ghee</v>
          </cell>
          <cell r="C805" t="str">
            <v>Oil</v>
          </cell>
          <cell r="E805">
            <v>899.59</v>
          </cell>
        </row>
        <row r="806">
          <cell r="B806" t="str">
            <v>Banana</v>
          </cell>
          <cell r="C806" t="str">
            <v>Fruit</v>
          </cell>
          <cell r="E806">
            <v>126.44</v>
          </cell>
        </row>
        <row r="807">
          <cell r="B807" t="str">
            <v>Grapes</v>
          </cell>
          <cell r="C807" t="str">
            <v>Fruit</v>
          </cell>
          <cell r="E807">
            <v>238.99</v>
          </cell>
        </row>
        <row r="808">
          <cell r="B808" t="str">
            <v>Rice (Basmati)</v>
          </cell>
          <cell r="C808" t="str">
            <v>Grain</v>
          </cell>
          <cell r="E808">
            <v>316.85000000000002</v>
          </cell>
        </row>
        <row r="809">
          <cell r="B809" t="str">
            <v>Chicken (Whole)</v>
          </cell>
          <cell r="C809" t="str">
            <v>Meat</v>
          </cell>
          <cell r="E809">
            <v>620.44000000000005</v>
          </cell>
        </row>
        <row r="810">
          <cell r="B810" t="str">
            <v>Chicken (Whole)</v>
          </cell>
          <cell r="C810" t="str">
            <v>Meat</v>
          </cell>
          <cell r="E810">
            <v>494.87</v>
          </cell>
        </row>
        <row r="811">
          <cell r="B811" t="str">
            <v>Ghee</v>
          </cell>
          <cell r="C811" t="str">
            <v>Oil</v>
          </cell>
          <cell r="E811">
            <v>975.55</v>
          </cell>
        </row>
        <row r="812">
          <cell r="B812" t="str">
            <v>Spinach</v>
          </cell>
          <cell r="C812" t="str">
            <v>Vegetable</v>
          </cell>
          <cell r="E812">
            <v>57.41</v>
          </cell>
        </row>
        <row r="813">
          <cell r="B813" t="str">
            <v>Rice (Irri)</v>
          </cell>
          <cell r="C813" t="str">
            <v>Grain</v>
          </cell>
          <cell r="E813">
            <v>134.38999999999999</v>
          </cell>
        </row>
        <row r="814">
          <cell r="B814" t="str">
            <v>Potato</v>
          </cell>
          <cell r="C814" t="str">
            <v>Vegetable</v>
          </cell>
          <cell r="E814">
            <v>77.34</v>
          </cell>
        </row>
        <row r="815">
          <cell r="B815" t="str">
            <v>Potato</v>
          </cell>
          <cell r="C815" t="str">
            <v>Vegetable</v>
          </cell>
          <cell r="E815">
            <v>75.44</v>
          </cell>
        </row>
        <row r="816">
          <cell r="B816" t="str">
            <v>Sugar</v>
          </cell>
          <cell r="C816" t="str">
            <v>Grain</v>
          </cell>
          <cell r="E816">
            <v>125.39</v>
          </cell>
        </row>
        <row r="817">
          <cell r="B817" t="str">
            <v>Grapes</v>
          </cell>
          <cell r="C817" t="str">
            <v>Fruit</v>
          </cell>
          <cell r="E817">
            <v>221.82</v>
          </cell>
        </row>
        <row r="818">
          <cell r="B818" t="str">
            <v>Grapes</v>
          </cell>
          <cell r="C818" t="str">
            <v>Fruit</v>
          </cell>
          <cell r="E818">
            <v>228.73</v>
          </cell>
        </row>
        <row r="819">
          <cell r="B819" t="str">
            <v>Banana</v>
          </cell>
          <cell r="C819" t="str">
            <v>Fruit</v>
          </cell>
          <cell r="E819">
            <v>137.97</v>
          </cell>
        </row>
        <row r="820">
          <cell r="B820" t="str">
            <v>Spices (Mixed)</v>
          </cell>
          <cell r="C820" t="str">
            <v>Condiment</v>
          </cell>
          <cell r="E820">
            <v>850.04</v>
          </cell>
        </row>
        <row r="821">
          <cell r="B821" t="str">
            <v>Yogurt</v>
          </cell>
          <cell r="C821" t="str">
            <v>Dairy</v>
          </cell>
          <cell r="E821">
            <v>225.74</v>
          </cell>
        </row>
        <row r="822">
          <cell r="B822" t="str">
            <v>Beef (Local)</v>
          </cell>
          <cell r="C822" t="str">
            <v>Meat</v>
          </cell>
          <cell r="E822">
            <v>943.09</v>
          </cell>
        </row>
        <row r="823">
          <cell r="B823" t="str">
            <v>Salt</v>
          </cell>
          <cell r="C823" t="str">
            <v>Condiment</v>
          </cell>
          <cell r="E823">
            <v>39.020000000000003</v>
          </cell>
        </row>
        <row r="824">
          <cell r="B824" t="str">
            <v>Spices (Mixed)</v>
          </cell>
          <cell r="C824" t="str">
            <v>Condiment</v>
          </cell>
          <cell r="E824">
            <v>857.35</v>
          </cell>
        </row>
        <row r="825">
          <cell r="B825" t="str">
            <v>Chickpeas</v>
          </cell>
          <cell r="C825" t="str">
            <v>Pulses</v>
          </cell>
          <cell r="E825">
            <v>211.65</v>
          </cell>
        </row>
        <row r="826">
          <cell r="B826" t="str">
            <v>Salt</v>
          </cell>
          <cell r="C826" t="str">
            <v>Condiment</v>
          </cell>
          <cell r="E826">
            <v>38.86</v>
          </cell>
        </row>
        <row r="827">
          <cell r="B827" t="str">
            <v>Salt</v>
          </cell>
          <cell r="C827" t="str">
            <v>Condiment</v>
          </cell>
          <cell r="E827">
            <v>39.01</v>
          </cell>
        </row>
        <row r="828">
          <cell r="B828" t="str">
            <v>Chickpeas</v>
          </cell>
          <cell r="C828" t="str">
            <v>Pulses</v>
          </cell>
          <cell r="E828">
            <v>183.83</v>
          </cell>
        </row>
        <row r="829">
          <cell r="B829" t="str">
            <v>Potato</v>
          </cell>
          <cell r="C829" t="str">
            <v>Vegetable</v>
          </cell>
          <cell r="E829">
            <v>66.290000000000006</v>
          </cell>
        </row>
        <row r="830">
          <cell r="B830" t="str">
            <v>Sugar</v>
          </cell>
          <cell r="C830" t="str">
            <v>Grain</v>
          </cell>
          <cell r="E830">
            <v>117</v>
          </cell>
        </row>
        <row r="831">
          <cell r="B831" t="str">
            <v>Lentils (Masoor)</v>
          </cell>
          <cell r="C831" t="str">
            <v>Pulses</v>
          </cell>
          <cell r="E831">
            <v>233.49</v>
          </cell>
        </row>
        <row r="832">
          <cell r="B832" t="str">
            <v>Sugar</v>
          </cell>
          <cell r="C832" t="str">
            <v>Grain</v>
          </cell>
          <cell r="E832">
            <v>114.95</v>
          </cell>
        </row>
        <row r="833">
          <cell r="B833" t="str">
            <v>Milk</v>
          </cell>
          <cell r="C833" t="str">
            <v>Dairy</v>
          </cell>
          <cell r="E833">
            <v>189.75</v>
          </cell>
        </row>
        <row r="834">
          <cell r="B834" t="str">
            <v>Tea (Loose)</v>
          </cell>
          <cell r="C834" t="str">
            <v>Beverage</v>
          </cell>
          <cell r="E834">
            <v>973.35</v>
          </cell>
        </row>
        <row r="835">
          <cell r="B835" t="str">
            <v>Banana</v>
          </cell>
          <cell r="C835" t="str">
            <v>Fruit</v>
          </cell>
          <cell r="E835">
            <v>110.28</v>
          </cell>
        </row>
        <row r="836">
          <cell r="B836" t="str">
            <v>Tea (Loose)</v>
          </cell>
          <cell r="C836" t="str">
            <v>Beverage</v>
          </cell>
          <cell r="E836">
            <v>865.41</v>
          </cell>
        </row>
        <row r="837">
          <cell r="B837" t="str">
            <v>Onion</v>
          </cell>
          <cell r="C837" t="str">
            <v>Vegetable</v>
          </cell>
          <cell r="E837">
            <v>96.22</v>
          </cell>
        </row>
        <row r="838">
          <cell r="B838" t="str">
            <v>Chicken Breast</v>
          </cell>
          <cell r="C838" t="str">
            <v>Meat</v>
          </cell>
          <cell r="E838">
            <v>627.49</v>
          </cell>
        </row>
        <row r="839">
          <cell r="B839" t="str">
            <v>Oranges</v>
          </cell>
          <cell r="C839" t="str">
            <v>Fruit</v>
          </cell>
          <cell r="E839">
            <v>142.05000000000001</v>
          </cell>
        </row>
        <row r="840">
          <cell r="B840" t="str">
            <v>Cheese (Local)</v>
          </cell>
          <cell r="C840" t="str">
            <v>Dairy</v>
          </cell>
          <cell r="E840">
            <v>795.19</v>
          </cell>
        </row>
        <row r="841">
          <cell r="B841" t="str">
            <v>Banana</v>
          </cell>
          <cell r="C841" t="str">
            <v>Fruit</v>
          </cell>
          <cell r="E841">
            <v>138.27000000000001</v>
          </cell>
        </row>
        <row r="842">
          <cell r="B842" t="str">
            <v>Wheat</v>
          </cell>
          <cell r="C842" t="str">
            <v>Grain</v>
          </cell>
          <cell r="E842">
            <v>125.28</v>
          </cell>
        </row>
        <row r="843">
          <cell r="B843" t="str">
            <v>Spinach</v>
          </cell>
          <cell r="C843" t="str">
            <v>Vegetable</v>
          </cell>
          <cell r="E843">
            <v>64.069999999999993</v>
          </cell>
        </row>
        <row r="844">
          <cell r="B844" t="str">
            <v>Mutton</v>
          </cell>
          <cell r="C844" t="str">
            <v>Meat</v>
          </cell>
          <cell r="E844">
            <v>1271.27</v>
          </cell>
        </row>
        <row r="845">
          <cell r="B845" t="str">
            <v>Salt</v>
          </cell>
          <cell r="C845" t="str">
            <v>Condiment</v>
          </cell>
          <cell r="E845">
            <v>44.41</v>
          </cell>
        </row>
        <row r="846">
          <cell r="B846" t="str">
            <v>Fish (Rohu)</v>
          </cell>
          <cell r="C846" t="str">
            <v>Meat</v>
          </cell>
          <cell r="E846">
            <v>751.87</v>
          </cell>
        </row>
        <row r="847">
          <cell r="B847" t="str">
            <v>Rice (Irri)</v>
          </cell>
          <cell r="C847" t="str">
            <v>Grain</v>
          </cell>
          <cell r="E847">
            <v>128.87</v>
          </cell>
        </row>
        <row r="848">
          <cell r="B848" t="str">
            <v>Mango</v>
          </cell>
          <cell r="C848" t="str">
            <v>Fruit</v>
          </cell>
          <cell r="E848">
            <v>244.94</v>
          </cell>
        </row>
        <row r="849">
          <cell r="B849" t="str">
            <v>Lentils (Moong)</v>
          </cell>
          <cell r="C849" t="str">
            <v>Pulses</v>
          </cell>
          <cell r="E849">
            <v>314.41000000000003</v>
          </cell>
        </row>
        <row r="850">
          <cell r="B850" t="str">
            <v>Cooking Oil (Sunflower)</v>
          </cell>
          <cell r="C850" t="str">
            <v>Oil</v>
          </cell>
          <cell r="E850">
            <v>370.07</v>
          </cell>
        </row>
        <row r="851">
          <cell r="B851" t="str">
            <v>Yogurt</v>
          </cell>
          <cell r="C851" t="str">
            <v>Dairy</v>
          </cell>
          <cell r="E851">
            <v>206</v>
          </cell>
        </row>
        <row r="852">
          <cell r="B852" t="str">
            <v>Chicken (Whole)</v>
          </cell>
          <cell r="C852" t="str">
            <v>Meat</v>
          </cell>
          <cell r="E852">
            <v>571.30999999999995</v>
          </cell>
        </row>
        <row r="853">
          <cell r="B853" t="str">
            <v>Rice (Irri)</v>
          </cell>
          <cell r="C853" t="str">
            <v>Grain</v>
          </cell>
          <cell r="E853">
            <v>126.45</v>
          </cell>
        </row>
        <row r="854">
          <cell r="B854" t="str">
            <v>Guava</v>
          </cell>
          <cell r="C854" t="str">
            <v>Fruit</v>
          </cell>
          <cell r="E854">
            <v>122.57</v>
          </cell>
        </row>
        <row r="855">
          <cell r="B855" t="str">
            <v>Spinach</v>
          </cell>
          <cell r="C855" t="str">
            <v>Vegetable</v>
          </cell>
          <cell r="E855">
            <v>53</v>
          </cell>
        </row>
        <row r="856">
          <cell r="B856" t="str">
            <v>Grapes</v>
          </cell>
          <cell r="C856" t="str">
            <v>Fruit</v>
          </cell>
          <cell r="E856">
            <v>182.38</v>
          </cell>
        </row>
        <row r="857">
          <cell r="B857" t="str">
            <v>Grapes</v>
          </cell>
          <cell r="C857" t="str">
            <v>Fruit</v>
          </cell>
          <cell r="E857">
            <v>211.44</v>
          </cell>
        </row>
        <row r="858">
          <cell r="B858" t="str">
            <v>Flour (Atta)</v>
          </cell>
          <cell r="C858" t="str">
            <v>Grain</v>
          </cell>
          <cell r="E858">
            <v>105.52</v>
          </cell>
        </row>
        <row r="859">
          <cell r="B859" t="str">
            <v>Cooking Oil (Sunflower)</v>
          </cell>
          <cell r="C859" t="str">
            <v>Oil</v>
          </cell>
          <cell r="E859">
            <v>402.76</v>
          </cell>
        </row>
        <row r="860">
          <cell r="B860" t="str">
            <v>Chicken Breast</v>
          </cell>
          <cell r="C860" t="str">
            <v>Meat</v>
          </cell>
          <cell r="E860">
            <v>686.38</v>
          </cell>
        </row>
        <row r="861">
          <cell r="B861" t="str">
            <v>Onion</v>
          </cell>
          <cell r="C861" t="str">
            <v>Vegetable</v>
          </cell>
          <cell r="E861">
            <v>90.63</v>
          </cell>
        </row>
        <row r="862">
          <cell r="B862" t="str">
            <v>Rice (Irri)</v>
          </cell>
          <cell r="C862" t="str">
            <v>Grain</v>
          </cell>
          <cell r="E862">
            <v>148.97</v>
          </cell>
        </row>
        <row r="863">
          <cell r="B863" t="str">
            <v>Sugar</v>
          </cell>
          <cell r="C863" t="str">
            <v>Grain</v>
          </cell>
          <cell r="E863">
            <v>120.36</v>
          </cell>
        </row>
        <row r="864">
          <cell r="B864" t="str">
            <v>Oranges</v>
          </cell>
          <cell r="C864" t="str">
            <v>Fruit</v>
          </cell>
          <cell r="E864">
            <v>139.19</v>
          </cell>
        </row>
        <row r="865">
          <cell r="B865" t="str">
            <v>Wheat</v>
          </cell>
          <cell r="C865" t="str">
            <v>Grain</v>
          </cell>
          <cell r="E865">
            <v>128.96</v>
          </cell>
        </row>
        <row r="866">
          <cell r="B866" t="str">
            <v>Lentils (Moong)</v>
          </cell>
          <cell r="C866" t="str">
            <v>Pulses</v>
          </cell>
          <cell r="E866">
            <v>334.68</v>
          </cell>
        </row>
        <row r="867">
          <cell r="B867" t="str">
            <v>Mango</v>
          </cell>
          <cell r="C867" t="str">
            <v>Fruit</v>
          </cell>
          <cell r="E867">
            <v>275.05</v>
          </cell>
        </row>
        <row r="868">
          <cell r="B868" t="str">
            <v>Tomato</v>
          </cell>
          <cell r="C868" t="str">
            <v>Vegetable</v>
          </cell>
          <cell r="E868">
            <v>123.33</v>
          </cell>
        </row>
        <row r="869">
          <cell r="B869" t="str">
            <v>Beef (Local)</v>
          </cell>
          <cell r="C869" t="str">
            <v>Meat</v>
          </cell>
          <cell r="E869">
            <v>842.44</v>
          </cell>
        </row>
        <row r="870">
          <cell r="B870" t="str">
            <v>Cooking Oil (Sunflower)</v>
          </cell>
          <cell r="C870" t="str">
            <v>Oil</v>
          </cell>
          <cell r="E870">
            <v>344.42</v>
          </cell>
        </row>
        <row r="871">
          <cell r="B871" t="str">
            <v>Mutton</v>
          </cell>
          <cell r="C871" t="str">
            <v>Meat</v>
          </cell>
          <cell r="E871">
            <v>1304.5999999999999</v>
          </cell>
        </row>
        <row r="872">
          <cell r="B872" t="str">
            <v>Salt</v>
          </cell>
          <cell r="C872" t="str">
            <v>Condiment</v>
          </cell>
          <cell r="E872">
            <v>45.5</v>
          </cell>
        </row>
        <row r="873">
          <cell r="B873" t="str">
            <v>Ghee</v>
          </cell>
          <cell r="C873" t="str">
            <v>Oil</v>
          </cell>
          <cell r="E873">
            <v>1024.05</v>
          </cell>
        </row>
        <row r="874">
          <cell r="B874" t="str">
            <v>Cheese (Local)</v>
          </cell>
          <cell r="C874" t="str">
            <v>Dairy</v>
          </cell>
          <cell r="E874">
            <v>1000.55</v>
          </cell>
        </row>
        <row r="875">
          <cell r="B875" t="str">
            <v>Onion</v>
          </cell>
          <cell r="C875" t="str">
            <v>Vegetable</v>
          </cell>
          <cell r="E875">
            <v>87.84</v>
          </cell>
        </row>
        <row r="876">
          <cell r="B876" t="str">
            <v>Yogurt</v>
          </cell>
          <cell r="C876" t="str">
            <v>Dairy</v>
          </cell>
          <cell r="E876">
            <v>196.1</v>
          </cell>
        </row>
        <row r="877">
          <cell r="B877" t="str">
            <v>Potato</v>
          </cell>
          <cell r="C877" t="str">
            <v>Vegetable</v>
          </cell>
          <cell r="E877">
            <v>64.17</v>
          </cell>
        </row>
        <row r="878">
          <cell r="B878" t="str">
            <v>Beef (Local)</v>
          </cell>
          <cell r="C878" t="str">
            <v>Meat</v>
          </cell>
          <cell r="E878">
            <v>787.89</v>
          </cell>
        </row>
        <row r="879">
          <cell r="B879" t="str">
            <v>Lentils (Masoor)</v>
          </cell>
          <cell r="C879" t="str">
            <v>Pulses</v>
          </cell>
          <cell r="E879">
            <v>238.06</v>
          </cell>
        </row>
        <row r="880">
          <cell r="B880" t="str">
            <v>Milk</v>
          </cell>
          <cell r="C880" t="str">
            <v>Dairy</v>
          </cell>
          <cell r="E880">
            <v>177.34</v>
          </cell>
        </row>
        <row r="881">
          <cell r="B881" t="str">
            <v>Spinach</v>
          </cell>
          <cell r="C881" t="str">
            <v>Vegetable</v>
          </cell>
          <cell r="E881">
            <v>61.73</v>
          </cell>
        </row>
        <row r="882">
          <cell r="B882" t="str">
            <v>Onion</v>
          </cell>
          <cell r="C882" t="str">
            <v>Vegetable</v>
          </cell>
          <cell r="E882">
            <v>84.06</v>
          </cell>
        </row>
        <row r="883">
          <cell r="B883" t="str">
            <v>Apple</v>
          </cell>
          <cell r="C883" t="str">
            <v>Fruit</v>
          </cell>
          <cell r="E883">
            <v>191.75</v>
          </cell>
        </row>
        <row r="884">
          <cell r="B884" t="str">
            <v>Salt</v>
          </cell>
          <cell r="C884" t="str">
            <v>Condiment</v>
          </cell>
          <cell r="E884">
            <v>43.74</v>
          </cell>
        </row>
        <row r="885">
          <cell r="B885" t="str">
            <v>Flour (Atta)</v>
          </cell>
          <cell r="C885" t="str">
            <v>Grain</v>
          </cell>
          <cell r="E885">
            <v>122.53</v>
          </cell>
        </row>
        <row r="886">
          <cell r="B886" t="str">
            <v>Cheese (Local)</v>
          </cell>
          <cell r="C886" t="str">
            <v>Dairy</v>
          </cell>
          <cell r="E886">
            <v>1046.5</v>
          </cell>
        </row>
        <row r="887">
          <cell r="B887" t="str">
            <v>Beef (Local)</v>
          </cell>
          <cell r="C887" t="str">
            <v>Meat</v>
          </cell>
          <cell r="E887">
            <v>899.01</v>
          </cell>
        </row>
        <row r="888">
          <cell r="B888" t="str">
            <v>Cooking Oil (Sunflower)</v>
          </cell>
          <cell r="C888" t="str">
            <v>Oil</v>
          </cell>
          <cell r="E888">
            <v>363.83</v>
          </cell>
        </row>
        <row r="889">
          <cell r="B889" t="str">
            <v>Potato</v>
          </cell>
          <cell r="C889" t="str">
            <v>Vegetable</v>
          </cell>
          <cell r="E889">
            <v>75.209999999999994</v>
          </cell>
        </row>
        <row r="890">
          <cell r="B890" t="str">
            <v>Salt</v>
          </cell>
          <cell r="C890" t="str">
            <v>Condiment</v>
          </cell>
          <cell r="E890">
            <v>42.72</v>
          </cell>
        </row>
        <row r="891">
          <cell r="B891" t="str">
            <v>Tomato</v>
          </cell>
          <cell r="C891" t="str">
            <v>Vegetable</v>
          </cell>
          <cell r="E891">
            <v>126.62</v>
          </cell>
        </row>
        <row r="892">
          <cell r="B892" t="str">
            <v>Rice (Basmati)</v>
          </cell>
          <cell r="C892" t="str">
            <v>Grain</v>
          </cell>
          <cell r="E892">
            <v>287.14999999999998</v>
          </cell>
        </row>
        <row r="893">
          <cell r="B893" t="str">
            <v>Potato</v>
          </cell>
          <cell r="C893" t="str">
            <v>Vegetable</v>
          </cell>
          <cell r="E893">
            <v>68.62</v>
          </cell>
        </row>
        <row r="894">
          <cell r="B894" t="str">
            <v>Tea (Loose)</v>
          </cell>
          <cell r="C894" t="str">
            <v>Beverage</v>
          </cell>
          <cell r="E894">
            <v>985.43</v>
          </cell>
        </row>
        <row r="895">
          <cell r="B895" t="str">
            <v>Chicken (Whole)</v>
          </cell>
          <cell r="C895" t="str">
            <v>Meat</v>
          </cell>
          <cell r="E895">
            <v>513.55999999999995</v>
          </cell>
        </row>
        <row r="896">
          <cell r="B896" t="str">
            <v>Cooking Oil (Sunflower)</v>
          </cell>
          <cell r="C896" t="str">
            <v>Oil</v>
          </cell>
          <cell r="E896">
            <v>401.97</v>
          </cell>
        </row>
        <row r="897">
          <cell r="B897" t="str">
            <v>Spinach</v>
          </cell>
          <cell r="C897" t="str">
            <v>Vegetable</v>
          </cell>
          <cell r="E897">
            <v>62.21</v>
          </cell>
        </row>
        <row r="898">
          <cell r="B898" t="str">
            <v>Cooking Oil (Sunflower)</v>
          </cell>
          <cell r="C898" t="str">
            <v>Oil</v>
          </cell>
          <cell r="E898">
            <v>405.87</v>
          </cell>
        </row>
        <row r="899">
          <cell r="B899" t="str">
            <v>Potato</v>
          </cell>
          <cell r="C899" t="str">
            <v>Vegetable</v>
          </cell>
          <cell r="E899">
            <v>67.59</v>
          </cell>
        </row>
        <row r="900">
          <cell r="B900" t="str">
            <v>Carrot</v>
          </cell>
          <cell r="C900" t="str">
            <v>Vegetable</v>
          </cell>
          <cell r="E900">
            <v>153.09</v>
          </cell>
        </row>
        <row r="901">
          <cell r="B901" t="str">
            <v>Eggplant</v>
          </cell>
          <cell r="C901" t="str">
            <v>Vegetable</v>
          </cell>
          <cell r="E901">
            <v>78.83</v>
          </cell>
        </row>
        <row r="902">
          <cell r="B902" t="str">
            <v>Rice (Basmati)</v>
          </cell>
          <cell r="C902" t="str">
            <v>Grain</v>
          </cell>
          <cell r="E902">
            <v>323</v>
          </cell>
        </row>
        <row r="903">
          <cell r="B903" t="str">
            <v>Chicken (Whole)</v>
          </cell>
          <cell r="C903" t="str">
            <v>Meat</v>
          </cell>
          <cell r="E903">
            <v>604.41</v>
          </cell>
        </row>
        <row r="904">
          <cell r="B904" t="str">
            <v>Apple</v>
          </cell>
          <cell r="C904" t="str">
            <v>Fruit</v>
          </cell>
          <cell r="E904">
            <v>216.67</v>
          </cell>
        </row>
        <row r="905">
          <cell r="B905" t="str">
            <v>Carrot</v>
          </cell>
          <cell r="C905" t="str">
            <v>Vegetable</v>
          </cell>
          <cell r="E905">
            <v>142.84</v>
          </cell>
        </row>
        <row r="906">
          <cell r="B906" t="str">
            <v>Mango</v>
          </cell>
          <cell r="C906" t="str">
            <v>Fruit</v>
          </cell>
          <cell r="E906">
            <v>253.9</v>
          </cell>
        </row>
        <row r="907">
          <cell r="B907" t="str">
            <v>Spices (Mixed)</v>
          </cell>
          <cell r="C907" t="str">
            <v>Condiment</v>
          </cell>
          <cell r="E907">
            <v>720.95</v>
          </cell>
        </row>
        <row r="908">
          <cell r="B908" t="str">
            <v>Guava</v>
          </cell>
          <cell r="C908" t="str">
            <v>Fruit</v>
          </cell>
          <cell r="E908">
            <v>128.9</v>
          </cell>
        </row>
        <row r="909">
          <cell r="B909" t="str">
            <v>Tomato</v>
          </cell>
          <cell r="C909" t="str">
            <v>Vegetable</v>
          </cell>
          <cell r="E909">
            <v>114.94</v>
          </cell>
        </row>
        <row r="910">
          <cell r="B910" t="str">
            <v>Rice (Irri)</v>
          </cell>
          <cell r="C910" t="str">
            <v>Grain</v>
          </cell>
          <cell r="E910">
            <v>154.77000000000001</v>
          </cell>
        </row>
        <row r="911">
          <cell r="B911" t="str">
            <v>Apple</v>
          </cell>
          <cell r="C911" t="str">
            <v>Fruit</v>
          </cell>
          <cell r="E911">
            <v>192.56</v>
          </cell>
        </row>
        <row r="912">
          <cell r="B912" t="str">
            <v>Fish (Rohu)</v>
          </cell>
          <cell r="C912" t="str">
            <v>Meat</v>
          </cell>
          <cell r="E912">
            <v>636.71</v>
          </cell>
        </row>
        <row r="913">
          <cell r="B913" t="str">
            <v>Tea (Loose)</v>
          </cell>
          <cell r="C913" t="str">
            <v>Beverage</v>
          </cell>
          <cell r="E913">
            <v>977.75</v>
          </cell>
        </row>
        <row r="914">
          <cell r="B914" t="str">
            <v>Rice (Basmati)</v>
          </cell>
          <cell r="C914" t="str">
            <v>Grain</v>
          </cell>
          <cell r="E914">
            <v>314.83999999999997</v>
          </cell>
        </row>
        <row r="915">
          <cell r="B915" t="str">
            <v>Tomato</v>
          </cell>
          <cell r="C915" t="str">
            <v>Vegetable</v>
          </cell>
          <cell r="E915">
            <v>117.93</v>
          </cell>
        </row>
        <row r="916">
          <cell r="B916" t="str">
            <v>Wheat</v>
          </cell>
          <cell r="C916" t="str">
            <v>Grain</v>
          </cell>
          <cell r="E916">
            <v>110.66</v>
          </cell>
        </row>
        <row r="917">
          <cell r="B917" t="str">
            <v>Cheese (Local)</v>
          </cell>
          <cell r="C917" t="str">
            <v>Dairy</v>
          </cell>
          <cell r="E917">
            <v>1053.0899999999999</v>
          </cell>
        </row>
        <row r="918">
          <cell r="B918" t="str">
            <v>Beef (Local)</v>
          </cell>
          <cell r="C918" t="str">
            <v>Meat</v>
          </cell>
          <cell r="E918">
            <v>888.46</v>
          </cell>
        </row>
        <row r="919">
          <cell r="B919" t="str">
            <v>Salt</v>
          </cell>
          <cell r="C919" t="str">
            <v>Condiment</v>
          </cell>
          <cell r="E919">
            <v>45.54</v>
          </cell>
        </row>
        <row r="920">
          <cell r="B920" t="str">
            <v>Grapes</v>
          </cell>
          <cell r="C920" t="str">
            <v>Fruit</v>
          </cell>
          <cell r="E920">
            <v>238.86</v>
          </cell>
        </row>
        <row r="921">
          <cell r="B921" t="str">
            <v>Spinach</v>
          </cell>
          <cell r="C921" t="str">
            <v>Vegetable</v>
          </cell>
          <cell r="E921">
            <v>60.48</v>
          </cell>
        </row>
        <row r="922">
          <cell r="B922" t="str">
            <v>Mango</v>
          </cell>
          <cell r="C922" t="str">
            <v>Fruit</v>
          </cell>
          <cell r="E922">
            <v>255</v>
          </cell>
        </row>
        <row r="923">
          <cell r="B923" t="str">
            <v>Spices (Mixed)</v>
          </cell>
          <cell r="C923" t="str">
            <v>Condiment</v>
          </cell>
          <cell r="E923">
            <v>885.88</v>
          </cell>
        </row>
        <row r="924">
          <cell r="B924" t="str">
            <v>Lentils (Masoor)</v>
          </cell>
          <cell r="C924" t="str">
            <v>Pulses</v>
          </cell>
          <cell r="E924">
            <v>242.04</v>
          </cell>
        </row>
        <row r="925">
          <cell r="B925" t="str">
            <v>Mutton</v>
          </cell>
          <cell r="C925" t="str">
            <v>Meat</v>
          </cell>
          <cell r="E925">
            <v>1156.1199999999999</v>
          </cell>
        </row>
        <row r="926">
          <cell r="B926" t="str">
            <v>Rice (Basmati)</v>
          </cell>
          <cell r="C926" t="str">
            <v>Grain</v>
          </cell>
          <cell r="E926">
            <v>312.45</v>
          </cell>
        </row>
        <row r="927">
          <cell r="B927" t="str">
            <v>Carrot</v>
          </cell>
          <cell r="C927" t="str">
            <v>Vegetable</v>
          </cell>
          <cell r="E927">
            <v>131.5</v>
          </cell>
        </row>
        <row r="928">
          <cell r="B928" t="str">
            <v>Salt</v>
          </cell>
          <cell r="C928" t="str">
            <v>Condiment</v>
          </cell>
          <cell r="E928">
            <v>40.369999999999997</v>
          </cell>
        </row>
        <row r="929">
          <cell r="B929" t="str">
            <v>Cheese (Local)</v>
          </cell>
          <cell r="C929" t="str">
            <v>Dairy</v>
          </cell>
          <cell r="E929">
            <v>948.91</v>
          </cell>
        </row>
        <row r="930">
          <cell r="B930" t="str">
            <v>Carrot</v>
          </cell>
          <cell r="C930" t="str">
            <v>Vegetable</v>
          </cell>
          <cell r="E930">
            <v>135.01</v>
          </cell>
        </row>
        <row r="931">
          <cell r="B931" t="str">
            <v>Lentils (Masoor)</v>
          </cell>
          <cell r="C931" t="str">
            <v>Pulses</v>
          </cell>
          <cell r="E931">
            <v>257.06</v>
          </cell>
        </row>
        <row r="932">
          <cell r="B932" t="str">
            <v>Eggplant</v>
          </cell>
          <cell r="C932" t="str">
            <v>Vegetable</v>
          </cell>
          <cell r="E932">
            <v>76.89</v>
          </cell>
        </row>
        <row r="933">
          <cell r="B933" t="str">
            <v>Flour (Atta)</v>
          </cell>
          <cell r="C933" t="str">
            <v>Grain</v>
          </cell>
          <cell r="E933">
            <v>115.64</v>
          </cell>
        </row>
        <row r="934">
          <cell r="B934" t="str">
            <v>Onion</v>
          </cell>
          <cell r="C934" t="str">
            <v>Vegetable</v>
          </cell>
          <cell r="E934">
            <v>85.63</v>
          </cell>
        </row>
        <row r="935">
          <cell r="B935" t="str">
            <v>Oranges</v>
          </cell>
          <cell r="C935" t="str">
            <v>Fruit</v>
          </cell>
          <cell r="E935">
            <v>144.71</v>
          </cell>
        </row>
        <row r="936">
          <cell r="B936" t="str">
            <v>Tomato</v>
          </cell>
          <cell r="C936" t="str">
            <v>Vegetable</v>
          </cell>
          <cell r="E936">
            <v>115.83</v>
          </cell>
        </row>
        <row r="937">
          <cell r="B937" t="str">
            <v>Oranges</v>
          </cell>
          <cell r="C937" t="str">
            <v>Fruit</v>
          </cell>
          <cell r="E937">
            <v>135.76</v>
          </cell>
        </row>
        <row r="938">
          <cell r="B938" t="str">
            <v>Tea (Loose)</v>
          </cell>
          <cell r="C938" t="str">
            <v>Beverage</v>
          </cell>
          <cell r="E938">
            <v>954.71</v>
          </cell>
        </row>
        <row r="939">
          <cell r="B939" t="str">
            <v>Fish (Pomfret)</v>
          </cell>
          <cell r="C939" t="str">
            <v>Meat</v>
          </cell>
          <cell r="E939">
            <v>1112.03</v>
          </cell>
        </row>
        <row r="940">
          <cell r="B940" t="str">
            <v>Spinach</v>
          </cell>
          <cell r="C940" t="str">
            <v>Vegetable</v>
          </cell>
          <cell r="E940">
            <v>65.44</v>
          </cell>
        </row>
        <row r="941">
          <cell r="B941" t="str">
            <v>Lentils (Masoor)</v>
          </cell>
          <cell r="C941" t="str">
            <v>Pulses</v>
          </cell>
          <cell r="E941">
            <v>241.84</v>
          </cell>
        </row>
        <row r="942">
          <cell r="B942" t="str">
            <v>Chicken Breast</v>
          </cell>
          <cell r="C942" t="str">
            <v>Meat</v>
          </cell>
          <cell r="E942">
            <v>666.04</v>
          </cell>
        </row>
        <row r="943">
          <cell r="B943" t="str">
            <v>Ghee</v>
          </cell>
          <cell r="C943" t="str">
            <v>Oil</v>
          </cell>
          <cell r="E943">
            <v>920.28</v>
          </cell>
        </row>
        <row r="944">
          <cell r="B944" t="str">
            <v>Spinach</v>
          </cell>
          <cell r="C944" t="str">
            <v>Vegetable</v>
          </cell>
          <cell r="E944">
            <v>63.96</v>
          </cell>
        </row>
        <row r="945">
          <cell r="B945" t="str">
            <v>Flour (Atta)</v>
          </cell>
          <cell r="C945" t="str">
            <v>Grain</v>
          </cell>
          <cell r="E945">
            <v>115.3</v>
          </cell>
        </row>
        <row r="946">
          <cell r="B946" t="str">
            <v>Fish (Rohu)</v>
          </cell>
          <cell r="C946" t="str">
            <v>Meat</v>
          </cell>
          <cell r="E946">
            <v>597.47</v>
          </cell>
        </row>
        <row r="947">
          <cell r="B947" t="str">
            <v>Lentils (Masoor)</v>
          </cell>
          <cell r="C947" t="str">
            <v>Pulses</v>
          </cell>
          <cell r="E947">
            <v>246.71</v>
          </cell>
        </row>
        <row r="948">
          <cell r="B948" t="str">
            <v>Ghee</v>
          </cell>
          <cell r="C948" t="str">
            <v>Oil</v>
          </cell>
          <cell r="E948">
            <v>1042.6400000000001</v>
          </cell>
        </row>
        <row r="949">
          <cell r="B949" t="str">
            <v>Cheese (Local)</v>
          </cell>
          <cell r="C949" t="str">
            <v>Dairy</v>
          </cell>
          <cell r="E949">
            <v>1022.66</v>
          </cell>
        </row>
        <row r="950">
          <cell r="B950" t="str">
            <v>Mutton</v>
          </cell>
          <cell r="C950" t="str">
            <v>Meat</v>
          </cell>
          <cell r="E950">
            <v>1092.46</v>
          </cell>
        </row>
        <row r="951">
          <cell r="B951" t="str">
            <v>Guava</v>
          </cell>
          <cell r="C951" t="str">
            <v>Fruit</v>
          </cell>
          <cell r="E951">
            <v>121.62</v>
          </cell>
        </row>
        <row r="952">
          <cell r="B952" t="str">
            <v>Tomato</v>
          </cell>
          <cell r="C952" t="str">
            <v>Vegetable</v>
          </cell>
          <cell r="E952">
            <v>121.15</v>
          </cell>
        </row>
        <row r="953">
          <cell r="B953" t="str">
            <v>Mango</v>
          </cell>
          <cell r="C953" t="str">
            <v>Fruit</v>
          </cell>
          <cell r="E953">
            <v>242.64</v>
          </cell>
        </row>
        <row r="954">
          <cell r="B954" t="str">
            <v>Eggplant</v>
          </cell>
          <cell r="C954" t="str">
            <v>Vegetable</v>
          </cell>
          <cell r="E954">
            <v>78.89</v>
          </cell>
        </row>
        <row r="955">
          <cell r="B955" t="str">
            <v>Wheat</v>
          </cell>
          <cell r="C955" t="str">
            <v>Grain</v>
          </cell>
          <cell r="E955">
            <v>136.44</v>
          </cell>
        </row>
        <row r="956">
          <cell r="B956" t="str">
            <v>Tomato</v>
          </cell>
          <cell r="C956" t="str">
            <v>Vegetable</v>
          </cell>
          <cell r="E956">
            <v>119.09</v>
          </cell>
        </row>
        <row r="957">
          <cell r="B957" t="str">
            <v>Cooking Oil (Sunflower)</v>
          </cell>
          <cell r="C957" t="str">
            <v>Oil</v>
          </cell>
          <cell r="E957">
            <v>341.05</v>
          </cell>
        </row>
        <row r="958">
          <cell r="B958" t="str">
            <v>Oranges</v>
          </cell>
          <cell r="C958" t="str">
            <v>Fruit</v>
          </cell>
          <cell r="E958">
            <v>154.72999999999999</v>
          </cell>
        </row>
        <row r="959">
          <cell r="B959" t="str">
            <v>Potato</v>
          </cell>
          <cell r="C959" t="str">
            <v>Vegetable</v>
          </cell>
          <cell r="E959">
            <v>79.349999999999994</v>
          </cell>
        </row>
        <row r="960">
          <cell r="B960" t="str">
            <v>Spinach</v>
          </cell>
          <cell r="C960" t="str">
            <v>Vegetable</v>
          </cell>
          <cell r="E960">
            <v>65.36</v>
          </cell>
        </row>
        <row r="961">
          <cell r="B961" t="str">
            <v>Cooking Oil (Sunflower)</v>
          </cell>
          <cell r="C961" t="str">
            <v>Oil</v>
          </cell>
          <cell r="E961">
            <v>357.94</v>
          </cell>
        </row>
        <row r="962">
          <cell r="B962" t="str">
            <v>Chicken (Whole)</v>
          </cell>
          <cell r="C962" t="str">
            <v>Meat</v>
          </cell>
          <cell r="E962">
            <v>536.92999999999995</v>
          </cell>
        </row>
        <row r="963">
          <cell r="B963" t="str">
            <v>Oranges</v>
          </cell>
          <cell r="C963" t="str">
            <v>Fruit</v>
          </cell>
          <cell r="E963">
            <v>164.08</v>
          </cell>
        </row>
        <row r="964">
          <cell r="B964" t="str">
            <v>Yogurt</v>
          </cell>
          <cell r="C964" t="str">
            <v>Dairy</v>
          </cell>
          <cell r="E964">
            <v>226.72</v>
          </cell>
        </row>
        <row r="965">
          <cell r="B965" t="str">
            <v>Mango</v>
          </cell>
          <cell r="C965" t="str">
            <v>Fruit</v>
          </cell>
          <cell r="E965">
            <v>232.72</v>
          </cell>
        </row>
        <row r="966">
          <cell r="B966" t="str">
            <v>Lentils (Moong)</v>
          </cell>
          <cell r="C966" t="str">
            <v>Pulses</v>
          </cell>
          <cell r="E966">
            <v>273.85000000000002</v>
          </cell>
        </row>
        <row r="967">
          <cell r="B967" t="str">
            <v>Salt</v>
          </cell>
          <cell r="C967" t="str">
            <v>Condiment</v>
          </cell>
          <cell r="E967">
            <v>36</v>
          </cell>
        </row>
        <row r="968">
          <cell r="B968" t="str">
            <v>Fish (Rohu)</v>
          </cell>
          <cell r="C968" t="str">
            <v>Meat</v>
          </cell>
          <cell r="E968">
            <v>795.68</v>
          </cell>
        </row>
        <row r="969">
          <cell r="B969" t="str">
            <v>Tea (Loose)</v>
          </cell>
          <cell r="C969" t="str">
            <v>Beverage</v>
          </cell>
          <cell r="E969">
            <v>822.7</v>
          </cell>
        </row>
        <row r="970">
          <cell r="B970" t="str">
            <v>Beef (Local)</v>
          </cell>
          <cell r="C970" t="str">
            <v>Meat</v>
          </cell>
          <cell r="E970">
            <v>886.32</v>
          </cell>
        </row>
        <row r="971">
          <cell r="B971" t="str">
            <v>Lentils (Moong)</v>
          </cell>
          <cell r="C971" t="str">
            <v>Pulses</v>
          </cell>
          <cell r="E971">
            <v>289.26</v>
          </cell>
        </row>
        <row r="972">
          <cell r="B972" t="str">
            <v>Banana</v>
          </cell>
          <cell r="C972" t="str">
            <v>Fruit</v>
          </cell>
          <cell r="E972">
            <v>108.22</v>
          </cell>
        </row>
        <row r="973">
          <cell r="B973" t="str">
            <v>Flour (Atta)</v>
          </cell>
          <cell r="C973" t="str">
            <v>Grain</v>
          </cell>
          <cell r="E973">
            <v>109.44</v>
          </cell>
        </row>
        <row r="974">
          <cell r="B974" t="str">
            <v>Potato</v>
          </cell>
          <cell r="C974" t="str">
            <v>Vegetable</v>
          </cell>
          <cell r="E974">
            <v>60.14</v>
          </cell>
        </row>
        <row r="975">
          <cell r="B975" t="str">
            <v>Eggplant</v>
          </cell>
          <cell r="C975" t="str">
            <v>Vegetable</v>
          </cell>
          <cell r="E975">
            <v>83.33</v>
          </cell>
        </row>
        <row r="976">
          <cell r="B976" t="str">
            <v>Mango</v>
          </cell>
          <cell r="C976" t="str">
            <v>Fruit</v>
          </cell>
          <cell r="E976">
            <v>232.62</v>
          </cell>
        </row>
        <row r="977">
          <cell r="B977" t="str">
            <v>Rice (Basmati)</v>
          </cell>
          <cell r="C977" t="str">
            <v>Grain</v>
          </cell>
          <cell r="E977">
            <v>344.54</v>
          </cell>
        </row>
        <row r="978">
          <cell r="B978" t="str">
            <v>Maize</v>
          </cell>
          <cell r="C978" t="str">
            <v>Grain</v>
          </cell>
          <cell r="E978">
            <v>97.04</v>
          </cell>
        </row>
        <row r="979">
          <cell r="B979" t="str">
            <v>Spices (Mixed)</v>
          </cell>
          <cell r="C979" t="str">
            <v>Condiment</v>
          </cell>
          <cell r="E979">
            <v>835.89</v>
          </cell>
        </row>
        <row r="980">
          <cell r="B980" t="str">
            <v>Chicken Breast</v>
          </cell>
          <cell r="C980" t="str">
            <v>Meat</v>
          </cell>
          <cell r="E980">
            <v>737.41</v>
          </cell>
        </row>
        <row r="981">
          <cell r="B981" t="str">
            <v>Flour (Atta)</v>
          </cell>
          <cell r="C981" t="str">
            <v>Grain</v>
          </cell>
          <cell r="E981">
            <v>110.52</v>
          </cell>
        </row>
        <row r="982">
          <cell r="B982" t="str">
            <v>Lentils (Moong)</v>
          </cell>
          <cell r="C982" t="str">
            <v>Pulses</v>
          </cell>
          <cell r="E982">
            <v>297.49</v>
          </cell>
        </row>
        <row r="983">
          <cell r="B983" t="str">
            <v>Onion</v>
          </cell>
          <cell r="C983" t="str">
            <v>Vegetable</v>
          </cell>
          <cell r="E983">
            <v>81.86</v>
          </cell>
        </row>
        <row r="984">
          <cell r="B984" t="str">
            <v>Apple</v>
          </cell>
          <cell r="C984" t="str">
            <v>Fruit</v>
          </cell>
          <cell r="E984">
            <v>174.91</v>
          </cell>
        </row>
        <row r="985">
          <cell r="B985" t="str">
            <v>Lentils (Moong)</v>
          </cell>
          <cell r="C985" t="str">
            <v>Pulses</v>
          </cell>
          <cell r="E985">
            <v>320.5</v>
          </cell>
        </row>
        <row r="986">
          <cell r="B986" t="str">
            <v>Ghee</v>
          </cell>
          <cell r="C986" t="str">
            <v>Oil</v>
          </cell>
          <cell r="E986">
            <v>990.48</v>
          </cell>
        </row>
        <row r="987">
          <cell r="B987" t="str">
            <v>Wheat</v>
          </cell>
          <cell r="C987" t="str">
            <v>Grain</v>
          </cell>
          <cell r="E987">
            <v>130.44</v>
          </cell>
        </row>
        <row r="988">
          <cell r="B988" t="str">
            <v>Mango</v>
          </cell>
          <cell r="C988" t="str">
            <v>Fruit</v>
          </cell>
          <cell r="E988">
            <v>243.66</v>
          </cell>
        </row>
        <row r="989">
          <cell r="B989" t="str">
            <v>Cooking Oil (Sunflower)</v>
          </cell>
          <cell r="C989" t="str">
            <v>Oil</v>
          </cell>
          <cell r="E989">
            <v>380.05</v>
          </cell>
        </row>
        <row r="990">
          <cell r="B990" t="str">
            <v>Apple</v>
          </cell>
          <cell r="C990" t="str">
            <v>Fruit</v>
          </cell>
          <cell r="E990">
            <v>189.88</v>
          </cell>
        </row>
        <row r="991">
          <cell r="B991" t="str">
            <v>Guava</v>
          </cell>
          <cell r="C991" t="str">
            <v>Fruit</v>
          </cell>
          <cell r="E991">
            <v>141.13999999999999</v>
          </cell>
        </row>
        <row r="992">
          <cell r="B992" t="str">
            <v>Maize</v>
          </cell>
          <cell r="C992" t="str">
            <v>Grain</v>
          </cell>
          <cell r="E992">
            <v>100.18</v>
          </cell>
        </row>
        <row r="993">
          <cell r="B993" t="str">
            <v>Maize</v>
          </cell>
          <cell r="C993" t="str">
            <v>Grain</v>
          </cell>
          <cell r="E993">
            <v>90.5</v>
          </cell>
        </row>
        <row r="994">
          <cell r="B994" t="str">
            <v>Chicken (Whole)</v>
          </cell>
          <cell r="C994" t="str">
            <v>Meat</v>
          </cell>
          <cell r="E994">
            <v>513.38</v>
          </cell>
        </row>
        <row r="995">
          <cell r="B995" t="str">
            <v>Lentils (Moong)</v>
          </cell>
          <cell r="C995" t="str">
            <v>Pulses</v>
          </cell>
          <cell r="E995">
            <v>301.52</v>
          </cell>
        </row>
        <row r="996">
          <cell r="B996" t="str">
            <v>Carrot</v>
          </cell>
          <cell r="C996" t="str">
            <v>Vegetable</v>
          </cell>
          <cell r="E996">
            <v>121.06</v>
          </cell>
        </row>
        <row r="997">
          <cell r="B997" t="str">
            <v>Guava</v>
          </cell>
          <cell r="C997" t="str">
            <v>Fruit</v>
          </cell>
          <cell r="E997">
            <v>133.82</v>
          </cell>
        </row>
        <row r="998">
          <cell r="B998" t="str">
            <v>Milk</v>
          </cell>
          <cell r="C998" t="str">
            <v>Dairy</v>
          </cell>
          <cell r="E998">
            <v>189.52</v>
          </cell>
        </row>
        <row r="999">
          <cell r="B999" t="str">
            <v>Spices (Mixed)</v>
          </cell>
          <cell r="C999" t="str">
            <v>Condiment</v>
          </cell>
          <cell r="E999">
            <v>875.31</v>
          </cell>
        </row>
        <row r="1000">
          <cell r="B1000" t="str">
            <v>Sugar</v>
          </cell>
          <cell r="C1000" t="str">
            <v>Grain</v>
          </cell>
          <cell r="E1000">
            <v>119.09</v>
          </cell>
        </row>
        <row r="1001">
          <cell r="B1001" t="str">
            <v>Spinach</v>
          </cell>
          <cell r="C1001" t="str">
            <v>Vegetable</v>
          </cell>
          <cell r="E1001">
            <v>62.79</v>
          </cell>
        </row>
        <row r="1002">
          <cell r="B1002" t="str">
            <v>Tea (Loose)</v>
          </cell>
          <cell r="C1002" t="str">
            <v>Beverage</v>
          </cell>
          <cell r="E1002">
            <v>826.97</v>
          </cell>
        </row>
        <row r="1003">
          <cell r="B1003" t="str">
            <v>Flour (Atta)</v>
          </cell>
          <cell r="C1003" t="str">
            <v>Grain</v>
          </cell>
          <cell r="E1003">
            <v>107.21</v>
          </cell>
        </row>
        <row r="1004">
          <cell r="B1004" t="str">
            <v>Potato</v>
          </cell>
          <cell r="C1004" t="str">
            <v>Vegetable</v>
          </cell>
          <cell r="E1004">
            <v>70.260000000000005</v>
          </cell>
        </row>
        <row r="1005">
          <cell r="B1005" t="str">
            <v>Chicken (Whole)</v>
          </cell>
          <cell r="C1005" t="str">
            <v>Meat</v>
          </cell>
          <cell r="E1005">
            <v>530.88</v>
          </cell>
        </row>
        <row r="1006">
          <cell r="B1006" t="str">
            <v>Onion</v>
          </cell>
          <cell r="C1006" t="str">
            <v>Vegetable</v>
          </cell>
          <cell r="E1006">
            <v>102.07</v>
          </cell>
        </row>
        <row r="1007">
          <cell r="B1007" t="str">
            <v>Ghee</v>
          </cell>
          <cell r="C1007" t="str">
            <v>Oil</v>
          </cell>
          <cell r="E1007">
            <v>853.77</v>
          </cell>
        </row>
        <row r="1008">
          <cell r="B1008" t="str">
            <v>Sugar</v>
          </cell>
          <cell r="C1008" t="str">
            <v>Grain</v>
          </cell>
          <cell r="E1008">
            <v>134.96</v>
          </cell>
        </row>
        <row r="1009">
          <cell r="B1009" t="str">
            <v>Oranges</v>
          </cell>
          <cell r="C1009" t="str">
            <v>Fruit</v>
          </cell>
          <cell r="E1009">
            <v>154.25</v>
          </cell>
        </row>
        <row r="1010">
          <cell r="B1010" t="str">
            <v>Oranges</v>
          </cell>
          <cell r="C1010" t="str">
            <v>Fruit</v>
          </cell>
          <cell r="E1010">
            <v>161.38</v>
          </cell>
        </row>
        <row r="1011">
          <cell r="B1011" t="str">
            <v>Guava</v>
          </cell>
          <cell r="C1011" t="str">
            <v>Fruit</v>
          </cell>
          <cell r="E1011">
            <v>133.97999999999999</v>
          </cell>
        </row>
        <row r="1012">
          <cell r="B1012" t="str">
            <v>Eggplant</v>
          </cell>
          <cell r="C1012" t="str">
            <v>Vegetable</v>
          </cell>
          <cell r="E1012">
            <v>80.239999999999995</v>
          </cell>
        </row>
        <row r="1013">
          <cell r="B1013" t="str">
            <v>Wheat</v>
          </cell>
          <cell r="C1013" t="str">
            <v>Grain</v>
          </cell>
          <cell r="E1013">
            <v>131.66999999999999</v>
          </cell>
        </row>
        <row r="1014">
          <cell r="B1014" t="str">
            <v>Potato</v>
          </cell>
          <cell r="C1014" t="str">
            <v>Vegetable</v>
          </cell>
          <cell r="E1014">
            <v>62.15</v>
          </cell>
        </row>
        <row r="1015">
          <cell r="B1015" t="str">
            <v>Cheese (Local)</v>
          </cell>
          <cell r="C1015" t="str">
            <v>Dairy</v>
          </cell>
          <cell r="E1015">
            <v>921.48</v>
          </cell>
        </row>
        <row r="1016">
          <cell r="B1016" t="str">
            <v>Lentils (Masoor)</v>
          </cell>
          <cell r="C1016" t="str">
            <v>Pulses</v>
          </cell>
          <cell r="E1016">
            <v>208.44</v>
          </cell>
        </row>
        <row r="1017">
          <cell r="B1017" t="str">
            <v>Mango</v>
          </cell>
          <cell r="C1017" t="str">
            <v>Fruit</v>
          </cell>
          <cell r="E1017">
            <v>263.43</v>
          </cell>
        </row>
        <row r="1018">
          <cell r="B1018" t="str">
            <v>Chicken Breast</v>
          </cell>
          <cell r="C1018" t="str">
            <v>Meat</v>
          </cell>
          <cell r="E1018">
            <v>612.30999999999995</v>
          </cell>
        </row>
        <row r="1019">
          <cell r="B1019" t="str">
            <v>Chicken Breast</v>
          </cell>
          <cell r="C1019" t="str">
            <v>Meat</v>
          </cell>
          <cell r="E1019">
            <v>708.19</v>
          </cell>
        </row>
        <row r="1020">
          <cell r="B1020" t="str">
            <v>Mutton</v>
          </cell>
          <cell r="C1020" t="str">
            <v>Meat</v>
          </cell>
          <cell r="E1020">
            <v>1185.6400000000001</v>
          </cell>
        </row>
        <row r="1021">
          <cell r="B1021" t="str">
            <v>Beef (Local)</v>
          </cell>
          <cell r="C1021" t="str">
            <v>Meat</v>
          </cell>
          <cell r="E1021">
            <v>1022.33</v>
          </cell>
        </row>
        <row r="1022">
          <cell r="B1022" t="str">
            <v>Mutton</v>
          </cell>
          <cell r="C1022" t="str">
            <v>Meat</v>
          </cell>
          <cell r="E1022">
            <v>1315.1</v>
          </cell>
        </row>
        <row r="1023">
          <cell r="B1023" t="str">
            <v>Beef (Local)</v>
          </cell>
          <cell r="C1023" t="str">
            <v>Meat</v>
          </cell>
          <cell r="E1023">
            <v>899.6</v>
          </cell>
        </row>
        <row r="1024">
          <cell r="B1024" t="str">
            <v>Onion</v>
          </cell>
          <cell r="C1024" t="str">
            <v>Vegetable</v>
          </cell>
          <cell r="E1024">
            <v>93.25</v>
          </cell>
        </row>
        <row r="1025">
          <cell r="B1025" t="str">
            <v>Ghee</v>
          </cell>
          <cell r="C1025" t="str">
            <v>Oil</v>
          </cell>
          <cell r="E1025">
            <v>1005.25</v>
          </cell>
        </row>
        <row r="1026">
          <cell r="B1026" t="str">
            <v>Tomato</v>
          </cell>
          <cell r="C1026" t="str">
            <v>Vegetable</v>
          </cell>
          <cell r="E1026">
            <v>131.07</v>
          </cell>
        </row>
        <row r="1027">
          <cell r="B1027" t="str">
            <v>Eggplant</v>
          </cell>
          <cell r="C1027" t="str">
            <v>Vegetable</v>
          </cell>
          <cell r="E1027">
            <v>82.39</v>
          </cell>
        </row>
        <row r="1028">
          <cell r="B1028" t="str">
            <v>Rice (Basmati)</v>
          </cell>
          <cell r="C1028" t="str">
            <v>Grain</v>
          </cell>
          <cell r="E1028">
            <v>277.58</v>
          </cell>
        </row>
        <row r="1029">
          <cell r="B1029" t="str">
            <v>Tomato</v>
          </cell>
          <cell r="C1029" t="str">
            <v>Vegetable</v>
          </cell>
          <cell r="E1029">
            <v>133.44</v>
          </cell>
        </row>
        <row r="1030">
          <cell r="B1030" t="str">
            <v>Maize</v>
          </cell>
          <cell r="C1030" t="str">
            <v>Grain</v>
          </cell>
          <cell r="E1030">
            <v>99.86</v>
          </cell>
        </row>
        <row r="1031">
          <cell r="B1031" t="str">
            <v>Milk</v>
          </cell>
          <cell r="C1031" t="str">
            <v>Dairy</v>
          </cell>
          <cell r="E1031">
            <v>213.35</v>
          </cell>
        </row>
        <row r="1032">
          <cell r="B1032" t="str">
            <v>Chicken (Whole)</v>
          </cell>
          <cell r="C1032" t="str">
            <v>Meat</v>
          </cell>
          <cell r="E1032">
            <v>492.86</v>
          </cell>
        </row>
        <row r="1033">
          <cell r="B1033" t="str">
            <v>Flour (Atta)</v>
          </cell>
          <cell r="C1033" t="str">
            <v>Grain</v>
          </cell>
          <cell r="E1033">
            <v>108.98</v>
          </cell>
        </row>
        <row r="1034">
          <cell r="B1034" t="str">
            <v>Grapes</v>
          </cell>
          <cell r="C1034" t="str">
            <v>Fruit</v>
          </cell>
          <cell r="E1034">
            <v>199.87</v>
          </cell>
        </row>
        <row r="1035">
          <cell r="B1035" t="str">
            <v>Rice (Basmati)</v>
          </cell>
          <cell r="C1035" t="str">
            <v>Grain</v>
          </cell>
          <cell r="E1035">
            <v>285.17</v>
          </cell>
        </row>
        <row r="1036">
          <cell r="B1036" t="str">
            <v>Tomato</v>
          </cell>
          <cell r="C1036" t="str">
            <v>Vegetable</v>
          </cell>
          <cell r="E1036">
            <v>127.52</v>
          </cell>
        </row>
        <row r="1037">
          <cell r="B1037" t="str">
            <v>Fish (Rohu)</v>
          </cell>
          <cell r="C1037" t="str">
            <v>Meat</v>
          </cell>
          <cell r="E1037">
            <v>690.06</v>
          </cell>
        </row>
        <row r="1038">
          <cell r="B1038" t="str">
            <v>Oranges</v>
          </cell>
          <cell r="C1038" t="str">
            <v>Fruit</v>
          </cell>
          <cell r="E1038">
            <v>142.53</v>
          </cell>
        </row>
        <row r="1039">
          <cell r="B1039" t="str">
            <v>Maize</v>
          </cell>
          <cell r="C1039" t="str">
            <v>Grain</v>
          </cell>
          <cell r="E1039">
            <v>101</v>
          </cell>
        </row>
        <row r="1040">
          <cell r="B1040" t="str">
            <v>Lentils (Moong)</v>
          </cell>
          <cell r="C1040" t="str">
            <v>Pulses</v>
          </cell>
          <cell r="E1040">
            <v>321.58</v>
          </cell>
        </row>
        <row r="1041">
          <cell r="B1041" t="str">
            <v>Eggplant</v>
          </cell>
          <cell r="C1041" t="str">
            <v>Vegetable</v>
          </cell>
          <cell r="E1041">
            <v>79.84</v>
          </cell>
        </row>
        <row r="1042">
          <cell r="B1042" t="str">
            <v>Ghee</v>
          </cell>
          <cell r="C1042" t="str">
            <v>Oil</v>
          </cell>
          <cell r="E1042">
            <v>1018.51</v>
          </cell>
        </row>
        <row r="1043">
          <cell r="B1043" t="str">
            <v>Ghee</v>
          </cell>
          <cell r="C1043" t="str">
            <v>Oil</v>
          </cell>
          <cell r="E1043">
            <v>1080.25</v>
          </cell>
        </row>
        <row r="1044">
          <cell r="B1044" t="str">
            <v>Yogurt</v>
          </cell>
          <cell r="C1044" t="str">
            <v>Dairy</v>
          </cell>
          <cell r="E1044">
            <v>230.01</v>
          </cell>
        </row>
        <row r="1045">
          <cell r="B1045" t="str">
            <v>Guava</v>
          </cell>
          <cell r="C1045" t="str">
            <v>Fruit</v>
          </cell>
          <cell r="E1045">
            <v>152.13999999999999</v>
          </cell>
        </row>
        <row r="1046">
          <cell r="B1046" t="str">
            <v>Cheese (Local)</v>
          </cell>
          <cell r="C1046" t="str">
            <v>Dairy</v>
          </cell>
          <cell r="E1046">
            <v>884.36</v>
          </cell>
        </row>
        <row r="1047">
          <cell r="B1047" t="str">
            <v>Chicken Breast</v>
          </cell>
          <cell r="C1047" t="str">
            <v>Meat</v>
          </cell>
          <cell r="E1047">
            <v>636.97</v>
          </cell>
        </row>
        <row r="1048">
          <cell r="B1048" t="str">
            <v>Flour (Atta)</v>
          </cell>
          <cell r="C1048" t="str">
            <v>Grain</v>
          </cell>
          <cell r="E1048">
            <v>103.46</v>
          </cell>
        </row>
        <row r="1049">
          <cell r="B1049" t="str">
            <v>Fish (Pomfret)</v>
          </cell>
          <cell r="C1049" t="str">
            <v>Meat</v>
          </cell>
          <cell r="E1049">
            <v>921.13</v>
          </cell>
        </row>
        <row r="1050">
          <cell r="B1050" t="str">
            <v>Tomato</v>
          </cell>
          <cell r="C1050" t="str">
            <v>Vegetable</v>
          </cell>
          <cell r="E1050">
            <v>137.32</v>
          </cell>
        </row>
        <row r="1051">
          <cell r="B1051" t="str">
            <v>Oranges</v>
          </cell>
          <cell r="C1051" t="str">
            <v>Fruit</v>
          </cell>
          <cell r="E1051">
            <v>161.06</v>
          </cell>
        </row>
        <row r="1052">
          <cell r="B1052" t="str">
            <v>Chicken (Whole)</v>
          </cell>
          <cell r="C1052" t="str">
            <v>Meat</v>
          </cell>
          <cell r="E1052">
            <v>548.45000000000005</v>
          </cell>
        </row>
        <row r="1053">
          <cell r="B1053" t="str">
            <v>Banana</v>
          </cell>
          <cell r="C1053" t="str">
            <v>Fruit</v>
          </cell>
          <cell r="E1053">
            <v>104.04</v>
          </cell>
        </row>
        <row r="1054">
          <cell r="B1054" t="str">
            <v>Mango</v>
          </cell>
          <cell r="C1054" t="str">
            <v>Fruit</v>
          </cell>
          <cell r="E1054">
            <v>265.49</v>
          </cell>
        </row>
        <row r="1055">
          <cell r="B1055" t="str">
            <v>Tomato</v>
          </cell>
          <cell r="C1055" t="str">
            <v>Vegetable</v>
          </cell>
          <cell r="E1055">
            <v>120.43</v>
          </cell>
        </row>
        <row r="1056">
          <cell r="B1056" t="str">
            <v>Rice (Basmati)</v>
          </cell>
          <cell r="C1056" t="str">
            <v>Grain</v>
          </cell>
          <cell r="E1056">
            <v>306.61</v>
          </cell>
        </row>
        <row r="1057">
          <cell r="B1057" t="str">
            <v>Spices (Mixed)</v>
          </cell>
          <cell r="C1057" t="str">
            <v>Condiment</v>
          </cell>
          <cell r="E1057">
            <v>800.43</v>
          </cell>
        </row>
        <row r="1058">
          <cell r="B1058" t="str">
            <v>Maize</v>
          </cell>
          <cell r="C1058" t="str">
            <v>Grain</v>
          </cell>
          <cell r="E1058">
            <v>111.67</v>
          </cell>
        </row>
        <row r="1059">
          <cell r="B1059" t="str">
            <v>Chicken Breast</v>
          </cell>
          <cell r="C1059" t="str">
            <v>Meat</v>
          </cell>
          <cell r="E1059">
            <v>673.99</v>
          </cell>
        </row>
        <row r="1060">
          <cell r="B1060" t="str">
            <v>Fish (Rohu)</v>
          </cell>
          <cell r="C1060" t="str">
            <v>Meat</v>
          </cell>
          <cell r="E1060">
            <v>698.56</v>
          </cell>
        </row>
        <row r="1061">
          <cell r="B1061" t="str">
            <v>Onion</v>
          </cell>
          <cell r="C1061" t="str">
            <v>Vegetable</v>
          </cell>
          <cell r="E1061">
            <v>92.92</v>
          </cell>
        </row>
        <row r="1062">
          <cell r="B1062" t="str">
            <v>Yogurt</v>
          </cell>
          <cell r="C1062" t="str">
            <v>Dairy</v>
          </cell>
          <cell r="E1062">
            <v>212.84</v>
          </cell>
        </row>
        <row r="1063">
          <cell r="B1063" t="str">
            <v>Mango</v>
          </cell>
          <cell r="C1063" t="str">
            <v>Fruit</v>
          </cell>
          <cell r="E1063">
            <v>275.04000000000002</v>
          </cell>
        </row>
        <row r="1064">
          <cell r="B1064" t="str">
            <v>Spinach</v>
          </cell>
          <cell r="C1064" t="str">
            <v>Vegetable</v>
          </cell>
          <cell r="E1064">
            <v>58.8</v>
          </cell>
        </row>
        <row r="1065">
          <cell r="B1065" t="str">
            <v>Rice (Irri)</v>
          </cell>
          <cell r="C1065" t="str">
            <v>Grain</v>
          </cell>
          <cell r="E1065">
            <v>131.71</v>
          </cell>
        </row>
        <row r="1066">
          <cell r="B1066" t="str">
            <v>Chickpeas</v>
          </cell>
          <cell r="C1066" t="str">
            <v>Pulses</v>
          </cell>
          <cell r="E1066">
            <v>218.29</v>
          </cell>
        </row>
        <row r="1067">
          <cell r="B1067" t="str">
            <v>Tea (Loose)</v>
          </cell>
          <cell r="C1067" t="str">
            <v>Beverage</v>
          </cell>
          <cell r="E1067">
            <v>897.65</v>
          </cell>
        </row>
        <row r="1068">
          <cell r="B1068" t="str">
            <v>Chicken (Whole)</v>
          </cell>
          <cell r="C1068" t="str">
            <v>Meat</v>
          </cell>
          <cell r="E1068">
            <v>596.08000000000004</v>
          </cell>
        </row>
        <row r="1069">
          <cell r="B1069" t="str">
            <v>Ghee</v>
          </cell>
          <cell r="C1069" t="str">
            <v>Oil</v>
          </cell>
          <cell r="E1069">
            <v>1109.79</v>
          </cell>
        </row>
        <row r="1070">
          <cell r="B1070" t="str">
            <v>Spices (Mixed)</v>
          </cell>
          <cell r="C1070" t="str">
            <v>Condiment</v>
          </cell>
          <cell r="E1070">
            <v>864.24</v>
          </cell>
        </row>
        <row r="1071">
          <cell r="B1071" t="str">
            <v>Oranges</v>
          </cell>
          <cell r="C1071" t="str">
            <v>Fruit</v>
          </cell>
          <cell r="E1071">
            <v>134.97999999999999</v>
          </cell>
        </row>
        <row r="1072">
          <cell r="B1072" t="str">
            <v>Fish (Rohu)</v>
          </cell>
          <cell r="C1072" t="str">
            <v>Meat</v>
          </cell>
          <cell r="E1072">
            <v>786.38</v>
          </cell>
        </row>
        <row r="1073">
          <cell r="B1073" t="str">
            <v>Banana</v>
          </cell>
          <cell r="C1073" t="str">
            <v>Fruit</v>
          </cell>
          <cell r="E1073">
            <v>116.51</v>
          </cell>
        </row>
        <row r="1074">
          <cell r="B1074" t="str">
            <v>Milk</v>
          </cell>
          <cell r="C1074" t="str">
            <v>Dairy</v>
          </cell>
          <cell r="E1074">
            <v>201.63</v>
          </cell>
        </row>
        <row r="1075">
          <cell r="B1075" t="str">
            <v>Tea (Loose)</v>
          </cell>
          <cell r="C1075" t="str">
            <v>Beverage</v>
          </cell>
          <cell r="E1075">
            <v>872.88</v>
          </cell>
        </row>
        <row r="1076">
          <cell r="B1076" t="str">
            <v>Salt</v>
          </cell>
          <cell r="C1076" t="str">
            <v>Condiment</v>
          </cell>
          <cell r="E1076">
            <v>34.21</v>
          </cell>
        </row>
        <row r="1077">
          <cell r="B1077" t="str">
            <v>Cheese (Local)</v>
          </cell>
          <cell r="C1077" t="str">
            <v>Dairy</v>
          </cell>
          <cell r="E1077">
            <v>842.18</v>
          </cell>
        </row>
        <row r="1078">
          <cell r="B1078" t="str">
            <v>Yogurt</v>
          </cell>
          <cell r="C1078" t="str">
            <v>Dairy</v>
          </cell>
          <cell r="E1078">
            <v>238.91</v>
          </cell>
        </row>
        <row r="1079">
          <cell r="B1079" t="str">
            <v>Sugar</v>
          </cell>
          <cell r="C1079" t="str">
            <v>Grain</v>
          </cell>
          <cell r="E1079">
            <v>119.9</v>
          </cell>
        </row>
        <row r="1080">
          <cell r="B1080" t="str">
            <v>Apple</v>
          </cell>
          <cell r="C1080" t="str">
            <v>Fruit</v>
          </cell>
          <cell r="E1080">
            <v>197.52</v>
          </cell>
        </row>
        <row r="1081">
          <cell r="B1081" t="str">
            <v>Oranges</v>
          </cell>
          <cell r="C1081" t="str">
            <v>Fruit</v>
          </cell>
          <cell r="E1081">
            <v>139.01</v>
          </cell>
        </row>
        <row r="1082">
          <cell r="B1082" t="str">
            <v>Lentils (Moong)</v>
          </cell>
          <cell r="C1082" t="str">
            <v>Pulses</v>
          </cell>
          <cell r="E1082">
            <v>293.72000000000003</v>
          </cell>
        </row>
        <row r="1083">
          <cell r="B1083" t="str">
            <v>Tea (Loose)</v>
          </cell>
          <cell r="C1083" t="str">
            <v>Beverage</v>
          </cell>
          <cell r="E1083">
            <v>834.71</v>
          </cell>
        </row>
        <row r="1084">
          <cell r="B1084" t="str">
            <v>Maize</v>
          </cell>
          <cell r="C1084" t="str">
            <v>Grain</v>
          </cell>
          <cell r="E1084">
            <v>105.82</v>
          </cell>
        </row>
        <row r="1085">
          <cell r="B1085" t="str">
            <v>Yogurt</v>
          </cell>
          <cell r="C1085" t="str">
            <v>Dairy</v>
          </cell>
          <cell r="E1085">
            <v>255.39</v>
          </cell>
        </row>
        <row r="1086">
          <cell r="B1086" t="str">
            <v>Sugar</v>
          </cell>
          <cell r="C1086" t="str">
            <v>Grain</v>
          </cell>
          <cell r="E1086">
            <v>126.23</v>
          </cell>
        </row>
        <row r="1087">
          <cell r="B1087" t="str">
            <v>Cooking Oil (Sunflower)</v>
          </cell>
          <cell r="C1087" t="str">
            <v>Oil</v>
          </cell>
          <cell r="E1087">
            <v>368.42</v>
          </cell>
        </row>
        <row r="1088">
          <cell r="B1088" t="str">
            <v>Flour (Atta)</v>
          </cell>
          <cell r="C1088" t="str">
            <v>Grain</v>
          </cell>
          <cell r="E1088">
            <v>122.15</v>
          </cell>
        </row>
        <row r="1089">
          <cell r="B1089" t="str">
            <v>Banana</v>
          </cell>
          <cell r="C1089" t="str">
            <v>Fruit</v>
          </cell>
          <cell r="E1089">
            <v>127.05</v>
          </cell>
        </row>
        <row r="1090">
          <cell r="B1090" t="str">
            <v>Lentils (Moong)</v>
          </cell>
          <cell r="C1090" t="str">
            <v>Pulses</v>
          </cell>
          <cell r="E1090">
            <v>312.52999999999997</v>
          </cell>
        </row>
        <row r="1091">
          <cell r="B1091" t="str">
            <v>Eggplant</v>
          </cell>
          <cell r="C1091" t="str">
            <v>Vegetable</v>
          </cell>
          <cell r="E1091">
            <v>86.92</v>
          </cell>
        </row>
        <row r="1092">
          <cell r="B1092" t="str">
            <v>Grapes</v>
          </cell>
          <cell r="C1092" t="str">
            <v>Fruit</v>
          </cell>
          <cell r="E1092">
            <v>200.92</v>
          </cell>
        </row>
        <row r="1093">
          <cell r="B1093" t="str">
            <v>Milk</v>
          </cell>
          <cell r="C1093" t="str">
            <v>Dairy</v>
          </cell>
          <cell r="E1093">
            <v>201.47</v>
          </cell>
        </row>
        <row r="1094">
          <cell r="B1094" t="str">
            <v>Spices (Mixed)</v>
          </cell>
          <cell r="C1094" t="str">
            <v>Condiment</v>
          </cell>
          <cell r="E1094">
            <v>920.87</v>
          </cell>
        </row>
        <row r="1095">
          <cell r="B1095" t="str">
            <v>Ghee</v>
          </cell>
          <cell r="C1095" t="str">
            <v>Oil</v>
          </cell>
          <cell r="E1095">
            <v>1043.5999999999999</v>
          </cell>
        </row>
        <row r="1096">
          <cell r="B1096" t="str">
            <v>Tea (Loose)</v>
          </cell>
          <cell r="C1096" t="str">
            <v>Beverage</v>
          </cell>
          <cell r="E1096">
            <v>928.38</v>
          </cell>
        </row>
        <row r="1097">
          <cell r="B1097" t="str">
            <v>Tomato</v>
          </cell>
          <cell r="C1097" t="str">
            <v>Vegetable</v>
          </cell>
          <cell r="E1097">
            <v>113.06</v>
          </cell>
        </row>
        <row r="1098">
          <cell r="B1098" t="str">
            <v>Sugar</v>
          </cell>
          <cell r="C1098" t="str">
            <v>Grain</v>
          </cell>
          <cell r="E1098">
            <v>112.63</v>
          </cell>
        </row>
        <row r="1099">
          <cell r="B1099" t="str">
            <v>Eggplant</v>
          </cell>
          <cell r="C1099" t="str">
            <v>Vegetable</v>
          </cell>
          <cell r="E1099">
            <v>74.989999999999995</v>
          </cell>
        </row>
        <row r="1100">
          <cell r="B1100" t="str">
            <v>Banana</v>
          </cell>
          <cell r="C1100" t="str">
            <v>Fruit</v>
          </cell>
          <cell r="E1100">
            <v>134.91999999999999</v>
          </cell>
        </row>
        <row r="1101">
          <cell r="B1101" t="str">
            <v>Ghee</v>
          </cell>
          <cell r="C1101" t="str">
            <v>Oil</v>
          </cell>
          <cell r="E1101">
            <v>1136.56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2" t="str">
            <v>Milk</v>
          </cell>
          <cell r="G2" t="str">
            <v>Dairy</v>
          </cell>
        </row>
        <row r="3">
          <cell r="B3" t="str">
            <v>Beef (Local)</v>
          </cell>
          <cell r="G3" t="str">
            <v>Meat</v>
          </cell>
        </row>
        <row r="4">
          <cell r="B4" t="str">
            <v>Mango</v>
          </cell>
          <cell r="G4" t="str">
            <v>Fruit</v>
          </cell>
        </row>
        <row r="5">
          <cell r="B5" t="str">
            <v>Flour (Atta)</v>
          </cell>
          <cell r="G5" t="str">
            <v>Grain</v>
          </cell>
        </row>
        <row r="6">
          <cell r="B6" t="str">
            <v>Tomato</v>
          </cell>
          <cell r="G6" t="str">
            <v>Vegetable</v>
          </cell>
        </row>
        <row r="7">
          <cell r="B7" t="str">
            <v>Fish (Pomfret)</v>
          </cell>
          <cell r="G7" t="str">
            <v>Oil</v>
          </cell>
        </row>
        <row r="8">
          <cell r="B8" t="str">
            <v>Ghee</v>
          </cell>
          <cell r="G8" t="str">
            <v>Condiment</v>
          </cell>
        </row>
        <row r="9">
          <cell r="B9" t="str">
            <v>Potato</v>
          </cell>
          <cell r="G9" t="str">
            <v>Pulses</v>
          </cell>
        </row>
        <row r="10">
          <cell r="B10" t="str">
            <v>Apple</v>
          </cell>
          <cell r="G10" t="str">
            <v>Beverage</v>
          </cell>
        </row>
        <row r="11">
          <cell r="B11" t="str">
            <v>Chicken Breast</v>
          </cell>
        </row>
        <row r="12">
          <cell r="B12" t="str">
            <v>Banana</v>
          </cell>
        </row>
        <row r="13">
          <cell r="B13" t="str">
            <v>Carrot</v>
          </cell>
        </row>
        <row r="14">
          <cell r="B14" t="str">
            <v>Cheese (Local)</v>
          </cell>
        </row>
        <row r="15">
          <cell r="B15" t="str">
            <v>Chicken (Whole)</v>
          </cell>
        </row>
        <row r="16">
          <cell r="B16" t="str">
            <v>Chickpeas</v>
          </cell>
        </row>
        <row r="17">
          <cell r="B17" t="str">
            <v>Cooking Oil (Sunflower)</v>
          </cell>
        </row>
        <row r="18">
          <cell r="B18" t="str">
            <v>Eggplant</v>
          </cell>
        </row>
        <row r="19">
          <cell r="B19" t="str">
            <v>Fish (Rohu)</v>
          </cell>
        </row>
        <row r="20">
          <cell r="B20" t="str">
            <v>Grapes</v>
          </cell>
        </row>
        <row r="21">
          <cell r="B21" t="str">
            <v>Guava</v>
          </cell>
        </row>
        <row r="22">
          <cell r="B22" t="str">
            <v>Lentils (Masoor)</v>
          </cell>
        </row>
        <row r="23">
          <cell r="B23" t="str">
            <v>Lentils (Moong)</v>
          </cell>
        </row>
        <row r="24">
          <cell r="B24" t="str">
            <v>Maize</v>
          </cell>
        </row>
        <row r="25">
          <cell r="B25" t="str">
            <v>Mutton</v>
          </cell>
        </row>
        <row r="26">
          <cell r="B26" t="str">
            <v>Onion</v>
          </cell>
        </row>
        <row r="27">
          <cell r="B27" t="str">
            <v>Oranges</v>
          </cell>
        </row>
        <row r="28">
          <cell r="B28" t="str">
            <v>Rice (Basmati)</v>
          </cell>
        </row>
        <row r="29">
          <cell r="B29" t="str">
            <v>Rice (Irri)</v>
          </cell>
        </row>
        <row r="30">
          <cell r="B30" t="str">
            <v>Salt</v>
          </cell>
        </row>
        <row r="31">
          <cell r="B31" t="str">
            <v>Spices (Mixed)</v>
          </cell>
        </row>
        <row r="32">
          <cell r="B32" t="str">
            <v>Spinach</v>
          </cell>
        </row>
        <row r="33">
          <cell r="B33" t="str">
            <v>Sugar</v>
          </cell>
        </row>
        <row r="34">
          <cell r="B34" t="str">
            <v>Tea (Loose)</v>
          </cell>
        </row>
        <row r="35">
          <cell r="B35" t="str">
            <v>Wheat</v>
          </cell>
        </row>
        <row r="36">
          <cell r="B36" t="str">
            <v>Yogurt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C20F-EED5-4BC3-B386-5CC96952C9DB}">
  <dimension ref="B1:J1036"/>
  <sheetViews>
    <sheetView tabSelected="1" workbookViewId="0">
      <selection activeCell="C20" sqref="C20"/>
    </sheetView>
  </sheetViews>
  <sheetFormatPr defaultColWidth="8.7265625" defaultRowHeight="17.5" x14ac:dyDescent="0.45"/>
  <cols>
    <col min="1" max="1" width="8.7265625" style="2"/>
    <col min="2" max="2" width="24.36328125" style="2" customWidth="1"/>
    <col min="3" max="3" width="14.7265625" style="2" customWidth="1"/>
    <col min="4" max="4" width="15.453125" style="2" customWidth="1"/>
    <col min="5" max="5" width="5.90625" style="7" customWidth="1"/>
    <col min="6" max="6" width="2.90625" style="2" customWidth="1"/>
    <col min="7" max="7" width="11.81640625" style="2" customWidth="1"/>
    <col min="8" max="8" width="14.7265625" style="2" customWidth="1"/>
    <col min="9" max="9" width="9.54296875" style="2" customWidth="1"/>
    <col min="10" max="10" width="6.08984375" style="2" customWidth="1"/>
    <col min="11" max="16384" width="8.7265625" style="2"/>
  </cols>
  <sheetData>
    <row r="1" spans="2:10" s="1" customFormat="1" ht="17.25" customHeight="1" x14ac:dyDescent="0.45"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I1" s="1" t="s">
        <v>6</v>
      </c>
      <c r="J1" s="1" t="s">
        <v>3</v>
      </c>
    </row>
    <row r="2" spans="2:10" ht="17.25" customHeight="1" x14ac:dyDescent="0.45">
      <c r="B2" s="2" t="s">
        <v>7</v>
      </c>
      <c r="C2" s="3">
        <f t="array" ref="C2">MEDIAN(IF([1]Pakistan_Food_Prices_Cleaned!$B$2:$B$1101='[1]Gap Analysis'!B2,[1]Pakistan_Food_Prices_Cleaned!$E$2:$E$1101))</f>
        <v>210.52</v>
      </c>
      <c r="D2" s="3">
        <f>AVERAGEIF([1]Pakistan_Food_Prices_Cleaned!B:B,'[1]Gap Analysis'!B2,[1]Pakistan_Food_Prices_Cleaned!E:E)</f>
        <v>206.78702702702708</v>
      </c>
      <c r="E2" s="4">
        <f t="shared" ref="E2:E36" si="0">(C2-D2)/C2</f>
        <v>1.7732153586229007E-2</v>
      </c>
      <c r="G2" s="2" t="s">
        <v>8</v>
      </c>
      <c r="H2" s="3">
        <f t="array" ref="H2">MEDIAN(IF([1]Pakistan_Food_Prices_Cleaned!$C$2:$C$1101='[1]Gap Analysis'!G2,[1]Pakistan_Food_Prices_Cleaned!$E$2:$E$1101))</f>
        <v>224.80500000000001</v>
      </c>
      <c r="I2" s="3">
        <f>AVERAGEIF([1]Pakistan_Food_Prices_Cleaned!C:C,'[1]Gap Analysis'!G2,[1]Pakistan_Food_Prices_Cleaned!E:E)</f>
        <v>413.80085106382978</v>
      </c>
      <c r="J2" s="5">
        <f t="shared" ref="J2:J10" si="1">(H2-I2)/H2</f>
        <v>-0.84071017576935458</v>
      </c>
    </row>
    <row r="3" spans="2:10" ht="17.25" customHeight="1" x14ac:dyDescent="0.45">
      <c r="B3" s="2" t="s">
        <v>9</v>
      </c>
      <c r="C3" s="3">
        <f t="array" ref="C3">MEDIAN(IF([1]Pakistan_Food_Prices_Cleaned!$B$2:$B$1101='[1]Gap Analysis'!B3,[1]Pakistan_Food_Prices_Cleaned!$E$2:$E$1101))</f>
        <v>914.04</v>
      </c>
      <c r="D3" s="3">
        <f>AVERAGEIF([1]Pakistan_Food_Prices_Cleaned!B:B,'[1]Gap Analysis'!B3,[1]Pakistan_Food_Prices_Cleaned!E:E)</f>
        <v>920.12567567567555</v>
      </c>
      <c r="E3" s="4">
        <f t="shared" si="0"/>
        <v>-6.6579971069926792E-3</v>
      </c>
      <c r="G3" s="2" t="s">
        <v>10</v>
      </c>
      <c r="H3" s="3">
        <f t="array" ref="H3">MEDIAN(IF([1]Pakistan_Food_Prices_Cleaned!$C$2:$C$1101='[1]Gap Analysis'!G3,[1]Pakistan_Food_Prices_Cleaned!$E$2:$E$1101))</f>
        <v>795.95499999999993</v>
      </c>
      <c r="I3" s="3">
        <f>AVERAGEIF([1]Pakistan_Food_Prices_Cleaned!C:C,'[1]Gap Analysis'!G3,[1]Pakistan_Food_Prices_Cleaned!E:E)</f>
        <v>847.79511494252881</v>
      </c>
      <c r="J3" s="5">
        <f t="shared" si="1"/>
        <v>-6.5129454482387689E-2</v>
      </c>
    </row>
    <row r="4" spans="2:10" ht="17.25" customHeight="1" x14ac:dyDescent="0.45">
      <c r="B4" s="2" t="s">
        <v>11</v>
      </c>
      <c r="C4" s="3">
        <f t="array" ref="C4">MEDIAN(IF([1]Pakistan_Food_Prices_Cleaned!$B$2:$B$1101='[1]Gap Analysis'!B4,[1]Pakistan_Food_Prices_Cleaned!$E$2:$E$1101))</f>
        <v>255.4</v>
      </c>
      <c r="D4" s="3">
        <f>AVERAGEIF([1]Pakistan_Food_Prices_Cleaned!B:B,'[1]Gap Analysis'!B4,[1]Pakistan_Food_Prices_Cleaned!E:E)</f>
        <v>257.40029411764709</v>
      </c>
      <c r="E4" s="4">
        <f t="shared" si="0"/>
        <v>-7.8320051591506921E-3</v>
      </c>
      <c r="G4" s="2" t="s">
        <v>12</v>
      </c>
      <c r="H4" s="3">
        <f t="array" ref="H4">MEDIAN(IF([1]Pakistan_Food_Prices_Cleaned!$C$2:$C$1101='[1]Gap Analysis'!G4,[1]Pakistan_Food_Prices_Cleaned!$E$2:$E$1101))</f>
        <v>182.98500000000001</v>
      </c>
      <c r="I4" s="3">
        <f>AVERAGEIF([1]Pakistan_Food_Prices_Cleaned!C:C,'[1]Gap Analysis'!G4,[1]Pakistan_Food_Prices_Cleaned!E:E)</f>
        <v>185.61826086956526</v>
      </c>
      <c r="J4" s="5">
        <f t="shared" si="1"/>
        <v>-1.4390583214827708E-2</v>
      </c>
    </row>
    <row r="5" spans="2:10" ht="17.25" customHeight="1" x14ac:dyDescent="0.45">
      <c r="B5" s="2" t="s">
        <v>13</v>
      </c>
      <c r="C5" s="3">
        <f t="array" ref="C5">MEDIAN(IF([1]Pakistan_Food_Prices_Cleaned!$B$2:$B$1101='[1]Gap Analysis'!B5,[1]Pakistan_Food_Prices_Cleaned!$E$2:$E$1101))</f>
        <v>111.53999999999999</v>
      </c>
      <c r="D5" s="3">
        <f>AVERAGEIF([1]Pakistan_Food_Prices_Cleaned!B:B,'[1]Gap Analysis'!B5,[1]Pakistan_Food_Prices_Cleaned!E:E)</f>
        <v>113.26108695652174</v>
      </c>
      <c r="E5" s="4">
        <f t="shared" si="0"/>
        <v>-1.5430221951961136E-2</v>
      </c>
      <c r="G5" s="2" t="s">
        <v>14</v>
      </c>
      <c r="H5" s="3">
        <f t="array" ref="H5">MEDIAN(IF([1]Pakistan_Food_Prices_Cleaned!$C$2:$C$1101='[1]Gap Analysis'!G5,[1]Pakistan_Food_Prices_Cleaned!$E$2:$E$1101))</f>
        <v>120.15</v>
      </c>
      <c r="I5" s="3">
        <f>AVERAGEIF([1]Pakistan_Food_Prices_Cleaned!C:C,'[1]Gap Analysis'!G5,[1]Pakistan_Food_Prices_Cleaned!E:E)</f>
        <v>141.90622222222214</v>
      </c>
      <c r="J5" s="5">
        <f t="shared" si="1"/>
        <v>-0.18107550746751672</v>
      </c>
    </row>
    <row r="6" spans="2:10" ht="17.25" customHeight="1" x14ac:dyDescent="0.45">
      <c r="B6" s="2" t="s">
        <v>15</v>
      </c>
      <c r="C6" s="3">
        <f t="array" ref="C6">MEDIAN(IF([1]Pakistan_Food_Prices_Cleaned!$B$2:$B$1101='[1]Gap Analysis'!B6,[1]Pakistan_Food_Prices_Cleaned!$E$2:$E$1101))</f>
        <v>123.91499999999999</v>
      </c>
      <c r="D6" s="3">
        <f>AVERAGEIF([1]Pakistan_Food_Prices_Cleaned!B:B,'[1]Gap Analysis'!B6,[1]Pakistan_Food_Prices_Cleaned!E:E)</f>
        <v>123.43305555555558</v>
      </c>
      <c r="E6" s="4">
        <f t="shared" si="0"/>
        <v>3.8893148080894869E-3</v>
      </c>
      <c r="G6" s="2" t="s">
        <v>16</v>
      </c>
      <c r="H6" s="3">
        <f t="array" ref="H6">MEDIAN(IF([1]Pakistan_Food_Prices_Cleaned!$C$2:$C$1101='[1]Gap Analysis'!G6,[1]Pakistan_Food_Prices_Cleaned!$E$2:$E$1101))</f>
        <v>85.04</v>
      </c>
      <c r="I6" s="3">
        <f>AVERAGEIF([1]Pakistan_Food_Prices_Cleaned!C:C,'[1]Gap Analysis'!G6,[1]Pakistan_Food_Prices_Cleaned!E:E)</f>
        <v>94.944502617801049</v>
      </c>
      <c r="J6" s="5">
        <f t="shared" si="1"/>
        <v>-0.11646875138524274</v>
      </c>
    </row>
    <row r="7" spans="2:10" ht="17.25" customHeight="1" x14ac:dyDescent="0.45">
      <c r="B7" s="2" t="s">
        <v>17</v>
      </c>
      <c r="C7" s="3">
        <f t="array" ref="C7">MEDIAN(IF([1]Pakistan_Food_Prices_Cleaned!$B$2:$B$1101='[1]Gap Analysis'!B7,[1]Pakistan_Food_Prices_Cleaned!$E$2:$E$1101))</f>
        <v>1111.9099999999999</v>
      </c>
      <c r="D7" s="3">
        <f>AVERAGEIF([1]Pakistan_Food_Prices_Cleaned!B:B,'[1]Gap Analysis'!B7,[1]Pakistan_Food_Prices_Cleaned!E:E)</f>
        <v>1113.4854166666667</v>
      </c>
      <c r="E7" s="4">
        <f t="shared" si="0"/>
        <v>-1.416856280334557E-3</v>
      </c>
      <c r="G7" s="2" t="s">
        <v>18</v>
      </c>
      <c r="H7" s="3">
        <f t="array" ref="H7">MEDIAN(IF([1]Pakistan_Food_Prices_Cleaned!$C$2:$C$1101='[1]Gap Analysis'!G7,[1]Pakistan_Food_Prices_Cleaned!$E$2:$E$1101))</f>
        <v>901.3</v>
      </c>
      <c r="I7" s="3">
        <f>AVERAGEIF([1]Pakistan_Food_Prices_Cleaned!C:C,'[1]Gap Analysis'!G7,[1]Pakistan_Food_Prices_Cleaned!E:E)</f>
        <v>721.65015384615401</v>
      </c>
      <c r="J7" s="5">
        <f t="shared" si="1"/>
        <v>0.19932302912886493</v>
      </c>
    </row>
    <row r="8" spans="2:10" ht="17.25" customHeight="1" x14ac:dyDescent="0.45">
      <c r="B8" s="2" t="s">
        <v>19</v>
      </c>
      <c r="C8" s="3">
        <f t="array" ref="C8">MEDIAN(IF([1]Pakistan_Food_Prices_Cleaned!$B$2:$B$1101='[1]Gap Analysis'!B8,[1]Pakistan_Food_Prices_Cleaned!$E$2:$E$1101))</f>
        <v>1018.51</v>
      </c>
      <c r="D8" s="3">
        <f>AVERAGEIF([1]Pakistan_Food_Prices_Cleaned!B:B,'[1]Gap Analysis'!B8,[1]Pakistan_Food_Prices_Cleaned!E:E)</f>
        <v>1024.1451428571424</v>
      </c>
      <c r="E8" s="4">
        <f t="shared" si="0"/>
        <v>-5.5327319880437648E-3</v>
      </c>
      <c r="G8" s="2" t="s">
        <v>20</v>
      </c>
      <c r="H8" s="3">
        <f t="array" ref="H8">MEDIAN(IF([1]Pakistan_Food_Prices_Cleaned!$C$2:$C$1101='[1]Gap Analysis'!G8,[1]Pakistan_Food_Prices_Cleaned!$E$2:$E$1101))</f>
        <v>712.38</v>
      </c>
      <c r="I8" s="3">
        <f>AVERAGEIF([1]Pakistan_Food_Prices_Cleaned!C:C,'[1]Gap Analysis'!G8,[1]Pakistan_Food_Prices_Cleaned!E:E)</f>
        <v>450.66322580645169</v>
      </c>
      <c r="J8" s="5">
        <f t="shared" si="1"/>
        <v>0.36738366348514601</v>
      </c>
    </row>
    <row r="9" spans="2:10" ht="17.25" customHeight="1" x14ac:dyDescent="0.45">
      <c r="B9" s="2" t="s">
        <v>21</v>
      </c>
      <c r="C9" s="3">
        <f t="array" ref="C9">MEDIAN(IF([1]Pakistan_Food_Prices_Cleaned!$B$2:$B$1101='[1]Gap Analysis'!B9,[1]Pakistan_Food_Prices_Cleaned!$E$2:$E$1101))</f>
        <v>69.349999999999994</v>
      </c>
      <c r="D9" s="3">
        <f>AVERAGEIF([1]Pakistan_Food_Prices_Cleaned!B:B,'[1]Gap Analysis'!B9,[1]Pakistan_Food_Prices_Cleaned!E:E)</f>
        <v>70.278611111111118</v>
      </c>
      <c r="E9" s="4">
        <f t="shared" si="0"/>
        <v>-1.3390210686533871E-2</v>
      </c>
      <c r="G9" s="2" t="s">
        <v>22</v>
      </c>
      <c r="H9" s="3">
        <f t="array" ref="H9">MEDIAN(IF([1]Pakistan_Food_Prices_Cleaned!$C$2:$C$1101='[1]Gap Analysis'!G9,[1]Pakistan_Food_Prices_Cleaned!$E$2:$E$1101))</f>
        <v>256.05500000000001</v>
      </c>
      <c r="I9" s="3">
        <f>AVERAGEIF([1]Pakistan_Food_Prices_Cleaned!C:C,'[1]Gap Analysis'!G9,[1]Pakistan_Food_Prices_Cleaned!E:E)</f>
        <v>256.56627450980397</v>
      </c>
      <c r="J9" s="5">
        <f t="shared" si="1"/>
        <v>-1.9967370674424173E-3</v>
      </c>
    </row>
    <row r="10" spans="2:10" ht="17.25" customHeight="1" x14ac:dyDescent="0.45">
      <c r="B10" s="2" t="s">
        <v>23</v>
      </c>
      <c r="C10" s="3">
        <f t="array" ref="C10">MEDIAN(IF([1]Pakistan_Food_Prices_Cleaned!$B$2:$B$1101='[1]Gap Analysis'!B10,[1]Pakistan_Food_Prices_Cleaned!$E$2:$E$1101))</f>
        <v>206.64</v>
      </c>
      <c r="D10" s="3">
        <f>AVERAGEIF([1]Pakistan_Food_Prices_Cleaned!B:B,'[1]Gap Analysis'!B10,[1]Pakistan_Food_Prices_Cleaned!E:E)</f>
        <v>206.14838709677423</v>
      </c>
      <c r="E10" s="4">
        <f t="shared" si="0"/>
        <v>2.3790790903298357E-3</v>
      </c>
      <c r="G10" s="2" t="s">
        <v>24</v>
      </c>
      <c r="H10" s="3">
        <f t="array" ref="H10">MEDIAN(IF([1]Pakistan_Food_Prices_Cleaned!$C$2:$C$1101='[1]Gap Analysis'!G10,[1]Pakistan_Food_Prices_Cleaned!$E$2:$E$1101))</f>
        <v>907.97</v>
      </c>
      <c r="I10" s="3">
        <f>AVERAGEIF([1]Pakistan_Food_Prices_Cleaned!C:C,'[1]Gap Analysis'!G10,[1]Pakistan_Food_Prices_Cleaned!E:E)</f>
        <v>911.5772916666665</v>
      </c>
      <c r="J10" s="5">
        <f t="shared" si="1"/>
        <v>-3.9729194430063435E-3</v>
      </c>
    </row>
    <row r="11" spans="2:10" ht="17.25" customHeight="1" x14ac:dyDescent="0.45">
      <c r="B11" s="2" t="s">
        <v>25</v>
      </c>
      <c r="C11" s="3">
        <f t="array" ref="C11">MEDIAN(IF([1]Pakistan_Food_Prices_Cleaned!$B$2:$B$1101='[1]Gap Analysis'!B11,[1]Pakistan_Food_Prices_Cleaned!$E$2:$E$1101))</f>
        <v>666.04</v>
      </c>
      <c r="D11" s="3">
        <f>AVERAGEIF([1]Pakistan_Food_Prices_Cleaned!B:B,'[1]Gap Analysis'!B11,[1]Pakistan_Food_Prices_Cleaned!E:E)</f>
        <v>673.04079999999988</v>
      </c>
      <c r="E11" s="4">
        <f t="shared" si="0"/>
        <v>-1.0511080415590525E-2</v>
      </c>
    </row>
    <row r="12" spans="2:10" ht="17.25" customHeight="1" x14ac:dyDescent="0.45">
      <c r="B12" s="2" t="s">
        <v>26</v>
      </c>
      <c r="C12" s="3">
        <f t="array" ref="C12">MEDIAN(IF([1]Pakistan_Food_Prices_Cleaned!$B$2:$B$1101='[1]Gap Analysis'!B12,[1]Pakistan_Food_Prices_Cleaned!$E$2:$E$1101))</f>
        <v>121.71</v>
      </c>
      <c r="D12" s="3">
        <f>AVERAGEIF([1]Pakistan_Food_Prices_Cleaned!B:B,'[1]Gap Analysis'!B12,[1]Pakistan_Food_Prices_Cleaned!E:E)</f>
        <v>121.60903225806452</v>
      </c>
      <c r="E12" s="4">
        <f t="shared" si="0"/>
        <v>8.2957638596234753E-4</v>
      </c>
    </row>
    <row r="13" spans="2:10" ht="17.25" customHeight="1" x14ac:dyDescent="0.45">
      <c r="B13" s="2" t="s">
        <v>27</v>
      </c>
      <c r="C13" s="3">
        <f t="array" ref="C13">MEDIAN(IF([1]Pakistan_Food_Prices_Cleaned!$B$2:$B$1101='[1]Gap Analysis'!B13,[1]Pakistan_Food_Prices_Cleaned!$E$2:$E$1101))</f>
        <v>142.84</v>
      </c>
      <c r="D13" s="3">
        <f>AVERAGEIF([1]Pakistan_Food_Prices_Cleaned!B:B,'[1]Gap Analysis'!B13,[1]Pakistan_Food_Prices_Cleaned!E:E)</f>
        <v>141.74161290322584</v>
      </c>
      <c r="E13" s="4">
        <f t="shared" si="0"/>
        <v>7.6896324333111232E-3</v>
      </c>
    </row>
    <row r="14" spans="2:10" ht="17.25" customHeight="1" x14ac:dyDescent="0.45">
      <c r="B14" s="2" t="s">
        <v>28</v>
      </c>
      <c r="C14" s="3">
        <f t="array" ref="C14">MEDIAN(IF([1]Pakistan_Food_Prices_Cleaned!$B$2:$B$1101='[1]Gap Analysis'!B14,[1]Pakistan_Food_Prices_Cleaned!$E$2:$E$1101))</f>
        <v>884.36</v>
      </c>
      <c r="D14" s="3">
        <f>AVERAGEIF([1]Pakistan_Food_Prices_Cleaned!B:B,'[1]Gap Analysis'!B14,[1]Pakistan_Food_Prices_Cleaned!E:E)</f>
        <v>905.6025925925926</v>
      </c>
      <c r="E14" s="4">
        <f t="shared" si="0"/>
        <v>-2.4020300095654017E-2</v>
      </c>
    </row>
    <row r="15" spans="2:10" ht="17.25" customHeight="1" x14ac:dyDescent="0.45">
      <c r="B15" s="2" t="s">
        <v>29</v>
      </c>
      <c r="C15" s="3">
        <f t="array" ref="C15">MEDIAN(IF([1]Pakistan_Food_Prices_Cleaned!$B$2:$B$1101='[1]Gap Analysis'!B15,[1]Pakistan_Food_Prices_Cleaned!$E$2:$E$1101))</f>
        <v>532.95000000000005</v>
      </c>
      <c r="D15" s="3">
        <f>AVERAGEIF([1]Pakistan_Food_Prices_Cleaned!B:B,'[1]Gap Analysis'!B15,[1]Pakistan_Food_Prices_Cleaned!E:E)</f>
        <v>533.4588235294118</v>
      </c>
      <c r="E15" s="4">
        <f t="shared" si="0"/>
        <v>-9.5473033007178283E-4</v>
      </c>
    </row>
    <row r="16" spans="2:10" ht="17.25" customHeight="1" x14ac:dyDescent="0.45">
      <c r="B16" s="2" t="s">
        <v>30</v>
      </c>
      <c r="C16" s="3">
        <f t="array" ref="C16">MEDIAN(IF([1]Pakistan_Food_Prices_Cleaned!$B$2:$B$1101='[1]Gap Analysis'!B16,[1]Pakistan_Food_Prices_Cleaned!$E$2:$E$1101))</f>
        <v>205.12</v>
      </c>
      <c r="D16" s="3">
        <f>AVERAGEIF([1]Pakistan_Food_Prices_Cleaned!B:B,'[1]Gap Analysis'!B16,[1]Pakistan_Food_Prices_Cleaned!E:E)</f>
        <v>203.25225806451613</v>
      </c>
      <c r="E16" s="4">
        <f t="shared" si="0"/>
        <v>9.105606159730292E-3</v>
      </c>
    </row>
    <row r="17" spans="2:5" ht="17.25" customHeight="1" x14ac:dyDescent="0.45">
      <c r="B17" s="2" t="s">
        <v>31</v>
      </c>
      <c r="C17" s="3">
        <f t="array" ref="C17">MEDIAN(IF([1]Pakistan_Food_Prices_Cleaned!$B$2:$B$1101='[1]Gap Analysis'!B17,[1]Pakistan_Food_Prices_Cleaned!$E$2:$E$1101))</f>
        <v>365.47500000000002</v>
      </c>
      <c r="D17" s="3">
        <f>AVERAGEIF([1]Pakistan_Food_Prices_Cleaned!B:B,'[1]Gap Analysis'!B17,[1]Pakistan_Food_Prices_Cleaned!E:E)</f>
        <v>368.73933333333326</v>
      </c>
      <c r="E17" s="4">
        <f t="shared" si="0"/>
        <v>-8.9317554780306199E-3</v>
      </c>
    </row>
    <row r="18" spans="2:5" ht="17.25" customHeight="1" x14ac:dyDescent="0.45">
      <c r="B18" s="2" t="s">
        <v>32</v>
      </c>
      <c r="C18" s="3">
        <f t="array" ref="C18">MEDIAN(IF([1]Pakistan_Food_Prices_Cleaned!$B$2:$B$1101='[1]Gap Analysis'!B18,[1]Pakistan_Food_Prices_Cleaned!$E$2:$E$1101))</f>
        <v>82.055000000000007</v>
      </c>
      <c r="D18" s="3">
        <f>AVERAGEIF([1]Pakistan_Food_Prices_Cleaned!B:B,'[1]Gap Analysis'!B18,[1]Pakistan_Food_Prices_Cleaned!E:E)</f>
        <v>81.934666666666672</v>
      </c>
      <c r="E18" s="4">
        <f t="shared" si="0"/>
        <v>1.4664960493977787E-3</v>
      </c>
    </row>
    <row r="19" spans="2:5" ht="17.25" customHeight="1" x14ac:dyDescent="0.45">
      <c r="B19" s="2" t="s">
        <v>33</v>
      </c>
      <c r="C19" s="3">
        <f t="array" ref="C19">MEDIAN(IF([1]Pakistan_Food_Prices_Cleaned!$B$2:$B$1101='[1]Gap Analysis'!B19,[1]Pakistan_Food_Prices_Cleaned!$E$2:$E$1101))</f>
        <v>720.63</v>
      </c>
      <c r="D19" s="3">
        <f>AVERAGEIF([1]Pakistan_Food_Prices_Cleaned!B:B,'[1]Gap Analysis'!B19,[1]Pakistan_Food_Prices_Cleaned!E:E)</f>
        <v>720.27689655172423</v>
      </c>
      <c r="E19" s="4">
        <f t="shared" si="0"/>
        <v>4.8999271231528029E-4</v>
      </c>
    </row>
    <row r="20" spans="2:5" ht="17.25" customHeight="1" x14ac:dyDescent="0.45">
      <c r="B20" s="2" t="s">
        <v>34</v>
      </c>
      <c r="C20" s="3">
        <f t="array" ref="C20">MEDIAN(IF([1]Pakistan_Food_Prices_Cleaned!$B$2:$B$1101='[1]Gap Analysis'!B20,[1]Pakistan_Food_Prices_Cleaned!$E$2:$E$1101))</f>
        <v>227.86</v>
      </c>
      <c r="D20" s="3">
        <f>AVERAGEIF([1]Pakistan_Food_Prices_Cleaned!B:B,'[1]Gap Analysis'!B20,[1]Pakistan_Food_Prices_Cleaned!E:E)</f>
        <v>226.566129032258</v>
      </c>
      <c r="E20" s="4">
        <f t="shared" si="0"/>
        <v>5.6783593774335523E-3</v>
      </c>
    </row>
    <row r="21" spans="2:5" ht="17.25" customHeight="1" x14ac:dyDescent="0.45">
      <c r="B21" s="2" t="s">
        <v>35</v>
      </c>
      <c r="C21" s="3">
        <f t="array" ref="C21">MEDIAN(IF([1]Pakistan_Food_Prices_Cleaned!$B$2:$B$1101='[1]Gap Analysis'!B21,[1]Pakistan_Food_Prices_Cleaned!$E$2:$E$1101))</f>
        <v>131.05000000000001</v>
      </c>
      <c r="D21" s="3">
        <f>AVERAGEIF([1]Pakistan_Food_Prices_Cleaned!B:B,'[1]Gap Analysis'!B21,[1]Pakistan_Food_Prices_Cleaned!E:E)</f>
        <v>132.90272727272728</v>
      </c>
      <c r="E21" s="4">
        <f t="shared" si="0"/>
        <v>-1.413756026499248E-2</v>
      </c>
    </row>
    <row r="22" spans="2:5" ht="17.25" customHeight="1" x14ac:dyDescent="0.45">
      <c r="B22" s="2" t="s">
        <v>36</v>
      </c>
      <c r="C22" s="3">
        <f t="array" ref="C22">MEDIAN(IF([1]Pakistan_Food_Prices_Cleaned!$B$2:$B$1101='[1]Gap Analysis'!B22,[1]Pakistan_Food_Prices_Cleaned!$E$2:$E$1101))</f>
        <v>244.11</v>
      </c>
      <c r="D22" s="3">
        <f>AVERAGEIF([1]Pakistan_Food_Prices_Cleaned!B:B,'[1]Gap Analysis'!B22,[1]Pakistan_Food_Prices_Cleaned!E:E)</f>
        <v>249.29749999999999</v>
      </c>
      <c r="E22" s="4">
        <f t="shared" si="0"/>
        <v>-2.1250665683503221E-2</v>
      </c>
    </row>
    <row r="23" spans="2:5" ht="17.25" customHeight="1" x14ac:dyDescent="0.45">
      <c r="B23" s="2" t="s">
        <v>37</v>
      </c>
      <c r="C23" s="3">
        <f t="array" ref="C23">MEDIAN(IF([1]Pakistan_Food_Prices_Cleaned!$B$2:$B$1101='[1]Gap Analysis'!B23,[1]Pakistan_Food_Prices_Cleaned!$E$2:$E$1101))</f>
        <v>301.52</v>
      </c>
      <c r="D23" s="3">
        <f>AVERAGEIF([1]Pakistan_Food_Prices_Cleaned!B:B,'[1]Gap Analysis'!B23,[1]Pakistan_Food_Prices_Cleaned!E:E)</f>
        <v>304.90820512820511</v>
      </c>
      <c r="E23" s="4">
        <f t="shared" si="0"/>
        <v>-1.1237082542468592E-2</v>
      </c>
    </row>
    <row r="24" spans="2:5" ht="17.25" customHeight="1" x14ac:dyDescent="0.45">
      <c r="B24" s="2" t="s">
        <v>38</v>
      </c>
      <c r="C24" s="3">
        <f t="array" ref="C24">MEDIAN(IF([1]Pakistan_Food_Prices_Cleaned!$B$2:$B$1101='[1]Gap Analysis'!B24,[1]Pakistan_Food_Prices_Cleaned!$E$2:$E$1101))</f>
        <v>104.015</v>
      </c>
      <c r="D24" s="3">
        <f>AVERAGEIF([1]Pakistan_Food_Prices_Cleaned!B:B,'[1]Gap Analysis'!B24,[1]Pakistan_Food_Prices_Cleaned!E:E)</f>
        <v>102.25285714285715</v>
      </c>
      <c r="E24" s="4">
        <f t="shared" si="0"/>
        <v>1.6941237870911389E-2</v>
      </c>
    </row>
    <row r="25" spans="2:5" ht="17.25" customHeight="1" x14ac:dyDescent="0.45">
      <c r="B25" s="2" t="s">
        <v>39</v>
      </c>
      <c r="C25" s="3">
        <f t="array" ref="C25">MEDIAN(IF([1]Pakistan_Food_Prices_Cleaned!$B$2:$B$1101='[1]Gap Analysis'!B25,[1]Pakistan_Food_Prices_Cleaned!$E$2:$E$1101))</f>
        <v>1267.76</v>
      </c>
      <c r="D25" s="3">
        <f>AVERAGEIF([1]Pakistan_Food_Prices_Cleaned!B:B,'[1]Gap Analysis'!B25,[1]Pakistan_Food_Prices_Cleaned!E:E)</f>
        <v>1235.856</v>
      </c>
      <c r="E25" s="4">
        <f t="shared" si="0"/>
        <v>2.5165646494604656E-2</v>
      </c>
    </row>
    <row r="26" spans="2:5" ht="17.25" customHeight="1" x14ac:dyDescent="0.45">
      <c r="B26" s="2" t="s">
        <v>40</v>
      </c>
      <c r="C26" s="3">
        <f t="array" ref="C26">MEDIAN(IF([1]Pakistan_Food_Prices_Cleaned!$B$2:$B$1101='[1]Gap Analysis'!B26,[1]Pakistan_Food_Prices_Cleaned!$E$2:$E$1101))</f>
        <v>91.03</v>
      </c>
      <c r="D26" s="3">
        <f>AVERAGEIF([1]Pakistan_Food_Prices_Cleaned!B:B,'[1]Gap Analysis'!B26,[1]Pakistan_Food_Prices_Cleaned!E:E)</f>
        <v>90.269599999999997</v>
      </c>
      <c r="E26" s="4">
        <f t="shared" si="0"/>
        <v>8.3532901241349464E-3</v>
      </c>
    </row>
    <row r="27" spans="2:5" ht="17.25" customHeight="1" x14ac:dyDescent="0.45">
      <c r="B27" s="2" t="s">
        <v>41</v>
      </c>
      <c r="C27" s="3">
        <f t="array" ref="C27">MEDIAN(IF([1]Pakistan_Food_Prices_Cleaned!$B$2:$B$1101='[1]Gap Analysis'!B27,[1]Pakistan_Food_Prices_Cleaned!$E$2:$E$1101))</f>
        <v>151.78</v>
      </c>
      <c r="D27" s="3">
        <f>AVERAGEIF([1]Pakistan_Food_Prices_Cleaned!B:B,'[1]Gap Analysis'!B27,[1]Pakistan_Food_Prices_Cleaned!E:E)</f>
        <v>151.26457142857143</v>
      </c>
      <c r="E27" s="4">
        <f t="shared" si="0"/>
        <v>3.3958925512489919E-3</v>
      </c>
    </row>
    <row r="28" spans="2:5" ht="17.25" customHeight="1" x14ac:dyDescent="0.45">
      <c r="B28" s="2" t="s">
        <v>42</v>
      </c>
      <c r="C28" s="3">
        <f t="array" ref="C28">MEDIAN(IF([1]Pakistan_Food_Prices_Cleaned!$B$2:$B$1101='[1]Gap Analysis'!B28,[1]Pakistan_Food_Prices_Cleaned!$E$2:$E$1101))</f>
        <v>313.64499999999998</v>
      </c>
      <c r="D28" s="3">
        <f>AVERAGEIF([1]Pakistan_Food_Prices_Cleaned!B:B,'[1]Gap Analysis'!B28,[1]Pakistan_Food_Prices_Cleaned!E:E)</f>
        <v>309.01727272727271</v>
      </c>
      <c r="E28" s="4">
        <f t="shared" si="0"/>
        <v>1.4754666175858919E-2</v>
      </c>
    </row>
    <row r="29" spans="2:5" ht="17.25" customHeight="1" x14ac:dyDescent="0.45">
      <c r="B29" s="2" t="s">
        <v>43</v>
      </c>
      <c r="C29" s="3">
        <f t="array" ref="C29">MEDIAN(IF([1]Pakistan_Food_Prices_Cleaned!$B$2:$B$1101='[1]Gap Analysis'!B29,[1]Pakistan_Food_Prices_Cleaned!$E$2:$E$1101))</f>
        <v>143.31</v>
      </c>
      <c r="D29" s="3">
        <f>AVERAGEIF([1]Pakistan_Food_Prices_Cleaned!B:B,'[1]Gap Analysis'!B29,[1]Pakistan_Food_Prices_Cleaned!E:E)</f>
        <v>140.29840000000002</v>
      </c>
      <c r="E29" s="4">
        <f t="shared" si="0"/>
        <v>2.101458376945075E-2</v>
      </c>
    </row>
    <row r="30" spans="2:5" ht="17.25" customHeight="1" x14ac:dyDescent="0.45">
      <c r="B30" s="2" t="s">
        <v>44</v>
      </c>
      <c r="C30" s="3">
        <f t="array" ref="C30">MEDIAN(IF([1]Pakistan_Food_Prices_Cleaned!$B$2:$B$1101='[1]Gap Analysis'!B30,[1]Pakistan_Food_Prices_Cleaned!$E$2:$E$1101))</f>
        <v>40.369999999999997</v>
      </c>
      <c r="D30" s="3">
        <f>AVERAGEIF([1]Pakistan_Food_Prices_Cleaned!B:B,'[1]Gap Analysis'!B30,[1]Pakistan_Food_Prices_Cleaned!E:E)</f>
        <v>40.881379310344826</v>
      </c>
      <c r="E30" s="4">
        <f t="shared" si="0"/>
        <v>-1.2667310139827317E-2</v>
      </c>
    </row>
    <row r="31" spans="2:5" ht="17.25" customHeight="1" x14ac:dyDescent="0.45">
      <c r="B31" s="2" t="s">
        <v>45</v>
      </c>
      <c r="C31" s="3">
        <f t="array" ref="C31">MEDIAN(IF([1]Pakistan_Food_Prices_Cleaned!$B$2:$B$1101='[1]Gap Analysis'!B31,[1]Pakistan_Food_Prices_Cleaned!$E$2:$E$1101))</f>
        <v>813.93</v>
      </c>
      <c r="D31" s="3">
        <f>AVERAGEIF([1]Pakistan_Food_Prices_Cleaned!B:B,'[1]Gap Analysis'!B31,[1]Pakistan_Food_Prices_Cleaned!E:E)</f>
        <v>810.77454545454566</v>
      </c>
      <c r="E31" s="4">
        <f t="shared" si="0"/>
        <v>3.8768131724525334E-3</v>
      </c>
    </row>
    <row r="32" spans="2:5" ht="17.25" customHeight="1" x14ac:dyDescent="0.45">
      <c r="B32" s="2" t="s">
        <v>46</v>
      </c>
      <c r="C32" s="3">
        <f t="array" ref="C32">MEDIAN(IF([1]Pakistan_Food_Prices_Cleaned!$B$2:$B$1101='[1]Gap Analysis'!B32,[1]Pakistan_Food_Prices_Cleaned!$E$2:$E$1101))</f>
        <v>62.79</v>
      </c>
      <c r="D32" s="3">
        <f>AVERAGEIF([1]Pakistan_Food_Prices_Cleaned!B:B,'[1]Gap Analysis'!B32,[1]Pakistan_Food_Prices_Cleaned!E:E)</f>
        <v>62.182121212121217</v>
      </c>
      <c r="E32" s="4">
        <f t="shared" si="0"/>
        <v>9.6811401159226339E-3</v>
      </c>
    </row>
    <row r="33" spans="2:5" ht="17.25" customHeight="1" x14ac:dyDescent="0.45">
      <c r="B33" s="2" t="s">
        <v>47</v>
      </c>
      <c r="C33" s="3">
        <f t="array" ref="C33">MEDIAN(IF([1]Pakistan_Food_Prices_Cleaned!$B$2:$B$1101='[1]Gap Analysis'!B33,[1]Pakistan_Food_Prices_Cleaned!$E$2:$E$1101))</f>
        <v>120.82</v>
      </c>
      <c r="D33" s="3">
        <f>AVERAGEIF([1]Pakistan_Food_Prices_Cleaned!B:B,'[1]Gap Analysis'!B33,[1]Pakistan_Food_Prices_Cleaned!E:E)</f>
        <v>122.0377142857143</v>
      </c>
      <c r="E33" s="4">
        <f t="shared" si="0"/>
        <v>-1.0078747605647313E-2</v>
      </c>
    </row>
    <row r="34" spans="2:5" ht="17.25" customHeight="1" x14ac:dyDescent="0.45">
      <c r="B34" s="2" t="s">
        <v>48</v>
      </c>
      <c r="C34" s="3">
        <f t="array" ref="C34">MEDIAN(IF([1]Pakistan_Food_Prices_Cleaned!$B$2:$B$1101='[1]Gap Analysis'!B34,[1]Pakistan_Food_Prices_Cleaned!$E$2:$E$1101))</f>
        <v>907.97</v>
      </c>
      <c r="D34" s="3">
        <f>AVERAGEIF([1]Pakistan_Food_Prices_Cleaned!B:B,'[1]Gap Analysis'!B34,[1]Pakistan_Food_Prices_Cleaned!E:E)</f>
        <v>911.5772916666665</v>
      </c>
      <c r="E34" s="4">
        <f t="shared" si="0"/>
        <v>-3.9729194430063435E-3</v>
      </c>
    </row>
    <row r="35" spans="2:5" ht="17.25" customHeight="1" x14ac:dyDescent="0.45">
      <c r="B35" s="2" t="s">
        <v>49</v>
      </c>
      <c r="C35" s="3">
        <f t="array" ref="C35">MEDIAN(IF([1]Pakistan_Food_Prices_Cleaned!$B$2:$B$1101='[1]Gap Analysis'!B35,[1]Pakistan_Food_Prices_Cleaned!$E$2:$E$1101))</f>
        <v>118.795</v>
      </c>
      <c r="D35" s="3">
        <f>AVERAGEIF([1]Pakistan_Food_Prices_Cleaned!B:B,'[1]Gap Analysis'!B35,[1]Pakistan_Food_Prices_Cleaned!E:E)</f>
        <v>120.53625</v>
      </c>
      <c r="E35" s="4">
        <f t="shared" si="0"/>
        <v>-1.465760343448793E-2</v>
      </c>
    </row>
    <row r="36" spans="2:5" ht="17.25" customHeight="1" x14ac:dyDescent="0.45">
      <c r="B36" s="2" t="s">
        <v>50</v>
      </c>
      <c r="C36" s="3">
        <f t="array" ref="C36">MEDIAN(IF([1]Pakistan_Food_Prices_Cleaned!$B$2:$B$1101='[1]Gap Analysis'!B36,[1]Pakistan_Food_Prices_Cleaned!$E$2:$E$1101))</f>
        <v>226.23000000000002</v>
      </c>
      <c r="D36" s="3">
        <f>AVERAGEIF([1]Pakistan_Food_Prices_Cleaned!B:B,'[1]Gap Analysis'!B36,[1]Pakistan_Food_Prices_Cleaned!E:E)</f>
        <v>226.49633333333335</v>
      </c>
      <c r="E36" s="4">
        <f t="shared" si="0"/>
        <v>-1.1772679721227756E-3</v>
      </c>
    </row>
    <row r="37" spans="2:5" ht="17.25" customHeight="1" x14ac:dyDescent="0.45">
      <c r="C37" s="3"/>
      <c r="D37" s="3"/>
      <c r="E37" s="6"/>
    </row>
    <row r="38" spans="2:5" ht="17.25" customHeight="1" x14ac:dyDescent="0.45">
      <c r="C38" s="3"/>
      <c r="D38" s="3"/>
      <c r="E38" s="6"/>
    </row>
    <row r="39" spans="2:5" ht="17.25" customHeight="1" x14ac:dyDescent="0.45">
      <c r="C39" s="3"/>
      <c r="D39" s="3"/>
      <c r="E39" s="6"/>
    </row>
    <row r="40" spans="2:5" ht="17.25" customHeight="1" x14ac:dyDescent="0.45">
      <c r="C40" s="3"/>
      <c r="D40" s="3"/>
      <c r="E40" s="6"/>
    </row>
    <row r="41" spans="2:5" ht="17.25" customHeight="1" x14ac:dyDescent="0.45">
      <c r="C41" s="3"/>
      <c r="D41" s="3"/>
      <c r="E41" s="6"/>
    </row>
    <row r="42" spans="2:5" ht="17.25" customHeight="1" x14ac:dyDescent="0.45">
      <c r="C42" s="3"/>
      <c r="D42" s="3"/>
      <c r="E42" s="6"/>
    </row>
    <row r="43" spans="2:5" ht="17.25" customHeight="1" x14ac:dyDescent="0.45">
      <c r="C43" s="3"/>
      <c r="D43" s="3"/>
      <c r="E43" s="6"/>
    </row>
    <row r="44" spans="2:5" ht="17.25" customHeight="1" x14ac:dyDescent="0.45">
      <c r="C44" s="3"/>
      <c r="D44" s="3"/>
      <c r="E44" s="6"/>
    </row>
    <row r="45" spans="2:5" ht="17.25" customHeight="1" x14ac:dyDescent="0.45">
      <c r="C45" s="3"/>
      <c r="D45" s="3"/>
      <c r="E45" s="6"/>
    </row>
    <row r="46" spans="2:5" ht="17.25" customHeight="1" x14ac:dyDescent="0.45">
      <c r="C46" s="3"/>
      <c r="D46" s="3"/>
      <c r="E46" s="6"/>
    </row>
    <row r="47" spans="2:5" ht="17.25" customHeight="1" x14ac:dyDescent="0.45">
      <c r="C47" s="3"/>
      <c r="D47" s="3"/>
      <c r="E47" s="6"/>
    </row>
    <row r="48" spans="2:5" ht="17.25" customHeight="1" x14ac:dyDescent="0.45">
      <c r="C48" s="3"/>
      <c r="D48" s="3"/>
      <c r="E48" s="6"/>
    </row>
    <row r="49" spans="3:5" ht="17.25" customHeight="1" x14ac:dyDescent="0.45">
      <c r="C49" s="3"/>
      <c r="D49" s="3"/>
      <c r="E49" s="6"/>
    </row>
    <row r="50" spans="3:5" ht="17.25" customHeight="1" x14ac:dyDescent="0.45">
      <c r="C50" s="3"/>
      <c r="D50" s="3"/>
      <c r="E50" s="6"/>
    </row>
    <row r="51" spans="3:5" ht="17.25" customHeight="1" x14ac:dyDescent="0.45">
      <c r="C51" s="3"/>
      <c r="D51" s="3"/>
      <c r="E51" s="6"/>
    </row>
    <row r="52" spans="3:5" ht="17.25" customHeight="1" x14ac:dyDescent="0.45">
      <c r="C52" s="3"/>
      <c r="D52" s="3"/>
      <c r="E52" s="6"/>
    </row>
    <row r="53" spans="3:5" ht="17.25" customHeight="1" x14ac:dyDescent="0.45">
      <c r="C53" s="3"/>
      <c r="D53" s="3"/>
      <c r="E53" s="6"/>
    </row>
    <row r="54" spans="3:5" ht="17.25" customHeight="1" x14ac:dyDescent="0.45">
      <c r="C54" s="3"/>
      <c r="D54" s="3"/>
      <c r="E54" s="6"/>
    </row>
    <row r="55" spans="3:5" ht="17.25" customHeight="1" x14ac:dyDescent="0.45">
      <c r="C55" s="3"/>
      <c r="D55" s="3"/>
      <c r="E55" s="6"/>
    </row>
    <row r="56" spans="3:5" ht="17.25" customHeight="1" x14ac:dyDescent="0.45">
      <c r="C56" s="3"/>
      <c r="D56" s="3"/>
      <c r="E56" s="6"/>
    </row>
    <row r="57" spans="3:5" ht="17.25" customHeight="1" x14ac:dyDescent="0.45">
      <c r="C57" s="3"/>
      <c r="D57" s="3"/>
      <c r="E57" s="6"/>
    </row>
    <row r="58" spans="3:5" ht="17.25" customHeight="1" x14ac:dyDescent="0.45">
      <c r="C58" s="3"/>
      <c r="D58" s="3"/>
      <c r="E58" s="6"/>
    </row>
    <row r="59" spans="3:5" ht="17.25" customHeight="1" x14ac:dyDescent="0.45">
      <c r="C59" s="3"/>
      <c r="D59" s="3"/>
      <c r="E59" s="6"/>
    </row>
    <row r="60" spans="3:5" ht="17.25" customHeight="1" x14ac:dyDescent="0.45">
      <c r="C60" s="3"/>
      <c r="D60" s="3"/>
      <c r="E60" s="6"/>
    </row>
    <row r="61" spans="3:5" ht="17.25" customHeight="1" x14ac:dyDescent="0.45">
      <c r="C61" s="3"/>
      <c r="D61" s="3"/>
      <c r="E61" s="6"/>
    </row>
    <row r="62" spans="3:5" ht="17.25" customHeight="1" x14ac:dyDescent="0.45">
      <c r="C62" s="3"/>
      <c r="D62" s="3"/>
      <c r="E62" s="6"/>
    </row>
    <row r="63" spans="3:5" ht="17.25" customHeight="1" x14ac:dyDescent="0.45">
      <c r="C63" s="3"/>
      <c r="D63" s="3"/>
      <c r="E63" s="6"/>
    </row>
    <row r="64" spans="3:5" ht="17.25" customHeight="1" x14ac:dyDescent="0.45">
      <c r="C64" s="3"/>
      <c r="D64" s="3"/>
      <c r="E64" s="6"/>
    </row>
    <row r="65" spans="3:5" ht="17.25" customHeight="1" x14ac:dyDescent="0.45">
      <c r="C65" s="3"/>
      <c r="D65" s="3"/>
      <c r="E65" s="6"/>
    </row>
    <row r="66" spans="3:5" ht="17.25" customHeight="1" x14ac:dyDescent="0.45">
      <c r="C66" s="3"/>
      <c r="D66" s="3"/>
      <c r="E66" s="6"/>
    </row>
    <row r="67" spans="3:5" ht="17.25" customHeight="1" x14ac:dyDescent="0.45">
      <c r="C67" s="3"/>
      <c r="D67" s="3"/>
      <c r="E67" s="6"/>
    </row>
    <row r="68" spans="3:5" ht="17.25" customHeight="1" x14ac:dyDescent="0.45">
      <c r="C68" s="3"/>
      <c r="D68" s="3"/>
      <c r="E68" s="6"/>
    </row>
    <row r="69" spans="3:5" ht="17.25" customHeight="1" x14ac:dyDescent="0.45">
      <c r="C69" s="3"/>
      <c r="D69" s="3"/>
      <c r="E69" s="6"/>
    </row>
    <row r="70" spans="3:5" ht="17.25" customHeight="1" x14ac:dyDescent="0.45">
      <c r="C70" s="3"/>
      <c r="D70" s="3"/>
      <c r="E70" s="6"/>
    </row>
    <row r="71" spans="3:5" ht="17.25" customHeight="1" x14ac:dyDescent="0.45">
      <c r="C71" s="3"/>
      <c r="D71" s="3"/>
      <c r="E71" s="6"/>
    </row>
    <row r="72" spans="3:5" ht="17.25" customHeight="1" x14ac:dyDescent="0.45">
      <c r="C72" s="3"/>
      <c r="D72" s="3"/>
      <c r="E72" s="6"/>
    </row>
    <row r="73" spans="3:5" ht="17.25" customHeight="1" x14ac:dyDescent="0.45">
      <c r="C73" s="3"/>
      <c r="D73" s="3"/>
      <c r="E73" s="6"/>
    </row>
    <row r="74" spans="3:5" ht="17.25" customHeight="1" x14ac:dyDescent="0.45">
      <c r="C74" s="3"/>
      <c r="D74" s="3"/>
      <c r="E74" s="6"/>
    </row>
    <row r="75" spans="3:5" ht="17.25" customHeight="1" x14ac:dyDescent="0.45">
      <c r="C75" s="3"/>
      <c r="D75" s="3"/>
      <c r="E75" s="6"/>
    </row>
    <row r="76" spans="3:5" ht="17.25" customHeight="1" x14ac:dyDescent="0.45">
      <c r="C76" s="3"/>
      <c r="D76" s="3"/>
      <c r="E76" s="6"/>
    </row>
    <row r="77" spans="3:5" ht="17.25" customHeight="1" x14ac:dyDescent="0.45">
      <c r="C77" s="3"/>
      <c r="D77" s="3"/>
      <c r="E77" s="6"/>
    </row>
    <row r="78" spans="3:5" ht="17.25" customHeight="1" x14ac:dyDescent="0.45">
      <c r="C78" s="3"/>
      <c r="D78" s="3"/>
      <c r="E78" s="6"/>
    </row>
    <row r="79" spans="3:5" ht="17.25" customHeight="1" x14ac:dyDescent="0.45">
      <c r="C79" s="3"/>
      <c r="D79" s="3"/>
      <c r="E79" s="6"/>
    </row>
    <row r="80" spans="3:5" ht="17.25" customHeight="1" x14ac:dyDescent="0.45">
      <c r="C80" s="3"/>
      <c r="D80" s="3"/>
      <c r="E80" s="6"/>
    </row>
    <row r="81" spans="3:5" ht="17.25" customHeight="1" x14ac:dyDescent="0.45">
      <c r="C81" s="3"/>
      <c r="D81" s="3"/>
      <c r="E81" s="6"/>
    </row>
    <row r="82" spans="3:5" ht="17.25" customHeight="1" x14ac:dyDescent="0.45">
      <c r="C82" s="3"/>
      <c r="D82" s="3"/>
      <c r="E82" s="6"/>
    </row>
    <row r="83" spans="3:5" ht="17.25" customHeight="1" x14ac:dyDescent="0.45">
      <c r="C83" s="3"/>
      <c r="D83" s="3"/>
      <c r="E83" s="6"/>
    </row>
    <row r="84" spans="3:5" ht="17.25" customHeight="1" x14ac:dyDescent="0.45">
      <c r="C84" s="3"/>
      <c r="D84" s="3"/>
      <c r="E84" s="6"/>
    </row>
    <row r="85" spans="3:5" ht="17.25" customHeight="1" x14ac:dyDescent="0.45">
      <c r="C85" s="3"/>
      <c r="D85" s="3"/>
      <c r="E85" s="6"/>
    </row>
    <row r="86" spans="3:5" ht="17.25" customHeight="1" x14ac:dyDescent="0.45">
      <c r="C86" s="3"/>
      <c r="D86" s="3"/>
      <c r="E86" s="6"/>
    </row>
    <row r="87" spans="3:5" ht="17.25" customHeight="1" x14ac:dyDescent="0.45">
      <c r="C87" s="3"/>
      <c r="D87" s="3"/>
      <c r="E87" s="6"/>
    </row>
    <row r="88" spans="3:5" ht="17.25" customHeight="1" x14ac:dyDescent="0.45">
      <c r="C88" s="3"/>
      <c r="D88" s="3"/>
      <c r="E88" s="6"/>
    </row>
    <row r="89" spans="3:5" ht="17.25" customHeight="1" x14ac:dyDescent="0.45">
      <c r="C89" s="3"/>
      <c r="D89" s="3"/>
      <c r="E89" s="6"/>
    </row>
    <row r="90" spans="3:5" ht="17.25" customHeight="1" x14ac:dyDescent="0.45">
      <c r="C90" s="3"/>
      <c r="D90" s="3"/>
      <c r="E90" s="6"/>
    </row>
    <row r="91" spans="3:5" ht="17.25" customHeight="1" x14ac:dyDescent="0.45">
      <c r="C91" s="3"/>
      <c r="D91" s="3"/>
      <c r="E91" s="6"/>
    </row>
    <row r="92" spans="3:5" ht="17.25" customHeight="1" x14ac:dyDescent="0.45">
      <c r="C92" s="3"/>
      <c r="D92" s="3"/>
      <c r="E92" s="6"/>
    </row>
    <row r="93" spans="3:5" ht="17.25" customHeight="1" x14ac:dyDescent="0.45">
      <c r="C93" s="3"/>
      <c r="D93" s="3"/>
      <c r="E93" s="6"/>
    </row>
    <row r="94" spans="3:5" ht="17.25" customHeight="1" x14ac:dyDescent="0.45">
      <c r="C94" s="3"/>
      <c r="D94" s="3"/>
      <c r="E94" s="6"/>
    </row>
    <row r="95" spans="3:5" ht="17.25" customHeight="1" x14ac:dyDescent="0.45">
      <c r="C95" s="3"/>
      <c r="D95" s="3"/>
      <c r="E95" s="6"/>
    </row>
    <row r="96" spans="3:5" ht="17.25" customHeight="1" x14ac:dyDescent="0.45">
      <c r="C96" s="3"/>
      <c r="D96" s="3"/>
      <c r="E96" s="6"/>
    </row>
    <row r="97" spans="3:5" ht="17.25" customHeight="1" x14ac:dyDescent="0.45">
      <c r="C97" s="3"/>
      <c r="D97" s="3"/>
      <c r="E97" s="6"/>
    </row>
    <row r="98" spans="3:5" ht="17.25" customHeight="1" x14ac:dyDescent="0.45">
      <c r="C98" s="3"/>
      <c r="D98" s="3"/>
      <c r="E98" s="6"/>
    </row>
    <row r="99" spans="3:5" ht="17.25" customHeight="1" x14ac:dyDescent="0.45">
      <c r="C99" s="3"/>
      <c r="D99" s="3"/>
      <c r="E99" s="6"/>
    </row>
    <row r="100" spans="3:5" ht="17.25" customHeight="1" x14ac:dyDescent="0.45">
      <c r="C100" s="3"/>
      <c r="D100" s="3"/>
      <c r="E100" s="6"/>
    </row>
    <row r="101" spans="3:5" ht="17.25" customHeight="1" x14ac:dyDescent="0.45">
      <c r="C101" s="3"/>
      <c r="D101" s="3"/>
      <c r="E101" s="6"/>
    </row>
    <row r="102" spans="3:5" ht="17.25" customHeight="1" x14ac:dyDescent="0.45">
      <c r="C102" s="3"/>
      <c r="D102" s="3"/>
      <c r="E102" s="6"/>
    </row>
    <row r="103" spans="3:5" ht="17.25" customHeight="1" x14ac:dyDescent="0.45">
      <c r="C103" s="3"/>
      <c r="D103" s="3"/>
      <c r="E103" s="6"/>
    </row>
    <row r="104" spans="3:5" ht="17.25" customHeight="1" x14ac:dyDescent="0.45">
      <c r="C104" s="3"/>
      <c r="D104" s="3"/>
      <c r="E104" s="6"/>
    </row>
    <row r="105" spans="3:5" ht="17.25" customHeight="1" x14ac:dyDescent="0.45">
      <c r="C105" s="3"/>
      <c r="D105" s="3"/>
      <c r="E105" s="6"/>
    </row>
    <row r="106" spans="3:5" ht="17.25" customHeight="1" x14ac:dyDescent="0.45">
      <c r="C106" s="3"/>
      <c r="D106" s="3"/>
      <c r="E106" s="6"/>
    </row>
    <row r="107" spans="3:5" ht="17.25" customHeight="1" x14ac:dyDescent="0.45">
      <c r="C107" s="3"/>
      <c r="D107" s="3"/>
      <c r="E107" s="6"/>
    </row>
    <row r="108" spans="3:5" ht="17.25" customHeight="1" x14ac:dyDescent="0.45">
      <c r="C108" s="3"/>
      <c r="D108" s="3"/>
      <c r="E108" s="6"/>
    </row>
    <row r="109" spans="3:5" ht="17.25" customHeight="1" x14ac:dyDescent="0.45">
      <c r="C109" s="3"/>
      <c r="D109" s="3"/>
      <c r="E109" s="6"/>
    </row>
    <row r="110" spans="3:5" ht="17.25" customHeight="1" x14ac:dyDescent="0.45">
      <c r="C110" s="3"/>
      <c r="D110" s="3"/>
      <c r="E110" s="6"/>
    </row>
    <row r="111" spans="3:5" ht="17.25" customHeight="1" x14ac:dyDescent="0.45">
      <c r="C111" s="3"/>
      <c r="D111" s="3"/>
      <c r="E111" s="6"/>
    </row>
    <row r="112" spans="3:5" ht="17.25" customHeight="1" x14ac:dyDescent="0.45">
      <c r="C112" s="3"/>
      <c r="D112" s="3"/>
      <c r="E112" s="6"/>
    </row>
    <row r="113" spans="3:5" ht="17.25" customHeight="1" x14ac:dyDescent="0.45">
      <c r="C113" s="3"/>
      <c r="D113" s="3"/>
      <c r="E113" s="6"/>
    </row>
    <row r="114" spans="3:5" ht="17.25" customHeight="1" x14ac:dyDescent="0.45">
      <c r="C114" s="3"/>
      <c r="D114" s="3"/>
      <c r="E114" s="6"/>
    </row>
    <row r="115" spans="3:5" ht="17.25" customHeight="1" x14ac:dyDescent="0.45">
      <c r="C115" s="3"/>
      <c r="D115" s="3"/>
      <c r="E115" s="6"/>
    </row>
    <row r="116" spans="3:5" ht="17.25" customHeight="1" x14ac:dyDescent="0.45">
      <c r="C116" s="3"/>
      <c r="D116" s="3"/>
      <c r="E116" s="6"/>
    </row>
    <row r="117" spans="3:5" ht="17.25" customHeight="1" x14ac:dyDescent="0.45">
      <c r="C117" s="3"/>
      <c r="D117" s="3"/>
      <c r="E117" s="6"/>
    </row>
    <row r="118" spans="3:5" ht="17.25" customHeight="1" x14ac:dyDescent="0.45">
      <c r="C118" s="3"/>
      <c r="D118" s="3"/>
      <c r="E118" s="6"/>
    </row>
    <row r="119" spans="3:5" ht="17.25" customHeight="1" x14ac:dyDescent="0.45">
      <c r="C119" s="3"/>
      <c r="D119" s="3"/>
      <c r="E119" s="6"/>
    </row>
    <row r="120" spans="3:5" ht="17.25" customHeight="1" x14ac:dyDescent="0.45">
      <c r="C120" s="3"/>
      <c r="D120" s="3"/>
      <c r="E120" s="6"/>
    </row>
    <row r="121" spans="3:5" ht="17.25" customHeight="1" x14ac:dyDescent="0.45">
      <c r="C121" s="3"/>
      <c r="D121" s="3"/>
      <c r="E121" s="6"/>
    </row>
    <row r="122" spans="3:5" ht="17.25" customHeight="1" x14ac:dyDescent="0.45">
      <c r="C122" s="3"/>
      <c r="D122" s="3"/>
      <c r="E122" s="6"/>
    </row>
    <row r="123" spans="3:5" ht="17.25" customHeight="1" x14ac:dyDescent="0.45">
      <c r="C123" s="3"/>
      <c r="D123" s="3"/>
      <c r="E123" s="6"/>
    </row>
    <row r="124" spans="3:5" ht="17.25" customHeight="1" x14ac:dyDescent="0.45">
      <c r="C124" s="3"/>
      <c r="D124" s="3"/>
      <c r="E124" s="6"/>
    </row>
    <row r="125" spans="3:5" ht="17.25" customHeight="1" x14ac:dyDescent="0.45">
      <c r="C125" s="3"/>
      <c r="D125" s="3"/>
      <c r="E125" s="6"/>
    </row>
    <row r="126" spans="3:5" ht="17.25" customHeight="1" x14ac:dyDescent="0.45">
      <c r="C126" s="3"/>
      <c r="D126" s="3"/>
      <c r="E126" s="6"/>
    </row>
    <row r="127" spans="3:5" ht="17.25" customHeight="1" x14ac:dyDescent="0.45">
      <c r="C127" s="3"/>
      <c r="D127" s="3"/>
      <c r="E127" s="6"/>
    </row>
    <row r="128" spans="3:5" ht="17.25" customHeight="1" x14ac:dyDescent="0.45">
      <c r="C128" s="3"/>
      <c r="D128" s="3"/>
      <c r="E128" s="6"/>
    </row>
    <row r="129" spans="3:5" ht="17.25" customHeight="1" x14ac:dyDescent="0.45">
      <c r="C129" s="3"/>
      <c r="D129" s="3"/>
      <c r="E129" s="6"/>
    </row>
    <row r="130" spans="3:5" ht="17.25" customHeight="1" x14ac:dyDescent="0.45">
      <c r="C130" s="3"/>
      <c r="D130" s="3"/>
      <c r="E130" s="6"/>
    </row>
    <row r="131" spans="3:5" ht="17.25" customHeight="1" x14ac:dyDescent="0.45">
      <c r="C131" s="3"/>
      <c r="D131" s="3"/>
      <c r="E131" s="6"/>
    </row>
    <row r="132" spans="3:5" ht="17.25" customHeight="1" x14ac:dyDescent="0.45">
      <c r="C132" s="3"/>
      <c r="D132" s="3"/>
      <c r="E132" s="6"/>
    </row>
    <row r="133" spans="3:5" ht="17.25" customHeight="1" x14ac:dyDescent="0.45">
      <c r="C133" s="3"/>
      <c r="D133" s="3"/>
      <c r="E133" s="6"/>
    </row>
    <row r="134" spans="3:5" ht="17.25" customHeight="1" x14ac:dyDescent="0.45">
      <c r="C134" s="3"/>
      <c r="D134" s="3"/>
      <c r="E134" s="6"/>
    </row>
    <row r="135" spans="3:5" ht="17.25" customHeight="1" x14ac:dyDescent="0.45">
      <c r="C135" s="3"/>
      <c r="D135" s="3"/>
      <c r="E135" s="6"/>
    </row>
    <row r="136" spans="3:5" ht="17.25" customHeight="1" x14ac:dyDescent="0.45">
      <c r="C136" s="3"/>
      <c r="D136" s="3"/>
      <c r="E136" s="6"/>
    </row>
    <row r="137" spans="3:5" ht="17.25" customHeight="1" x14ac:dyDescent="0.45">
      <c r="C137" s="3"/>
      <c r="D137" s="3"/>
      <c r="E137" s="6"/>
    </row>
    <row r="138" spans="3:5" ht="17.25" customHeight="1" x14ac:dyDescent="0.45">
      <c r="C138" s="3"/>
      <c r="D138" s="3"/>
      <c r="E138" s="6"/>
    </row>
    <row r="139" spans="3:5" ht="17.25" customHeight="1" x14ac:dyDescent="0.45">
      <c r="C139" s="3"/>
      <c r="D139" s="3"/>
      <c r="E139" s="6"/>
    </row>
    <row r="140" spans="3:5" ht="17.25" customHeight="1" x14ac:dyDescent="0.45">
      <c r="C140" s="3"/>
      <c r="D140" s="3"/>
      <c r="E140" s="6"/>
    </row>
    <row r="141" spans="3:5" ht="17.25" customHeight="1" x14ac:dyDescent="0.45">
      <c r="C141" s="3"/>
      <c r="D141" s="3"/>
      <c r="E141" s="6"/>
    </row>
    <row r="142" spans="3:5" ht="17.25" customHeight="1" x14ac:dyDescent="0.45">
      <c r="C142" s="3"/>
      <c r="D142" s="3"/>
      <c r="E142" s="6"/>
    </row>
    <row r="143" spans="3:5" ht="17.25" customHeight="1" x14ac:dyDescent="0.45">
      <c r="C143" s="3"/>
      <c r="D143" s="3"/>
      <c r="E143" s="6"/>
    </row>
    <row r="144" spans="3:5" ht="17.25" customHeight="1" x14ac:dyDescent="0.45">
      <c r="C144" s="3"/>
      <c r="D144" s="3"/>
      <c r="E144" s="6"/>
    </row>
    <row r="145" spans="3:5" ht="17.25" customHeight="1" x14ac:dyDescent="0.45">
      <c r="C145" s="3"/>
      <c r="D145" s="3"/>
      <c r="E145" s="6"/>
    </row>
    <row r="146" spans="3:5" ht="17.25" customHeight="1" x14ac:dyDescent="0.45">
      <c r="C146" s="3"/>
      <c r="D146" s="3"/>
      <c r="E146" s="6"/>
    </row>
    <row r="147" spans="3:5" ht="17.25" customHeight="1" x14ac:dyDescent="0.45">
      <c r="C147" s="3"/>
      <c r="D147" s="3"/>
      <c r="E147" s="6"/>
    </row>
    <row r="148" spans="3:5" ht="17.25" customHeight="1" x14ac:dyDescent="0.45">
      <c r="C148" s="3"/>
      <c r="D148" s="3"/>
      <c r="E148" s="6"/>
    </row>
    <row r="149" spans="3:5" ht="17.25" customHeight="1" x14ac:dyDescent="0.45">
      <c r="C149" s="3"/>
      <c r="D149" s="3"/>
      <c r="E149" s="6"/>
    </row>
    <row r="150" spans="3:5" ht="17.25" customHeight="1" x14ac:dyDescent="0.45">
      <c r="C150" s="3"/>
      <c r="D150" s="3"/>
      <c r="E150" s="6"/>
    </row>
    <row r="151" spans="3:5" ht="17.25" customHeight="1" x14ac:dyDescent="0.45">
      <c r="C151" s="3"/>
      <c r="D151" s="3"/>
      <c r="E151" s="6"/>
    </row>
    <row r="152" spans="3:5" ht="17.25" customHeight="1" x14ac:dyDescent="0.45">
      <c r="C152" s="3"/>
      <c r="D152" s="3"/>
      <c r="E152" s="6"/>
    </row>
    <row r="153" spans="3:5" ht="17.25" customHeight="1" x14ac:dyDescent="0.45">
      <c r="C153" s="3"/>
      <c r="D153" s="3"/>
      <c r="E153" s="6"/>
    </row>
    <row r="154" spans="3:5" ht="17.25" customHeight="1" x14ac:dyDescent="0.45">
      <c r="C154" s="3"/>
      <c r="D154" s="3"/>
      <c r="E154" s="6"/>
    </row>
    <row r="155" spans="3:5" ht="17.25" customHeight="1" x14ac:dyDescent="0.45">
      <c r="C155" s="3"/>
      <c r="D155" s="3"/>
      <c r="E155" s="6"/>
    </row>
    <row r="156" spans="3:5" ht="17.25" customHeight="1" x14ac:dyDescent="0.45">
      <c r="C156" s="3"/>
      <c r="D156" s="3"/>
      <c r="E156" s="6"/>
    </row>
    <row r="157" spans="3:5" ht="17.25" customHeight="1" x14ac:dyDescent="0.45">
      <c r="C157" s="3"/>
      <c r="D157" s="3"/>
      <c r="E157" s="6"/>
    </row>
    <row r="158" spans="3:5" ht="17.25" customHeight="1" x14ac:dyDescent="0.45">
      <c r="C158" s="3"/>
      <c r="D158" s="3"/>
      <c r="E158" s="6"/>
    </row>
    <row r="159" spans="3:5" ht="17.25" customHeight="1" x14ac:dyDescent="0.45">
      <c r="C159" s="3"/>
      <c r="D159" s="3"/>
      <c r="E159" s="6"/>
    </row>
    <row r="160" spans="3:5" ht="17.25" customHeight="1" x14ac:dyDescent="0.45">
      <c r="C160" s="3"/>
      <c r="D160" s="3"/>
      <c r="E160" s="6"/>
    </row>
    <row r="161" spans="3:5" ht="17.25" customHeight="1" x14ac:dyDescent="0.45">
      <c r="C161" s="3"/>
      <c r="D161" s="3"/>
      <c r="E161" s="6"/>
    </row>
    <row r="162" spans="3:5" ht="17.25" customHeight="1" x14ac:dyDescent="0.45">
      <c r="C162" s="3"/>
      <c r="D162" s="3"/>
      <c r="E162" s="6"/>
    </row>
    <row r="163" spans="3:5" ht="17.25" customHeight="1" x14ac:dyDescent="0.45">
      <c r="C163" s="3"/>
      <c r="D163" s="3"/>
      <c r="E163" s="6"/>
    </row>
    <row r="164" spans="3:5" ht="17.25" customHeight="1" x14ac:dyDescent="0.45">
      <c r="C164" s="3"/>
      <c r="D164" s="3"/>
      <c r="E164" s="6"/>
    </row>
    <row r="165" spans="3:5" ht="17.25" customHeight="1" x14ac:dyDescent="0.45">
      <c r="C165" s="3"/>
      <c r="D165" s="3"/>
      <c r="E165" s="6"/>
    </row>
    <row r="166" spans="3:5" ht="17.25" customHeight="1" x14ac:dyDescent="0.45">
      <c r="C166" s="3"/>
      <c r="D166" s="3"/>
      <c r="E166" s="6"/>
    </row>
    <row r="167" spans="3:5" ht="17.25" customHeight="1" x14ac:dyDescent="0.45">
      <c r="C167" s="3"/>
      <c r="D167" s="3"/>
      <c r="E167" s="6"/>
    </row>
    <row r="168" spans="3:5" ht="17.25" customHeight="1" x14ac:dyDescent="0.45">
      <c r="C168" s="3"/>
      <c r="D168" s="3"/>
      <c r="E168" s="6"/>
    </row>
    <row r="169" spans="3:5" ht="17.25" customHeight="1" x14ac:dyDescent="0.45">
      <c r="C169" s="3"/>
      <c r="D169" s="3"/>
      <c r="E169" s="6"/>
    </row>
    <row r="170" spans="3:5" ht="17.25" customHeight="1" x14ac:dyDescent="0.45">
      <c r="C170" s="3"/>
      <c r="D170" s="3"/>
      <c r="E170" s="6"/>
    </row>
    <row r="171" spans="3:5" ht="17.25" customHeight="1" x14ac:dyDescent="0.45">
      <c r="C171" s="3"/>
      <c r="D171" s="3"/>
      <c r="E171" s="6"/>
    </row>
    <row r="172" spans="3:5" ht="17.25" customHeight="1" x14ac:dyDescent="0.45">
      <c r="C172" s="3"/>
      <c r="D172" s="3"/>
      <c r="E172" s="6"/>
    </row>
    <row r="173" spans="3:5" ht="17.25" customHeight="1" x14ac:dyDescent="0.45">
      <c r="C173" s="3"/>
      <c r="D173" s="3"/>
      <c r="E173" s="6"/>
    </row>
    <row r="174" spans="3:5" ht="17.25" customHeight="1" x14ac:dyDescent="0.45">
      <c r="C174" s="3"/>
      <c r="D174" s="3"/>
      <c r="E174" s="6"/>
    </row>
    <row r="175" spans="3:5" ht="17.25" customHeight="1" x14ac:dyDescent="0.45">
      <c r="C175" s="3"/>
      <c r="D175" s="3"/>
      <c r="E175" s="6"/>
    </row>
    <row r="176" spans="3:5" ht="17.25" customHeight="1" x14ac:dyDescent="0.45">
      <c r="C176" s="3"/>
      <c r="D176" s="3"/>
      <c r="E176" s="6"/>
    </row>
    <row r="177" spans="3:5" ht="17.25" customHeight="1" x14ac:dyDescent="0.45">
      <c r="C177" s="3"/>
      <c r="D177" s="3"/>
      <c r="E177" s="6"/>
    </row>
    <row r="178" spans="3:5" ht="17.25" customHeight="1" x14ac:dyDescent="0.45">
      <c r="C178" s="3"/>
      <c r="D178" s="3"/>
      <c r="E178" s="6"/>
    </row>
    <row r="179" spans="3:5" ht="17.25" customHeight="1" x14ac:dyDescent="0.45">
      <c r="C179" s="3"/>
      <c r="D179" s="3"/>
      <c r="E179" s="6"/>
    </row>
    <row r="180" spans="3:5" ht="17.25" customHeight="1" x14ac:dyDescent="0.45">
      <c r="C180" s="3"/>
      <c r="D180" s="3"/>
      <c r="E180" s="6"/>
    </row>
    <row r="181" spans="3:5" ht="17.25" customHeight="1" x14ac:dyDescent="0.45">
      <c r="C181" s="3"/>
      <c r="D181" s="3"/>
      <c r="E181" s="6"/>
    </row>
    <row r="182" spans="3:5" ht="17.25" customHeight="1" x14ac:dyDescent="0.45">
      <c r="C182" s="3"/>
      <c r="D182" s="3"/>
      <c r="E182" s="6"/>
    </row>
    <row r="183" spans="3:5" ht="17.25" customHeight="1" x14ac:dyDescent="0.45">
      <c r="C183" s="3"/>
      <c r="D183" s="3"/>
      <c r="E183" s="6"/>
    </row>
    <row r="184" spans="3:5" ht="17.25" customHeight="1" x14ac:dyDescent="0.45">
      <c r="C184" s="3"/>
      <c r="D184" s="3"/>
      <c r="E184" s="6"/>
    </row>
    <row r="185" spans="3:5" ht="17.25" customHeight="1" x14ac:dyDescent="0.45">
      <c r="C185" s="3"/>
      <c r="D185" s="3"/>
      <c r="E185" s="6"/>
    </row>
    <row r="186" spans="3:5" ht="17.25" customHeight="1" x14ac:dyDescent="0.45">
      <c r="C186" s="3"/>
      <c r="D186" s="3"/>
      <c r="E186" s="6"/>
    </row>
    <row r="187" spans="3:5" ht="17.25" customHeight="1" x14ac:dyDescent="0.45">
      <c r="C187" s="3"/>
      <c r="D187" s="3"/>
      <c r="E187" s="6"/>
    </row>
    <row r="188" spans="3:5" ht="17.25" customHeight="1" x14ac:dyDescent="0.45">
      <c r="C188" s="3"/>
      <c r="D188" s="3"/>
      <c r="E188" s="6"/>
    </row>
    <row r="189" spans="3:5" ht="17.25" customHeight="1" x14ac:dyDescent="0.45">
      <c r="C189" s="3"/>
      <c r="D189" s="3"/>
      <c r="E189" s="6"/>
    </row>
    <row r="190" spans="3:5" ht="17.25" customHeight="1" x14ac:dyDescent="0.45">
      <c r="C190" s="3"/>
      <c r="D190" s="3"/>
      <c r="E190" s="6"/>
    </row>
    <row r="191" spans="3:5" ht="17.25" customHeight="1" x14ac:dyDescent="0.45">
      <c r="C191" s="3"/>
      <c r="D191" s="3"/>
      <c r="E191" s="6"/>
    </row>
    <row r="192" spans="3:5" ht="17.25" customHeight="1" x14ac:dyDescent="0.45">
      <c r="C192" s="3"/>
      <c r="D192" s="3"/>
      <c r="E192" s="6"/>
    </row>
    <row r="193" spans="3:5" ht="17.25" customHeight="1" x14ac:dyDescent="0.45">
      <c r="C193" s="3"/>
      <c r="D193" s="3"/>
      <c r="E193" s="6"/>
    </row>
    <row r="194" spans="3:5" ht="17.25" customHeight="1" x14ac:dyDescent="0.45">
      <c r="C194" s="3"/>
      <c r="D194" s="3"/>
      <c r="E194" s="6"/>
    </row>
    <row r="195" spans="3:5" ht="17.25" customHeight="1" x14ac:dyDescent="0.45">
      <c r="C195" s="3"/>
      <c r="D195" s="3"/>
      <c r="E195" s="6"/>
    </row>
    <row r="196" spans="3:5" ht="17.25" customHeight="1" x14ac:dyDescent="0.45">
      <c r="C196" s="3"/>
      <c r="D196" s="3"/>
      <c r="E196" s="6"/>
    </row>
    <row r="197" spans="3:5" ht="17.25" customHeight="1" x14ac:dyDescent="0.45">
      <c r="C197" s="3"/>
      <c r="D197" s="3"/>
      <c r="E197" s="6"/>
    </row>
    <row r="198" spans="3:5" ht="17.25" customHeight="1" x14ac:dyDescent="0.45">
      <c r="C198" s="3"/>
      <c r="D198" s="3"/>
      <c r="E198" s="6"/>
    </row>
    <row r="199" spans="3:5" ht="17.25" customHeight="1" x14ac:dyDescent="0.45">
      <c r="C199" s="3"/>
      <c r="D199" s="3"/>
      <c r="E199" s="6"/>
    </row>
    <row r="200" spans="3:5" ht="17.25" customHeight="1" x14ac:dyDescent="0.45">
      <c r="C200" s="3"/>
      <c r="D200" s="3"/>
      <c r="E200" s="6"/>
    </row>
    <row r="201" spans="3:5" ht="17.25" customHeight="1" x14ac:dyDescent="0.45">
      <c r="C201" s="3"/>
      <c r="D201" s="3"/>
      <c r="E201" s="6"/>
    </row>
    <row r="202" spans="3:5" ht="17.25" customHeight="1" x14ac:dyDescent="0.45">
      <c r="C202" s="3"/>
      <c r="D202" s="3"/>
      <c r="E202" s="6"/>
    </row>
    <row r="203" spans="3:5" ht="17.25" customHeight="1" x14ac:dyDescent="0.45">
      <c r="C203" s="3"/>
      <c r="D203" s="3"/>
      <c r="E203" s="6"/>
    </row>
    <row r="204" spans="3:5" ht="17.25" customHeight="1" x14ac:dyDescent="0.45">
      <c r="C204" s="3"/>
      <c r="D204" s="3"/>
      <c r="E204" s="6"/>
    </row>
    <row r="205" spans="3:5" ht="17.25" customHeight="1" x14ac:dyDescent="0.45">
      <c r="C205" s="3"/>
      <c r="D205" s="3"/>
      <c r="E205" s="6"/>
    </row>
    <row r="206" spans="3:5" ht="17.25" customHeight="1" x14ac:dyDescent="0.45">
      <c r="C206" s="3"/>
      <c r="D206" s="3"/>
      <c r="E206" s="6"/>
    </row>
    <row r="207" spans="3:5" ht="17.25" customHeight="1" x14ac:dyDescent="0.45">
      <c r="C207" s="3"/>
      <c r="D207" s="3"/>
      <c r="E207" s="6"/>
    </row>
    <row r="208" spans="3:5" ht="17.25" customHeight="1" x14ac:dyDescent="0.45">
      <c r="C208" s="3"/>
      <c r="D208" s="3"/>
      <c r="E208" s="6"/>
    </row>
    <row r="209" spans="3:5" ht="17.25" customHeight="1" x14ac:dyDescent="0.45">
      <c r="C209" s="3"/>
      <c r="D209" s="3"/>
      <c r="E209" s="6"/>
    </row>
    <row r="210" spans="3:5" ht="17.25" customHeight="1" x14ac:dyDescent="0.45">
      <c r="C210" s="3"/>
      <c r="D210" s="3"/>
      <c r="E210" s="6"/>
    </row>
    <row r="211" spans="3:5" ht="17.25" customHeight="1" x14ac:dyDescent="0.45">
      <c r="C211" s="3"/>
      <c r="D211" s="3"/>
      <c r="E211" s="6"/>
    </row>
    <row r="212" spans="3:5" ht="17.25" customHeight="1" x14ac:dyDescent="0.45">
      <c r="C212" s="3"/>
      <c r="D212" s="3"/>
      <c r="E212" s="6"/>
    </row>
    <row r="213" spans="3:5" ht="17.25" customHeight="1" x14ac:dyDescent="0.45">
      <c r="C213" s="3"/>
      <c r="D213" s="3"/>
      <c r="E213" s="6"/>
    </row>
    <row r="214" spans="3:5" ht="17.25" customHeight="1" x14ac:dyDescent="0.45">
      <c r="C214" s="3"/>
      <c r="D214" s="3"/>
      <c r="E214" s="6"/>
    </row>
    <row r="215" spans="3:5" ht="17.25" customHeight="1" x14ac:dyDescent="0.45">
      <c r="C215" s="3"/>
      <c r="D215" s="3"/>
      <c r="E215" s="6"/>
    </row>
    <row r="216" spans="3:5" ht="17.25" customHeight="1" x14ac:dyDescent="0.45">
      <c r="C216" s="3"/>
      <c r="D216" s="3"/>
      <c r="E216" s="6"/>
    </row>
    <row r="217" spans="3:5" ht="17.25" customHeight="1" x14ac:dyDescent="0.45">
      <c r="C217" s="3"/>
      <c r="D217" s="3"/>
      <c r="E217" s="6"/>
    </row>
    <row r="218" spans="3:5" ht="17.25" customHeight="1" x14ac:dyDescent="0.45">
      <c r="C218" s="3"/>
      <c r="D218" s="3"/>
      <c r="E218" s="6"/>
    </row>
    <row r="219" spans="3:5" ht="17.25" customHeight="1" x14ac:dyDescent="0.45">
      <c r="C219" s="3"/>
      <c r="D219" s="3"/>
      <c r="E219" s="6"/>
    </row>
    <row r="220" spans="3:5" ht="17.25" customHeight="1" x14ac:dyDescent="0.45">
      <c r="C220" s="3"/>
      <c r="D220" s="3"/>
      <c r="E220" s="6"/>
    </row>
    <row r="221" spans="3:5" ht="17.25" customHeight="1" x14ac:dyDescent="0.45">
      <c r="C221" s="3"/>
      <c r="D221" s="3"/>
      <c r="E221" s="6"/>
    </row>
    <row r="222" spans="3:5" ht="17.25" customHeight="1" x14ac:dyDescent="0.45">
      <c r="C222" s="3"/>
      <c r="D222" s="3"/>
      <c r="E222" s="6"/>
    </row>
    <row r="223" spans="3:5" ht="17.25" customHeight="1" x14ac:dyDescent="0.45">
      <c r="C223" s="3"/>
      <c r="D223" s="3"/>
      <c r="E223" s="6"/>
    </row>
    <row r="224" spans="3:5" ht="17.25" customHeight="1" x14ac:dyDescent="0.45">
      <c r="C224" s="3"/>
      <c r="D224" s="3"/>
      <c r="E224" s="6"/>
    </row>
    <row r="225" spans="3:5" ht="17.25" customHeight="1" x14ac:dyDescent="0.45">
      <c r="C225" s="3"/>
      <c r="D225" s="3"/>
      <c r="E225" s="6"/>
    </row>
    <row r="226" spans="3:5" ht="17.25" customHeight="1" x14ac:dyDescent="0.45">
      <c r="C226" s="3"/>
      <c r="D226" s="3"/>
      <c r="E226" s="6"/>
    </row>
    <row r="227" spans="3:5" ht="17.25" customHeight="1" x14ac:dyDescent="0.45">
      <c r="C227" s="3"/>
      <c r="D227" s="3"/>
      <c r="E227" s="6"/>
    </row>
    <row r="228" spans="3:5" ht="17.25" customHeight="1" x14ac:dyDescent="0.45">
      <c r="C228" s="3"/>
      <c r="D228" s="3"/>
      <c r="E228" s="6"/>
    </row>
    <row r="229" spans="3:5" ht="17.25" customHeight="1" x14ac:dyDescent="0.45">
      <c r="C229" s="3"/>
      <c r="D229" s="3"/>
      <c r="E229" s="6"/>
    </row>
    <row r="230" spans="3:5" ht="17.25" customHeight="1" x14ac:dyDescent="0.45">
      <c r="C230" s="3"/>
      <c r="D230" s="3"/>
      <c r="E230" s="6"/>
    </row>
    <row r="231" spans="3:5" ht="17.25" customHeight="1" x14ac:dyDescent="0.45">
      <c r="C231" s="3"/>
      <c r="D231" s="3"/>
      <c r="E231" s="6"/>
    </row>
    <row r="232" spans="3:5" ht="17.25" customHeight="1" x14ac:dyDescent="0.45">
      <c r="C232" s="3"/>
      <c r="D232" s="3"/>
      <c r="E232" s="6"/>
    </row>
    <row r="233" spans="3:5" ht="17.25" customHeight="1" x14ac:dyDescent="0.45">
      <c r="C233" s="3"/>
      <c r="D233" s="3"/>
      <c r="E233" s="6"/>
    </row>
    <row r="234" spans="3:5" ht="17.25" customHeight="1" x14ac:dyDescent="0.45">
      <c r="C234" s="3"/>
      <c r="D234" s="3"/>
      <c r="E234" s="6"/>
    </row>
    <row r="235" spans="3:5" ht="17.25" customHeight="1" x14ac:dyDescent="0.45">
      <c r="C235" s="3"/>
      <c r="D235" s="3"/>
      <c r="E235" s="6"/>
    </row>
    <row r="236" spans="3:5" ht="17.25" customHeight="1" x14ac:dyDescent="0.45">
      <c r="C236" s="3"/>
      <c r="D236" s="3"/>
      <c r="E236" s="6"/>
    </row>
    <row r="237" spans="3:5" ht="17.25" customHeight="1" x14ac:dyDescent="0.45">
      <c r="C237" s="3"/>
      <c r="D237" s="3"/>
      <c r="E237" s="6"/>
    </row>
    <row r="238" spans="3:5" ht="17.25" customHeight="1" x14ac:dyDescent="0.45">
      <c r="C238" s="3"/>
      <c r="D238" s="3"/>
      <c r="E238" s="6"/>
    </row>
    <row r="239" spans="3:5" ht="17.25" customHeight="1" x14ac:dyDescent="0.45">
      <c r="C239" s="3"/>
      <c r="D239" s="3"/>
      <c r="E239" s="6"/>
    </row>
    <row r="240" spans="3:5" ht="17.25" customHeight="1" x14ac:dyDescent="0.45">
      <c r="C240" s="3"/>
      <c r="D240" s="3"/>
      <c r="E240" s="6"/>
    </row>
    <row r="241" spans="3:5" ht="17.25" customHeight="1" x14ac:dyDescent="0.45">
      <c r="C241" s="3"/>
      <c r="D241" s="3"/>
      <c r="E241" s="6"/>
    </row>
    <row r="242" spans="3:5" ht="17.25" customHeight="1" x14ac:dyDescent="0.45">
      <c r="C242" s="3"/>
      <c r="D242" s="3"/>
      <c r="E242" s="6"/>
    </row>
    <row r="243" spans="3:5" ht="17.25" customHeight="1" x14ac:dyDescent="0.45">
      <c r="C243" s="3"/>
      <c r="D243" s="3"/>
      <c r="E243" s="6"/>
    </row>
    <row r="244" spans="3:5" ht="17.25" customHeight="1" x14ac:dyDescent="0.45">
      <c r="C244" s="3"/>
      <c r="D244" s="3"/>
      <c r="E244" s="6"/>
    </row>
    <row r="245" spans="3:5" ht="17.25" customHeight="1" x14ac:dyDescent="0.45">
      <c r="C245" s="3"/>
      <c r="D245" s="3"/>
      <c r="E245" s="6"/>
    </row>
    <row r="246" spans="3:5" ht="17.25" customHeight="1" x14ac:dyDescent="0.45">
      <c r="C246" s="3"/>
      <c r="D246" s="3"/>
      <c r="E246" s="6"/>
    </row>
    <row r="247" spans="3:5" ht="17.25" customHeight="1" x14ac:dyDescent="0.45">
      <c r="C247" s="3"/>
      <c r="D247" s="3"/>
      <c r="E247" s="6"/>
    </row>
    <row r="248" spans="3:5" ht="17.25" customHeight="1" x14ac:dyDescent="0.45">
      <c r="C248" s="3"/>
      <c r="D248" s="3"/>
      <c r="E248" s="6"/>
    </row>
    <row r="249" spans="3:5" ht="17.25" customHeight="1" x14ac:dyDescent="0.45">
      <c r="C249" s="3"/>
      <c r="D249" s="3"/>
      <c r="E249" s="6"/>
    </row>
    <row r="250" spans="3:5" ht="17.25" customHeight="1" x14ac:dyDescent="0.45">
      <c r="C250" s="3"/>
      <c r="D250" s="3"/>
      <c r="E250" s="6"/>
    </row>
    <row r="251" spans="3:5" ht="17.25" customHeight="1" x14ac:dyDescent="0.45">
      <c r="C251" s="3"/>
      <c r="D251" s="3"/>
      <c r="E251" s="6"/>
    </row>
    <row r="252" spans="3:5" ht="17.25" customHeight="1" x14ac:dyDescent="0.45">
      <c r="C252" s="3"/>
      <c r="D252" s="3"/>
      <c r="E252" s="6"/>
    </row>
    <row r="253" spans="3:5" ht="17.25" customHeight="1" x14ac:dyDescent="0.45">
      <c r="C253" s="3"/>
      <c r="D253" s="3"/>
      <c r="E253" s="6"/>
    </row>
    <row r="254" spans="3:5" ht="17.25" customHeight="1" x14ac:dyDescent="0.45">
      <c r="C254" s="3"/>
      <c r="D254" s="3"/>
      <c r="E254" s="6"/>
    </row>
    <row r="255" spans="3:5" ht="17.25" customHeight="1" x14ac:dyDescent="0.45">
      <c r="C255" s="3"/>
      <c r="D255" s="3"/>
      <c r="E255" s="6"/>
    </row>
    <row r="256" spans="3:5" ht="17.25" customHeight="1" x14ac:dyDescent="0.45">
      <c r="C256" s="3"/>
      <c r="D256" s="3"/>
      <c r="E256" s="6"/>
    </row>
    <row r="257" spans="3:5" ht="17.25" customHeight="1" x14ac:dyDescent="0.45">
      <c r="C257" s="3"/>
      <c r="D257" s="3"/>
      <c r="E257" s="6"/>
    </row>
    <row r="258" spans="3:5" ht="17.25" customHeight="1" x14ac:dyDescent="0.45">
      <c r="C258" s="3"/>
      <c r="D258" s="3"/>
      <c r="E258" s="6"/>
    </row>
    <row r="259" spans="3:5" ht="17.25" customHeight="1" x14ac:dyDescent="0.45">
      <c r="C259" s="3"/>
      <c r="D259" s="3"/>
      <c r="E259" s="6"/>
    </row>
    <row r="260" spans="3:5" ht="17.25" customHeight="1" x14ac:dyDescent="0.45">
      <c r="C260" s="3"/>
      <c r="D260" s="3"/>
      <c r="E260" s="6"/>
    </row>
    <row r="261" spans="3:5" ht="17.25" customHeight="1" x14ac:dyDescent="0.45">
      <c r="C261" s="3"/>
      <c r="D261" s="3"/>
      <c r="E261" s="6"/>
    </row>
    <row r="262" spans="3:5" ht="17.25" customHeight="1" x14ac:dyDescent="0.45">
      <c r="C262" s="3"/>
      <c r="D262" s="3"/>
      <c r="E262" s="6"/>
    </row>
    <row r="263" spans="3:5" ht="17.25" customHeight="1" x14ac:dyDescent="0.45">
      <c r="C263" s="3"/>
      <c r="D263" s="3"/>
      <c r="E263" s="6"/>
    </row>
    <row r="264" spans="3:5" ht="17.25" customHeight="1" x14ac:dyDescent="0.45">
      <c r="C264" s="3"/>
      <c r="D264" s="3"/>
      <c r="E264" s="6"/>
    </row>
    <row r="265" spans="3:5" ht="17.25" customHeight="1" x14ac:dyDescent="0.45">
      <c r="C265" s="3"/>
      <c r="D265" s="3"/>
      <c r="E265" s="6"/>
    </row>
    <row r="266" spans="3:5" ht="17.25" customHeight="1" x14ac:dyDescent="0.45">
      <c r="C266" s="3"/>
      <c r="D266" s="3"/>
      <c r="E266" s="6"/>
    </row>
    <row r="267" spans="3:5" ht="17.25" customHeight="1" x14ac:dyDescent="0.45">
      <c r="C267" s="3"/>
      <c r="D267" s="3"/>
      <c r="E267" s="6"/>
    </row>
    <row r="268" spans="3:5" ht="17.25" customHeight="1" x14ac:dyDescent="0.45">
      <c r="C268" s="3"/>
      <c r="D268" s="3"/>
      <c r="E268" s="6"/>
    </row>
    <row r="269" spans="3:5" ht="17.25" customHeight="1" x14ac:dyDescent="0.45">
      <c r="C269" s="3"/>
      <c r="D269" s="3"/>
      <c r="E269" s="6"/>
    </row>
    <row r="270" spans="3:5" ht="17.25" customHeight="1" x14ac:dyDescent="0.45">
      <c r="C270" s="3"/>
      <c r="D270" s="3"/>
      <c r="E270" s="6"/>
    </row>
    <row r="271" spans="3:5" ht="17.25" customHeight="1" x14ac:dyDescent="0.45">
      <c r="C271" s="3"/>
      <c r="D271" s="3"/>
      <c r="E271" s="6"/>
    </row>
    <row r="272" spans="3:5" ht="17.25" customHeight="1" x14ac:dyDescent="0.45">
      <c r="C272" s="3"/>
      <c r="D272" s="3"/>
      <c r="E272" s="6"/>
    </row>
    <row r="273" spans="3:5" ht="17.25" customHeight="1" x14ac:dyDescent="0.45">
      <c r="C273" s="3"/>
      <c r="D273" s="3"/>
      <c r="E273" s="6"/>
    </row>
    <row r="274" spans="3:5" ht="17.25" customHeight="1" x14ac:dyDescent="0.45">
      <c r="C274" s="3"/>
      <c r="D274" s="3"/>
      <c r="E274" s="6"/>
    </row>
    <row r="275" spans="3:5" ht="17.25" customHeight="1" x14ac:dyDescent="0.45">
      <c r="C275" s="3"/>
      <c r="D275" s="3"/>
      <c r="E275" s="6"/>
    </row>
    <row r="276" spans="3:5" ht="17.25" customHeight="1" x14ac:dyDescent="0.45">
      <c r="C276" s="3"/>
      <c r="D276" s="3"/>
      <c r="E276" s="6"/>
    </row>
    <row r="277" spans="3:5" ht="17.25" customHeight="1" x14ac:dyDescent="0.45">
      <c r="C277" s="3"/>
      <c r="D277" s="3"/>
      <c r="E277" s="6"/>
    </row>
    <row r="278" spans="3:5" ht="17.25" customHeight="1" x14ac:dyDescent="0.45">
      <c r="C278" s="3"/>
      <c r="D278" s="3"/>
      <c r="E278" s="6"/>
    </row>
    <row r="279" spans="3:5" ht="17.25" customHeight="1" x14ac:dyDescent="0.45">
      <c r="C279" s="3"/>
      <c r="D279" s="3"/>
      <c r="E279" s="6"/>
    </row>
    <row r="280" spans="3:5" ht="17.25" customHeight="1" x14ac:dyDescent="0.45">
      <c r="C280" s="3"/>
      <c r="D280" s="3"/>
      <c r="E280" s="6"/>
    </row>
    <row r="281" spans="3:5" ht="17.25" customHeight="1" x14ac:dyDescent="0.45">
      <c r="C281" s="3"/>
      <c r="D281" s="3"/>
      <c r="E281" s="6"/>
    </row>
    <row r="282" spans="3:5" ht="17.25" customHeight="1" x14ac:dyDescent="0.45">
      <c r="C282" s="3"/>
      <c r="D282" s="3"/>
      <c r="E282" s="6"/>
    </row>
    <row r="283" spans="3:5" ht="17.25" customHeight="1" x14ac:dyDescent="0.45">
      <c r="C283" s="3"/>
      <c r="D283" s="3"/>
      <c r="E283" s="6"/>
    </row>
    <row r="284" spans="3:5" ht="17.25" customHeight="1" x14ac:dyDescent="0.45">
      <c r="C284" s="3"/>
      <c r="D284" s="3"/>
      <c r="E284" s="6"/>
    </row>
    <row r="285" spans="3:5" ht="17.25" customHeight="1" x14ac:dyDescent="0.45">
      <c r="C285" s="3"/>
      <c r="D285" s="3"/>
      <c r="E285" s="6"/>
    </row>
    <row r="286" spans="3:5" ht="17.25" customHeight="1" x14ac:dyDescent="0.45">
      <c r="C286" s="3"/>
      <c r="D286" s="3"/>
      <c r="E286" s="6"/>
    </row>
    <row r="287" spans="3:5" ht="17.25" customHeight="1" x14ac:dyDescent="0.45">
      <c r="C287" s="3"/>
      <c r="D287" s="3"/>
      <c r="E287" s="6"/>
    </row>
    <row r="288" spans="3:5" ht="17.25" customHeight="1" x14ac:dyDescent="0.45">
      <c r="C288" s="3"/>
      <c r="D288" s="3"/>
      <c r="E288" s="6"/>
    </row>
    <row r="289" spans="3:5" ht="17.25" customHeight="1" x14ac:dyDescent="0.45">
      <c r="C289" s="3"/>
      <c r="D289" s="3"/>
      <c r="E289" s="6"/>
    </row>
    <row r="290" spans="3:5" ht="17.25" customHeight="1" x14ac:dyDescent="0.45">
      <c r="C290" s="3"/>
      <c r="D290" s="3"/>
      <c r="E290" s="6"/>
    </row>
    <row r="291" spans="3:5" ht="17.25" customHeight="1" x14ac:dyDescent="0.45">
      <c r="C291" s="3"/>
      <c r="D291" s="3"/>
      <c r="E291" s="6"/>
    </row>
    <row r="292" spans="3:5" ht="17.25" customHeight="1" x14ac:dyDescent="0.45">
      <c r="C292" s="3"/>
      <c r="D292" s="3"/>
      <c r="E292" s="6"/>
    </row>
    <row r="293" spans="3:5" ht="17.25" customHeight="1" x14ac:dyDescent="0.45">
      <c r="C293" s="3"/>
      <c r="D293" s="3"/>
      <c r="E293" s="6"/>
    </row>
    <row r="294" spans="3:5" ht="17.25" customHeight="1" x14ac:dyDescent="0.45">
      <c r="C294" s="3"/>
      <c r="D294" s="3"/>
      <c r="E294" s="6"/>
    </row>
    <row r="295" spans="3:5" ht="17.25" customHeight="1" x14ac:dyDescent="0.45">
      <c r="C295" s="3"/>
      <c r="D295" s="3"/>
      <c r="E295" s="6"/>
    </row>
    <row r="296" spans="3:5" ht="17.25" customHeight="1" x14ac:dyDescent="0.45">
      <c r="C296" s="3"/>
      <c r="D296" s="3"/>
      <c r="E296" s="6"/>
    </row>
    <row r="297" spans="3:5" ht="17.25" customHeight="1" x14ac:dyDescent="0.45">
      <c r="C297" s="3"/>
      <c r="D297" s="3"/>
      <c r="E297" s="6"/>
    </row>
    <row r="298" spans="3:5" ht="17.25" customHeight="1" x14ac:dyDescent="0.45">
      <c r="C298" s="3"/>
      <c r="D298" s="3"/>
      <c r="E298" s="6"/>
    </row>
    <row r="299" spans="3:5" ht="17.25" customHeight="1" x14ac:dyDescent="0.45">
      <c r="C299" s="3"/>
      <c r="D299" s="3"/>
      <c r="E299" s="6"/>
    </row>
    <row r="300" spans="3:5" ht="17.25" customHeight="1" x14ac:dyDescent="0.45">
      <c r="C300" s="3"/>
      <c r="D300" s="3"/>
      <c r="E300" s="6"/>
    </row>
    <row r="301" spans="3:5" ht="17.25" customHeight="1" x14ac:dyDescent="0.45">
      <c r="C301" s="3"/>
      <c r="D301" s="3"/>
      <c r="E301" s="6"/>
    </row>
    <row r="302" spans="3:5" ht="17.25" customHeight="1" x14ac:dyDescent="0.45">
      <c r="C302" s="3"/>
      <c r="D302" s="3"/>
      <c r="E302" s="6"/>
    </row>
    <row r="303" spans="3:5" ht="17.25" customHeight="1" x14ac:dyDescent="0.45">
      <c r="C303" s="3"/>
      <c r="D303" s="3"/>
      <c r="E303" s="6"/>
    </row>
    <row r="304" spans="3:5" ht="17.25" customHeight="1" x14ac:dyDescent="0.45">
      <c r="C304" s="3"/>
      <c r="D304" s="3"/>
      <c r="E304" s="6"/>
    </row>
    <row r="305" spans="3:5" ht="17.25" customHeight="1" x14ac:dyDescent="0.45">
      <c r="C305" s="3"/>
      <c r="D305" s="3"/>
      <c r="E305" s="6"/>
    </row>
    <row r="306" spans="3:5" ht="17.25" customHeight="1" x14ac:dyDescent="0.45">
      <c r="C306" s="3"/>
      <c r="D306" s="3"/>
      <c r="E306" s="6"/>
    </row>
    <row r="307" spans="3:5" ht="17.25" customHeight="1" x14ac:dyDescent="0.45">
      <c r="C307" s="3"/>
      <c r="D307" s="3"/>
      <c r="E307" s="6"/>
    </row>
    <row r="308" spans="3:5" ht="17.25" customHeight="1" x14ac:dyDescent="0.45">
      <c r="C308" s="3"/>
      <c r="D308" s="3"/>
      <c r="E308" s="6"/>
    </row>
    <row r="309" spans="3:5" ht="17.25" customHeight="1" x14ac:dyDescent="0.45">
      <c r="C309" s="3"/>
      <c r="D309" s="3"/>
      <c r="E309" s="6"/>
    </row>
    <row r="310" spans="3:5" ht="17.25" customHeight="1" x14ac:dyDescent="0.45">
      <c r="C310" s="3"/>
      <c r="D310" s="3"/>
      <c r="E310" s="6"/>
    </row>
    <row r="311" spans="3:5" ht="17.25" customHeight="1" x14ac:dyDescent="0.45">
      <c r="C311" s="3"/>
      <c r="D311" s="3"/>
      <c r="E311" s="6"/>
    </row>
    <row r="312" spans="3:5" ht="17.25" customHeight="1" x14ac:dyDescent="0.45">
      <c r="C312" s="3"/>
      <c r="D312" s="3"/>
      <c r="E312" s="6"/>
    </row>
    <row r="313" spans="3:5" ht="17.25" customHeight="1" x14ac:dyDescent="0.45">
      <c r="C313" s="3"/>
      <c r="D313" s="3"/>
      <c r="E313" s="6"/>
    </row>
    <row r="314" spans="3:5" ht="17.25" customHeight="1" x14ac:dyDescent="0.45">
      <c r="C314" s="3"/>
      <c r="D314" s="3"/>
      <c r="E314" s="6"/>
    </row>
    <row r="315" spans="3:5" ht="17.25" customHeight="1" x14ac:dyDescent="0.45">
      <c r="C315" s="3"/>
      <c r="D315" s="3"/>
      <c r="E315" s="6"/>
    </row>
    <row r="316" spans="3:5" ht="17.25" customHeight="1" x14ac:dyDescent="0.45">
      <c r="C316" s="3"/>
      <c r="D316" s="3"/>
      <c r="E316" s="6"/>
    </row>
    <row r="317" spans="3:5" ht="17.25" customHeight="1" x14ac:dyDescent="0.45">
      <c r="C317" s="3"/>
      <c r="D317" s="3"/>
      <c r="E317" s="6"/>
    </row>
    <row r="318" spans="3:5" ht="17.25" customHeight="1" x14ac:dyDescent="0.45">
      <c r="C318" s="3"/>
      <c r="D318" s="3"/>
      <c r="E318" s="6"/>
    </row>
    <row r="319" spans="3:5" ht="17.25" customHeight="1" x14ac:dyDescent="0.45">
      <c r="C319" s="3"/>
      <c r="D319" s="3"/>
      <c r="E319" s="6"/>
    </row>
    <row r="320" spans="3:5" ht="17.25" customHeight="1" x14ac:dyDescent="0.45">
      <c r="C320" s="3"/>
      <c r="D320" s="3"/>
      <c r="E320" s="6"/>
    </row>
    <row r="321" spans="3:5" ht="17.25" customHeight="1" x14ac:dyDescent="0.45">
      <c r="C321" s="3"/>
      <c r="D321" s="3"/>
      <c r="E321" s="6"/>
    </row>
    <row r="322" spans="3:5" ht="17.25" customHeight="1" x14ac:dyDescent="0.45">
      <c r="C322" s="3"/>
      <c r="D322" s="3"/>
      <c r="E322" s="6"/>
    </row>
    <row r="323" spans="3:5" ht="17.25" customHeight="1" x14ac:dyDescent="0.45">
      <c r="C323" s="3"/>
      <c r="D323" s="3"/>
      <c r="E323" s="6"/>
    </row>
    <row r="324" spans="3:5" ht="17.25" customHeight="1" x14ac:dyDescent="0.45">
      <c r="C324" s="3"/>
      <c r="D324" s="3"/>
      <c r="E324" s="6"/>
    </row>
    <row r="325" spans="3:5" ht="17.25" customHeight="1" x14ac:dyDescent="0.45">
      <c r="C325" s="3"/>
      <c r="D325" s="3"/>
      <c r="E325" s="6"/>
    </row>
    <row r="326" spans="3:5" ht="17.25" customHeight="1" x14ac:dyDescent="0.45">
      <c r="C326" s="3"/>
      <c r="D326" s="3"/>
      <c r="E326" s="6"/>
    </row>
    <row r="327" spans="3:5" ht="17.25" customHeight="1" x14ac:dyDescent="0.45">
      <c r="C327" s="3"/>
      <c r="D327" s="3"/>
      <c r="E327" s="6"/>
    </row>
    <row r="328" spans="3:5" ht="17.25" customHeight="1" x14ac:dyDescent="0.45">
      <c r="C328" s="3"/>
      <c r="D328" s="3"/>
      <c r="E328" s="6"/>
    </row>
    <row r="329" spans="3:5" ht="17.25" customHeight="1" x14ac:dyDescent="0.45">
      <c r="C329" s="3"/>
      <c r="D329" s="3"/>
      <c r="E329" s="6"/>
    </row>
    <row r="330" spans="3:5" ht="17.25" customHeight="1" x14ac:dyDescent="0.45">
      <c r="C330" s="3"/>
      <c r="D330" s="3"/>
      <c r="E330" s="6"/>
    </row>
    <row r="331" spans="3:5" ht="17.25" customHeight="1" x14ac:dyDescent="0.45">
      <c r="C331" s="3"/>
      <c r="D331" s="3"/>
      <c r="E331" s="6"/>
    </row>
    <row r="332" spans="3:5" ht="17.25" customHeight="1" x14ac:dyDescent="0.45">
      <c r="C332" s="3"/>
      <c r="D332" s="3"/>
      <c r="E332" s="6"/>
    </row>
    <row r="333" spans="3:5" ht="17.25" customHeight="1" x14ac:dyDescent="0.45">
      <c r="C333" s="3"/>
      <c r="D333" s="3"/>
      <c r="E333" s="6"/>
    </row>
    <row r="334" spans="3:5" ht="17.25" customHeight="1" x14ac:dyDescent="0.45">
      <c r="C334" s="3"/>
      <c r="D334" s="3"/>
      <c r="E334" s="6"/>
    </row>
    <row r="335" spans="3:5" ht="17.25" customHeight="1" x14ac:dyDescent="0.45">
      <c r="C335" s="3"/>
      <c r="D335" s="3"/>
      <c r="E335" s="6"/>
    </row>
    <row r="336" spans="3:5" ht="17.25" customHeight="1" x14ac:dyDescent="0.45">
      <c r="C336" s="3"/>
      <c r="D336" s="3"/>
      <c r="E336" s="6"/>
    </row>
    <row r="337" spans="3:5" ht="17.25" customHeight="1" x14ac:dyDescent="0.45">
      <c r="C337" s="3"/>
      <c r="D337" s="3"/>
      <c r="E337" s="6"/>
    </row>
    <row r="338" spans="3:5" ht="17.25" customHeight="1" x14ac:dyDescent="0.45">
      <c r="C338" s="3"/>
      <c r="D338" s="3"/>
      <c r="E338" s="6"/>
    </row>
    <row r="339" spans="3:5" ht="17.25" customHeight="1" x14ac:dyDescent="0.45">
      <c r="C339" s="3"/>
      <c r="D339" s="3"/>
      <c r="E339" s="6"/>
    </row>
    <row r="340" spans="3:5" ht="17.25" customHeight="1" x14ac:dyDescent="0.45">
      <c r="C340" s="3"/>
      <c r="D340" s="3"/>
      <c r="E340" s="6"/>
    </row>
    <row r="341" spans="3:5" ht="17.25" customHeight="1" x14ac:dyDescent="0.45">
      <c r="C341" s="3"/>
      <c r="D341" s="3"/>
      <c r="E341" s="6"/>
    </row>
    <row r="342" spans="3:5" ht="17.25" customHeight="1" x14ac:dyDescent="0.45">
      <c r="C342" s="3"/>
      <c r="D342" s="3"/>
      <c r="E342" s="6"/>
    </row>
    <row r="343" spans="3:5" ht="17.25" customHeight="1" x14ac:dyDescent="0.45">
      <c r="C343" s="3"/>
      <c r="D343" s="3"/>
      <c r="E343" s="6"/>
    </row>
    <row r="344" spans="3:5" ht="17.25" customHeight="1" x14ac:dyDescent="0.45">
      <c r="C344" s="3"/>
      <c r="D344" s="3"/>
      <c r="E344" s="6"/>
    </row>
    <row r="345" spans="3:5" ht="17.25" customHeight="1" x14ac:dyDescent="0.45">
      <c r="C345" s="3"/>
      <c r="D345" s="3"/>
      <c r="E345" s="6"/>
    </row>
    <row r="346" spans="3:5" ht="17.25" customHeight="1" x14ac:dyDescent="0.45">
      <c r="C346" s="3"/>
      <c r="D346" s="3"/>
      <c r="E346" s="6"/>
    </row>
    <row r="347" spans="3:5" ht="17.25" customHeight="1" x14ac:dyDescent="0.45">
      <c r="C347" s="3"/>
      <c r="D347" s="3"/>
      <c r="E347" s="6"/>
    </row>
    <row r="348" spans="3:5" ht="17.25" customHeight="1" x14ac:dyDescent="0.45">
      <c r="C348" s="3"/>
      <c r="D348" s="3"/>
      <c r="E348" s="6"/>
    </row>
    <row r="349" spans="3:5" ht="17.25" customHeight="1" x14ac:dyDescent="0.45">
      <c r="C349" s="3"/>
      <c r="D349" s="3"/>
      <c r="E349" s="6"/>
    </row>
    <row r="350" spans="3:5" ht="17.25" customHeight="1" x14ac:dyDescent="0.45">
      <c r="C350" s="3"/>
      <c r="D350" s="3"/>
      <c r="E350" s="6"/>
    </row>
    <row r="351" spans="3:5" ht="17.25" customHeight="1" x14ac:dyDescent="0.45">
      <c r="C351" s="3"/>
      <c r="D351" s="3"/>
      <c r="E351" s="6"/>
    </row>
    <row r="352" spans="3:5" ht="17.25" customHeight="1" x14ac:dyDescent="0.45">
      <c r="C352" s="3"/>
      <c r="D352" s="3"/>
      <c r="E352" s="6"/>
    </row>
    <row r="353" spans="3:5" ht="17.25" customHeight="1" x14ac:dyDescent="0.45">
      <c r="C353" s="3"/>
      <c r="D353" s="3"/>
      <c r="E353" s="6"/>
    </row>
    <row r="354" spans="3:5" ht="17.25" customHeight="1" x14ac:dyDescent="0.45">
      <c r="C354" s="3"/>
      <c r="D354" s="3"/>
      <c r="E354" s="6"/>
    </row>
    <row r="355" spans="3:5" ht="17.25" customHeight="1" x14ac:dyDescent="0.45">
      <c r="C355" s="3"/>
      <c r="D355" s="3"/>
      <c r="E355" s="6"/>
    </row>
    <row r="356" spans="3:5" ht="17.25" customHeight="1" x14ac:dyDescent="0.45">
      <c r="C356" s="3"/>
      <c r="D356" s="3"/>
      <c r="E356" s="6"/>
    </row>
    <row r="357" spans="3:5" ht="17.25" customHeight="1" x14ac:dyDescent="0.45">
      <c r="C357" s="3"/>
      <c r="D357" s="3"/>
      <c r="E357" s="6"/>
    </row>
    <row r="358" spans="3:5" ht="17.25" customHeight="1" x14ac:dyDescent="0.45">
      <c r="C358" s="3"/>
      <c r="D358" s="3"/>
      <c r="E358" s="6"/>
    </row>
    <row r="359" spans="3:5" ht="17.25" customHeight="1" x14ac:dyDescent="0.45">
      <c r="C359" s="3"/>
      <c r="D359" s="3"/>
      <c r="E359" s="6"/>
    </row>
    <row r="360" spans="3:5" ht="17.25" customHeight="1" x14ac:dyDescent="0.45">
      <c r="C360" s="3"/>
      <c r="D360" s="3"/>
      <c r="E360" s="6"/>
    </row>
    <row r="361" spans="3:5" ht="17.25" customHeight="1" x14ac:dyDescent="0.45">
      <c r="C361" s="3"/>
      <c r="D361" s="3"/>
      <c r="E361" s="6"/>
    </row>
    <row r="362" spans="3:5" ht="17.25" customHeight="1" x14ac:dyDescent="0.45">
      <c r="C362" s="3"/>
      <c r="D362" s="3"/>
      <c r="E362" s="6"/>
    </row>
    <row r="363" spans="3:5" ht="17.25" customHeight="1" x14ac:dyDescent="0.45">
      <c r="C363" s="3"/>
      <c r="D363" s="3"/>
      <c r="E363" s="6"/>
    </row>
    <row r="364" spans="3:5" ht="17.25" customHeight="1" x14ac:dyDescent="0.45">
      <c r="C364" s="3"/>
      <c r="D364" s="3"/>
      <c r="E364" s="6"/>
    </row>
    <row r="365" spans="3:5" ht="17.25" customHeight="1" x14ac:dyDescent="0.45">
      <c r="C365" s="3"/>
      <c r="D365" s="3"/>
      <c r="E365" s="6"/>
    </row>
    <row r="366" spans="3:5" ht="17.25" customHeight="1" x14ac:dyDescent="0.45">
      <c r="C366" s="3"/>
      <c r="D366" s="3"/>
      <c r="E366" s="6"/>
    </row>
    <row r="367" spans="3:5" ht="17.25" customHeight="1" x14ac:dyDescent="0.45">
      <c r="C367" s="3"/>
      <c r="D367" s="3"/>
      <c r="E367" s="6"/>
    </row>
    <row r="368" spans="3:5" ht="17.25" customHeight="1" x14ac:dyDescent="0.45">
      <c r="C368" s="3"/>
      <c r="D368" s="3"/>
      <c r="E368" s="6"/>
    </row>
    <row r="369" spans="3:5" ht="17.25" customHeight="1" x14ac:dyDescent="0.45">
      <c r="C369" s="3"/>
      <c r="D369" s="3"/>
      <c r="E369" s="6"/>
    </row>
    <row r="370" spans="3:5" ht="17.25" customHeight="1" x14ac:dyDescent="0.45">
      <c r="C370" s="3"/>
      <c r="D370" s="3"/>
      <c r="E370" s="6"/>
    </row>
    <row r="371" spans="3:5" ht="17.25" customHeight="1" x14ac:dyDescent="0.45">
      <c r="C371" s="3"/>
      <c r="D371" s="3"/>
      <c r="E371" s="6"/>
    </row>
    <row r="372" spans="3:5" ht="17.25" customHeight="1" x14ac:dyDescent="0.45">
      <c r="C372" s="3"/>
      <c r="D372" s="3"/>
      <c r="E372" s="6"/>
    </row>
    <row r="373" spans="3:5" ht="17.25" customHeight="1" x14ac:dyDescent="0.45">
      <c r="C373" s="3"/>
      <c r="D373" s="3"/>
      <c r="E373" s="6"/>
    </row>
    <row r="374" spans="3:5" ht="17.25" customHeight="1" x14ac:dyDescent="0.45">
      <c r="C374" s="3"/>
      <c r="D374" s="3"/>
      <c r="E374" s="6"/>
    </row>
    <row r="375" spans="3:5" ht="17.25" customHeight="1" x14ac:dyDescent="0.45">
      <c r="C375" s="3"/>
      <c r="D375" s="3"/>
      <c r="E375" s="6"/>
    </row>
    <row r="376" spans="3:5" ht="17.25" customHeight="1" x14ac:dyDescent="0.45">
      <c r="C376" s="3"/>
      <c r="D376" s="3"/>
      <c r="E376" s="6"/>
    </row>
    <row r="377" spans="3:5" ht="17.25" customHeight="1" x14ac:dyDescent="0.45">
      <c r="C377" s="3"/>
      <c r="D377" s="3"/>
      <c r="E377" s="6"/>
    </row>
    <row r="378" spans="3:5" ht="17.25" customHeight="1" x14ac:dyDescent="0.45">
      <c r="C378" s="3"/>
      <c r="D378" s="3"/>
      <c r="E378" s="6"/>
    </row>
    <row r="379" spans="3:5" ht="17.25" customHeight="1" x14ac:dyDescent="0.45">
      <c r="C379" s="3"/>
      <c r="D379" s="3"/>
      <c r="E379" s="6"/>
    </row>
    <row r="380" spans="3:5" ht="17.25" customHeight="1" x14ac:dyDescent="0.45">
      <c r="C380" s="3"/>
      <c r="D380" s="3"/>
      <c r="E380" s="6"/>
    </row>
    <row r="381" spans="3:5" ht="17.25" customHeight="1" x14ac:dyDescent="0.45">
      <c r="C381" s="3"/>
      <c r="D381" s="3"/>
      <c r="E381" s="6"/>
    </row>
    <row r="382" spans="3:5" ht="17.25" customHeight="1" x14ac:dyDescent="0.45">
      <c r="C382" s="3"/>
      <c r="D382" s="3"/>
      <c r="E382" s="6"/>
    </row>
    <row r="383" spans="3:5" ht="17.25" customHeight="1" x14ac:dyDescent="0.45">
      <c r="C383" s="3"/>
      <c r="D383" s="3"/>
      <c r="E383" s="6"/>
    </row>
    <row r="384" spans="3:5" ht="17.25" customHeight="1" x14ac:dyDescent="0.45">
      <c r="C384" s="3"/>
      <c r="D384" s="3"/>
      <c r="E384" s="6"/>
    </row>
    <row r="385" spans="3:5" ht="17.25" customHeight="1" x14ac:dyDescent="0.45">
      <c r="C385" s="3"/>
      <c r="D385" s="3"/>
      <c r="E385" s="6"/>
    </row>
    <row r="386" spans="3:5" ht="17.25" customHeight="1" x14ac:dyDescent="0.45">
      <c r="C386" s="3"/>
      <c r="D386" s="3"/>
      <c r="E386" s="6"/>
    </row>
    <row r="387" spans="3:5" ht="17.25" customHeight="1" x14ac:dyDescent="0.45">
      <c r="C387" s="3"/>
      <c r="D387" s="3"/>
      <c r="E387" s="6"/>
    </row>
    <row r="388" spans="3:5" ht="17.25" customHeight="1" x14ac:dyDescent="0.45">
      <c r="C388" s="3"/>
      <c r="D388" s="3"/>
      <c r="E388" s="6"/>
    </row>
    <row r="389" spans="3:5" ht="17.25" customHeight="1" x14ac:dyDescent="0.45">
      <c r="C389" s="3"/>
      <c r="D389" s="3"/>
      <c r="E389" s="6"/>
    </row>
    <row r="390" spans="3:5" ht="17.25" customHeight="1" x14ac:dyDescent="0.45">
      <c r="C390" s="3"/>
      <c r="D390" s="3"/>
      <c r="E390" s="6"/>
    </row>
    <row r="391" spans="3:5" ht="17.25" customHeight="1" x14ac:dyDescent="0.45">
      <c r="C391" s="3"/>
      <c r="D391" s="3"/>
      <c r="E391" s="6"/>
    </row>
    <row r="392" spans="3:5" ht="17.25" customHeight="1" x14ac:dyDescent="0.45">
      <c r="C392" s="3"/>
      <c r="D392" s="3"/>
      <c r="E392" s="6"/>
    </row>
    <row r="393" spans="3:5" ht="17.25" customHeight="1" x14ac:dyDescent="0.45">
      <c r="C393" s="3"/>
      <c r="D393" s="3"/>
      <c r="E393" s="6"/>
    </row>
    <row r="394" spans="3:5" ht="17.25" customHeight="1" x14ac:dyDescent="0.45">
      <c r="C394" s="3"/>
      <c r="D394" s="3"/>
      <c r="E394" s="6"/>
    </row>
    <row r="395" spans="3:5" ht="17.25" customHeight="1" x14ac:dyDescent="0.45">
      <c r="C395" s="3"/>
      <c r="D395" s="3"/>
      <c r="E395" s="6"/>
    </row>
    <row r="396" spans="3:5" ht="17.25" customHeight="1" x14ac:dyDescent="0.45">
      <c r="C396" s="3"/>
      <c r="D396" s="3"/>
      <c r="E396" s="6"/>
    </row>
    <row r="397" spans="3:5" ht="17.25" customHeight="1" x14ac:dyDescent="0.45">
      <c r="C397" s="3"/>
      <c r="D397" s="3"/>
      <c r="E397" s="6"/>
    </row>
    <row r="398" spans="3:5" ht="17.25" customHeight="1" x14ac:dyDescent="0.45">
      <c r="C398" s="3"/>
      <c r="D398" s="3"/>
      <c r="E398" s="6"/>
    </row>
    <row r="399" spans="3:5" ht="17.25" customHeight="1" x14ac:dyDescent="0.45">
      <c r="C399" s="3"/>
      <c r="D399" s="3"/>
      <c r="E399" s="6"/>
    </row>
    <row r="400" spans="3:5" ht="17.25" customHeight="1" x14ac:dyDescent="0.45">
      <c r="C400" s="3"/>
      <c r="D400" s="3"/>
      <c r="E400" s="6"/>
    </row>
    <row r="401" spans="3:5" ht="17.25" customHeight="1" x14ac:dyDescent="0.45">
      <c r="C401" s="3"/>
      <c r="D401" s="3"/>
      <c r="E401" s="6"/>
    </row>
    <row r="402" spans="3:5" ht="17.25" customHeight="1" x14ac:dyDescent="0.45">
      <c r="C402" s="3"/>
      <c r="D402" s="3"/>
      <c r="E402" s="6"/>
    </row>
    <row r="403" spans="3:5" ht="17.25" customHeight="1" x14ac:dyDescent="0.45">
      <c r="C403" s="3"/>
      <c r="D403" s="3"/>
      <c r="E403" s="6"/>
    </row>
    <row r="404" spans="3:5" ht="17.25" customHeight="1" x14ac:dyDescent="0.45">
      <c r="C404" s="3"/>
      <c r="D404" s="3"/>
      <c r="E404" s="6"/>
    </row>
    <row r="405" spans="3:5" ht="17.25" customHeight="1" x14ac:dyDescent="0.45">
      <c r="C405" s="3"/>
      <c r="D405" s="3"/>
      <c r="E405" s="6"/>
    </row>
    <row r="406" spans="3:5" ht="17.25" customHeight="1" x14ac:dyDescent="0.45">
      <c r="C406" s="3"/>
      <c r="D406" s="3"/>
      <c r="E406" s="6"/>
    </row>
    <row r="407" spans="3:5" ht="17.25" customHeight="1" x14ac:dyDescent="0.45">
      <c r="C407" s="3"/>
      <c r="D407" s="3"/>
      <c r="E407" s="6"/>
    </row>
    <row r="408" spans="3:5" ht="17.25" customHeight="1" x14ac:dyDescent="0.45">
      <c r="C408" s="3"/>
      <c r="D408" s="3"/>
      <c r="E408" s="6"/>
    </row>
    <row r="409" spans="3:5" ht="17.25" customHeight="1" x14ac:dyDescent="0.45">
      <c r="C409" s="3"/>
      <c r="D409" s="3"/>
      <c r="E409" s="6"/>
    </row>
    <row r="410" spans="3:5" ht="17.25" customHeight="1" x14ac:dyDescent="0.45">
      <c r="C410" s="3"/>
      <c r="D410" s="3"/>
      <c r="E410" s="6"/>
    </row>
    <row r="411" spans="3:5" ht="17.25" customHeight="1" x14ac:dyDescent="0.45">
      <c r="C411" s="3"/>
      <c r="D411" s="3"/>
      <c r="E411" s="6"/>
    </row>
    <row r="412" spans="3:5" ht="17.25" customHeight="1" x14ac:dyDescent="0.45">
      <c r="C412" s="3"/>
      <c r="D412" s="3"/>
      <c r="E412" s="6"/>
    </row>
    <row r="413" spans="3:5" ht="17.25" customHeight="1" x14ac:dyDescent="0.45">
      <c r="C413" s="3"/>
      <c r="D413" s="3"/>
      <c r="E413" s="6"/>
    </row>
    <row r="414" spans="3:5" ht="17.25" customHeight="1" x14ac:dyDescent="0.45">
      <c r="C414" s="3"/>
      <c r="D414" s="3"/>
      <c r="E414" s="6"/>
    </row>
    <row r="415" spans="3:5" ht="17.25" customHeight="1" x14ac:dyDescent="0.45">
      <c r="C415" s="3"/>
      <c r="D415" s="3"/>
      <c r="E415" s="6"/>
    </row>
    <row r="416" spans="3:5" ht="17.25" customHeight="1" x14ac:dyDescent="0.45">
      <c r="C416" s="3"/>
      <c r="D416" s="3"/>
      <c r="E416" s="6"/>
    </row>
    <row r="417" spans="3:5" ht="17.25" customHeight="1" x14ac:dyDescent="0.45">
      <c r="C417" s="3"/>
      <c r="D417" s="3"/>
      <c r="E417" s="6"/>
    </row>
    <row r="418" spans="3:5" ht="17.25" customHeight="1" x14ac:dyDescent="0.45">
      <c r="C418" s="3"/>
      <c r="D418" s="3"/>
      <c r="E418" s="6"/>
    </row>
    <row r="419" spans="3:5" ht="17.25" customHeight="1" x14ac:dyDescent="0.45">
      <c r="C419" s="3"/>
      <c r="D419" s="3"/>
      <c r="E419" s="6"/>
    </row>
    <row r="420" spans="3:5" ht="17.25" customHeight="1" x14ac:dyDescent="0.45">
      <c r="C420" s="3"/>
      <c r="D420" s="3"/>
      <c r="E420" s="6"/>
    </row>
    <row r="421" spans="3:5" ht="17.25" customHeight="1" x14ac:dyDescent="0.45">
      <c r="C421" s="3"/>
      <c r="D421" s="3"/>
      <c r="E421" s="6"/>
    </row>
    <row r="422" spans="3:5" ht="17.25" customHeight="1" x14ac:dyDescent="0.45">
      <c r="C422" s="3"/>
      <c r="D422" s="3"/>
      <c r="E422" s="6"/>
    </row>
    <row r="423" spans="3:5" ht="17.25" customHeight="1" x14ac:dyDescent="0.45">
      <c r="C423" s="3"/>
      <c r="D423" s="3"/>
      <c r="E423" s="6"/>
    </row>
    <row r="424" spans="3:5" ht="17.25" customHeight="1" x14ac:dyDescent="0.45">
      <c r="C424" s="3"/>
      <c r="D424" s="3"/>
      <c r="E424" s="6"/>
    </row>
    <row r="425" spans="3:5" ht="17.25" customHeight="1" x14ac:dyDescent="0.45">
      <c r="C425" s="3"/>
      <c r="D425" s="3"/>
      <c r="E425" s="6"/>
    </row>
    <row r="426" spans="3:5" ht="17.25" customHeight="1" x14ac:dyDescent="0.45">
      <c r="C426" s="3"/>
      <c r="D426" s="3"/>
      <c r="E426" s="6"/>
    </row>
    <row r="427" spans="3:5" ht="17.25" customHeight="1" x14ac:dyDescent="0.45">
      <c r="C427" s="3"/>
      <c r="D427" s="3"/>
      <c r="E427" s="6"/>
    </row>
    <row r="428" spans="3:5" ht="17.25" customHeight="1" x14ac:dyDescent="0.45">
      <c r="C428" s="3"/>
      <c r="D428" s="3"/>
      <c r="E428" s="6"/>
    </row>
    <row r="429" spans="3:5" ht="17.25" customHeight="1" x14ac:dyDescent="0.45">
      <c r="C429" s="3"/>
      <c r="D429" s="3"/>
      <c r="E429" s="6"/>
    </row>
    <row r="430" spans="3:5" ht="17.25" customHeight="1" x14ac:dyDescent="0.45">
      <c r="C430" s="3"/>
      <c r="D430" s="3"/>
      <c r="E430" s="6"/>
    </row>
    <row r="431" spans="3:5" ht="17.25" customHeight="1" x14ac:dyDescent="0.45">
      <c r="C431" s="3"/>
      <c r="D431" s="3"/>
      <c r="E431" s="6"/>
    </row>
    <row r="432" spans="3:5" ht="17.25" customHeight="1" x14ac:dyDescent="0.45">
      <c r="C432" s="3"/>
      <c r="D432" s="3"/>
      <c r="E432" s="6"/>
    </row>
    <row r="433" spans="3:5" ht="17.25" customHeight="1" x14ac:dyDescent="0.45">
      <c r="C433" s="3"/>
      <c r="D433" s="3"/>
      <c r="E433" s="6"/>
    </row>
    <row r="434" spans="3:5" ht="17.25" customHeight="1" x14ac:dyDescent="0.45">
      <c r="C434" s="3"/>
      <c r="D434" s="3"/>
      <c r="E434" s="6"/>
    </row>
    <row r="435" spans="3:5" ht="17.25" customHeight="1" x14ac:dyDescent="0.45">
      <c r="C435" s="3"/>
      <c r="D435" s="3"/>
      <c r="E435" s="6"/>
    </row>
    <row r="436" spans="3:5" ht="17.25" customHeight="1" x14ac:dyDescent="0.45">
      <c r="C436" s="3"/>
      <c r="D436" s="3"/>
      <c r="E436" s="6"/>
    </row>
    <row r="437" spans="3:5" ht="17.25" customHeight="1" x14ac:dyDescent="0.45">
      <c r="C437" s="3"/>
      <c r="D437" s="3"/>
      <c r="E437" s="6"/>
    </row>
    <row r="438" spans="3:5" ht="17.25" customHeight="1" x14ac:dyDescent="0.45">
      <c r="C438" s="3"/>
      <c r="D438" s="3"/>
      <c r="E438" s="6"/>
    </row>
    <row r="439" spans="3:5" ht="17.25" customHeight="1" x14ac:dyDescent="0.45">
      <c r="C439" s="3"/>
      <c r="D439" s="3"/>
      <c r="E439" s="6"/>
    </row>
    <row r="440" spans="3:5" ht="17.25" customHeight="1" x14ac:dyDescent="0.45">
      <c r="C440" s="3"/>
      <c r="D440" s="3"/>
      <c r="E440" s="6"/>
    </row>
    <row r="441" spans="3:5" ht="17.25" customHeight="1" x14ac:dyDescent="0.45">
      <c r="C441" s="3"/>
      <c r="D441" s="3"/>
      <c r="E441" s="6"/>
    </row>
    <row r="442" spans="3:5" ht="17.25" customHeight="1" x14ac:dyDescent="0.45">
      <c r="C442" s="3"/>
      <c r="D442" s="3"/>
      <c r="E442" s="6"/>
    </row>
    <row r="443" spans="3:5" ht="17.25" customHeight="1" x14ac:dyDescent="0.45">
      <c r="C443" s="3"/>
      <c r="D443" s="3"/>
      <c r="E443" s="6"/>
    </row>
    <row r="444" spans="3:5" ht="17.25" customHeight="1" x14ac:dyDescent="0.45">
      <c r="C444" s="3"/>
      <c r="D444" s="3"/>
      <c r="E444" s="6"/>
    </row>
    <row r="445" spans="3:5" ht="17.25" customHeight="1" x14ac:dyDescent="0.45">
      <c r="C445" s="3"/>
      <c r="D445" s="3"/>
      <c r="E445" s="6"/>
    </row>
    <row r="446" spans="3:5" ht="17.25" customHeight="1" x14ac:dyDescent="0.45">
      <c r="C446" s="3"/>
      <c r="D446" s="3"/>
      <c r="E446" s="6"/>
    </row>
    <row r="447" spans="3:5" ht="17.25" customHeight="1" x14ac:dyDescent="0.45">
      <c r="C447" s="3"/>
      <c r="D447" s="3"/>
      <c r="E447" s="6"/>
    </row>
    <row r="448" spans="3:5" ht="17.25" customHeight="1" x14ac:dyDescent="0.45">
      <c r="C448" s="3"/>
      <c r="D448" s="3"/>
      <c r="E448" s="6"/>
    </row>
    <row r="449" spans="3:5" ht="17.25" customHeight="1" x14ac:dyDescent="0.45">
      <c r="C449" s="3"/>
      <c r="D449" s="3"/>
      <c r="E449" s="6"/>
    </row>
    <row r="450" spans="3:5" ht="17.25" customHeight="1" x14ac:dyDescent="0.45">
      <c r="C450" s="3"/>
      <c r="D450" s="3"/>
      <c r="E450" s="6"/>
    </row>
    <row r="451" spans="3:5" ht="17.25" customHeight="1" x14ac:dyDescent="0.45">
      <c r="C451" s="3"/>
      <c r="D451" s="3"/>
      <c r="E451" s="6"/>
    </row>
    <row r="452" spans="3:5" ht="17.25" customHeight="1" x14ac:dyDescent="0.45">
      <c r="C452" s="3"/>
      <c r="D452" s="3"/>
      <c r="E452" s="6"/>
    </row>
    <row r="453" spans="3:5" ht="17.25" customHeight="1" x14ac:dyDescent="0.45">
      <c r="C453" s="3"/>
      <c r="D453" s="3"/>
      <c r="E453" s="6"/>
    </row>
    <row r="454" spans="3:5" ht="17.25" customHeight="1" x14ac:dyDescent="0.45">
      <c r="C454" s="3"/>
      <c r="D454" s="3"/>
      <c r="E454" s="6"/>
    </row>
    <row r="455" spans="3:5" ht="17.25" customHeight="1" x14ac:dyDescent="0.45">
      <c r="C455" s="3"/>
      <c r="D455" s="3"/>
      <c r="E455" s="6"/>
    </row>
    <row r="456" spans="3:5" ht="17.25" customHeight="1" x14ac:dyDescent="0.45">
      <c r="C456" s="3"/>
      <c r="D456" s="3"/>
      <c r="E456" s="6"/>
    </row>
    <row r="457" spans="3:5" ht="17.25" customHeight="1" x14ac:dyDescent="0.45">
      <c r="C457" s="3"/>
      <c r="D457" s="3"/>
      <c r="E457" s="6"/>
    </row>
    <row r="458" spans="3:5" ht="17.25" customHeight="1" x14ac:dyDescent="0.45">
      <c r="C458" s="3"/>
      <c r="D458" s="3"/>
      <c r="E458" s="6"/>
    </row>
    <row r="459" spans="3:5" ht="17.25" customHeight="1" x14ac:dyDescent="0.45">
      <c r="C459" s="3"/>
      <c r="D459" s="3"/>
      <c r="E459" s="6"/>
    </row>
    <row r="460" spans="3:5" ht="17.25" customHeight="1" x14ac:dyDescent="0.45">
      <c r="C460" s="3"/>
      <c r="D460" s="3"/>
      <c r="E460" s="6"/>
    </row>
    <row r="461" spans="3:5" ht="17.25" customHeight="1" x14ac:dyDescent="0.45">
      <c r="C461" s="3"/>
      <c r="D461" s="3"/>
      <c r="E461" s="6"/>
    </row>
    <row r="462" spans="3:5" ht="17.25" customHeight="1" x14ac:dyDescent="0.45">
      <c r="C462" s="3"/>
      <c r="D462" s="3"/>
      <c r="E462" s="6"/>
    </row>
    <row r="463" spans="3:5" ht="17.25" customHeight="1" x14ac:dyDescent="0.45">
      <c r="C463" s="3"/>
      <c r="D463" s="3"/>
      <c r="E463" s="6"/>
    </row>
    <row r="464" spans="3:5" ht="17.25" customHeight="1" x14ac:dyDescent="0.45">
      <c r="C464" s="3"/>
      <c r="D464" s="3"/>
      <c r="E464" s="6"/>
    </row>
    <row r="465" spans="3:5" ht="17.25" customHeight="1" x14ac:dyDescent="0.45">
      <c r="C465" s="3"/>
      <c r="D465" s="3"/>
      <c r="E465" s="6"/>
    </row>
    <row r="466" spans="3:5" ht="17.25" customHeight="1" x14ac:dyDescent="0.45">
      <c r="C466" s="3"/>
      <c r="D466" s="3"/>
      <c r="E466" s="6"/>
    </row>
    <row r="467" spans="3:5" ht="17.25" customHeight="1" x14ac:dyDescent="0.45">
      <c r="C467" s="3"/>
      <c r="D467" s="3"/>
      <c r="E467" s="6"/>
    </row>
    <row r="468" spans="3:5" ht="17.25" customHeight="1" x14ac:dyDescent="0.45">
      <c r="C468" s="3"/>
      <c r="D468" s="3"/>
      <c r="E468" s="6"/>
    </row>
    <row r="469" spans="3:5" ht="17.25" customHeight="1" x14ac:dyDescent="0.45">
      <c r="C469" s="3"/>
      <c r="D469" s="3"/>
      <c r="E469" s="6"/>
    </row>
    <row r="470" spans="3:5" ht="17.25" customHeight="1" x14ac:dyDescent="0.45">
      <c r="C470" s="3"/>
      <c r="D470" s="3"/>
      <c r="E470" s="6"/>
    </row>
    <row r="471" spans="3:5" ht="17.25" customHeight="1" x14ac:dyDescent="0.45">
      <c r="C471" s="3"/>
      <c r="D471" s="3"/>
      <c r="E471" s="6"/>
    </row>
    <row r="472" spans="3:5" ht="17.25" customHeight="1" x14ac:dyDescent="0.45">
      <c r="C472" s="3"/>
      <c r="D472" s="3"/>
      <c r="E472" s="6"/>
    </row>
    <row r="473" spans="3:5" ht="17.25" customHeight="1" x14ac:dyDescent="0.45">
      <c r="C473" s="3"/>
      <c r="D473" s="3"/>
      <c r="E473" s="6"/>
    </row>
    <row r="474" spans="3:5" ht="17.25" customHeight="1" x14ac:dyDescent="0.45">
      <c r="C474" s="3"/>
      <c r="D474" s="3"/>
      <c r="E474" s="6"/>
    </row>
    <row r="475" spans="3:5" ht="17.25" customHeight="1" x14ac:dyDescent="0.45">
      <c r="C475" s="3"/>
      <c r="D475" s="3"/>
      <c r="E475" s="6"/>
    </row>
    <row r="476" spans="3:5" ht="17.25" customHeight="1" x14ac:dyDescent="0.45">
      <c r="C476" s="3"/>
      <c r="D476" s="3"/>
      <c r="E476" s="6"/>
    </row>
    <row r="477" spans="3:5" ht="17.25" customHeight="1" x14ac:dyDescent="0.45">
      <c r="C477" s="3"/>
      <c r="D477" s="3"/>
      <c r="E477" s="6"/>
    </row>
    <row r="478" spans="3:5" ht="17.25" customHeight="1" x14ac:dyDescent="0.45">
      <c r="C478" s="3"/>
      <c r="D478" s="3"/>
      <c r="E478" s="6"/>
    </row>
    <row r="479" spans="3:5" ht="17.25" customHeight="1" x14ac:dyDescent="0.45">
      <c r="C479" s="3"/>
      <c r="D479" s="3"/>
      <c r="E479" s="6"/>
    </row>
    <row r="480" spans="3:5" ht="17.25" customHeight="1" x14ac:dyDescent="0.45">
      <c r="C480" s="3"/>
      <c r="D480" s="3"/>
      <c r="E480" s="6"/>
    </row>
    <row r="481" spans="3:5" ht="17.25" customHeight="1" x14ac:dyDescent="0.45">
      <c r="C481" s="3"/>
      <c r="D481" s="3"/>
      <c r="E481" s="6"/>
    </row>
    <row r="482" spans="3:5" ht="17.25" customHeight="1" x14ac:dyDescent="0.45">
      <c r="C482" s="3"/>
      <c r="D482" s="3"/>
      <c r="E482" s="6"/>
    </row>
    <row r="483" spans="3:5" ht="17.25" customHeight="1" x14ac:dyDescent="0.45">
      <c r="C483" s="3"/>
      <c r="D483" s="3"/>
      <c r="E483" s="6"/>
    </row>
    <row r="484" spans="3:5" ht="17.25" customHeight="1" x14ac:dyDescent="0.45">
      <c r="C484" s="3"/>
      <c r="D484" s="3"/>
      <c r="E484" s="6"/>
    </row>
    <row r="485" spans="3:5" ht="17.25" customHeight="1" x14ac:dyDescent="0.45">
      <c r="C485" s="3"/>
      <c r="D485" s="3"/>
      <c r="E485" s="6"/>
    </row>
    <row r="486" spans="3:5" ht="17.25" customHeight="1" x14ac:dyDescent="0.45">
      <c r="C486" s="3"/>
      <c r="D486" s="3"/>
      <c r="E486" s="6"/>
    </row>
    <row r="487" spans="3:5" ht="17.25" customHeight="1" x14ac:dyDescent="0.45">
      <c r="C487" s="3"/>
      <c r="D487" s="3"/>
      <c r="E487" s="6"/>
    </row>
    <row r="488" spans="3:5" ht="17.25" customHeight="1" x14ac:dyDescent="0.45">
      <c r="C488" s="3"/>
      <c r="D488" s="3"/>
      <c r="E488" s="6"/>
    </row>
    <row r="489" spans="3:5" ht="17.25" customHeight="1" x14ac:dyDescent="0.45">
      <c r="C489" s="3"/>
      <c r="D489" s="3"/>
      <c r="E489" s="6"/>
    </row>
    <row r="490" spans="3:5" ht="17.25" customHeight="1" x14ac:dyDescent="0.45">
      <c r="C490" s="3"/>
      <c r="D490" s="3"/>
      <c r="E490" s="6"/>
    </row>
    <row r="491" spans="3:5" ht="17.25" customHeight="1" x14ac:dyDescent="0.45">
      <c r="C491" s="3"/>
      <c r="D491" s="3"/>
      <c r="E491" s="6"/>
    </row>
    <row r="492" spans="3:5" ht="17.25" customHeight="1" x14ac:dyDescent="0.45">
      <c r="C492" s="3"/>
      <c r="D492" s="3"/>
      <c r="E492" s="6"/>
    </row>
    <row r="493" spans="3:5" ht="17.25" customHeight="1" x14ac:dyDescent="0.45">
      <c r="C493" s="3"/>
      <c r="D493" s="3"/>
      <c r="E493" s="6"/>
    </row>
    <row r="494" spans="3:5" ht="17.25" customHeight="1" x14ac:dyDescent="0.45">
      <c r="C494" s="3"/>
      <c r="D494" s="3"/>
      <c r="E494" s="6"/>
    </row>
    <row r="495" spans="3:5" ht="17.25" customHeight="1" x14ac:dyDescent="0.45">
      <c r="C495" s="3"/>
      <c r="D495" s="3"/>
      <c r="E495" s="6"/>
    </row>
    <row r="496" spans="3:5" ht="17.25" customHeight="1" x14ac:dyDescent="0.45">
      <c r="C496" s="3"/>
      <c r="D496" s="3"/>
      <c r="E496" s="6"/>
    </row>
    <row r="497" spans="3:5" ht="17.25" customHeight="1" x14ac:dyDescent="0.45">
      <c r="C497" s="3"/>
      <c r="D497" s="3"/>
      <c r="E497" s="6"/>
    </row>
    <row r="498" spans="3:5" ht="17.25" customHeight="1" x14ac:dyDescent="0.45">
      <c r="C498" s="3"/>
      <c r="D498" s="3"/>
      <c r="E498" s="6"/>
    </row>
    <row r="499" spans="3:5" ht="17.25" customHeight="1" x14ac:dyDescent="0.45">
      <c r="C499" s="3"/>
      <c r="D499" s="3"/>
      <c r="E499" s="6"/>
    </row>
    <row r="500" spans="3:5" ht="17.25" customHeight="1" x14ac:dyDescent="0.45">
      <c r="C500" s="3"/>
      <c r="D500" s="3"/>
      <c r="E500" s="6"/>
    </row>
    <row r="501" spans="3:5" ht="17.25" customHeight="1" x14ac:dyDescent="0.45">
      <c r="C501" s="3"/>
      <c r="D501" s="3"/>
      <c r="E501" s="6"/>
    </row>
    <row r="502" spans="3:5" ht="17.25" customHeight="1" x14ac:dyDescent="0.45">
      <c r="C502" s="3"/>
      <c r="D502" s="3"/>
      <c r="E502" s="6"/>
    </row>
    <row r="503" spans="3:5" ht="17.25" customHeight="1" x14ac:dyDescent="0.45">
      <c r="C503" s="3"/>
      <c r="D503" s="3"/>
      <c r="E503" s="6"/>
    </row>
    <row r="504" spans="3:5" ht="17.25" customHeight="1" x14ac:dyDescent="0.45">
      <c r="C504" s="3"/>
      <c r="D504" s="3"/>
      <c r="E504" s="6"/>
    </row>
    <row r="505" spans="3:5" ht="17.25" customHeight="1" x14ac:dyDescent="0.45">
      <c r="C505" s="3"/>
      <c r="D505" s="3"/>
      <c r="E505" s="6"/>
    </row>
    <row r="506" spans="3:5" ht="17.25" customHeight="1" x14ac:dyDescent="0.45">
      <c r="C506" s="3"/>
      <c r="D506" s="3"/>
      <c r="E506" s="6"/>
    </row>
    <row r="507" spans="3:5" ht="17.25" customHeight="1" x14ac:dyDescent="0.45">
      <c r="C507" s="3"/>
      <c r="D507" s="3"/>
      <c r="E507" s="6"/>
    </row>
    <row r="508" spans="3:5" ht="17.25" customHeight="1" x14ac:dyDescent="0.45">
      <c r="C508" s="3"/>
      <c r="D508" s="3"/>
      <c r="E508" s="6"/>
    </row>
    <row r="509" spans="3:5" ht="17.25" customHeight="1" x14ac:dyDescent="0.45">
      <c r="C509" s="3"/>
      <c r="D509" s="3"/>
      <c r="E509" s="6"/>
    </row>
    <row r="510" spans="3:5" ht="17.25" customHeight="1" x14ac:dyDescent="0.45">
      <c r="C510" s="3"/>
      <c r="D510" s="3"/>
      <c r="E510" s="6"/>
    </row>
    <row r="511" spans="3:5" ht="17.25" customHeight="1" x14ac:dyDescent="0.45">
      <c r="C511" s="3"/>
      <c r="D511" s="3"/>
      <c r="E511" s="6"/>
    </row>
    <row r="512" spans="3:5" ht="17.25" customHeight="1" x14ac:dyDescent="0.45">
      <c r="C512" s="3"/>
      <c r="D512" s="3"/>
      <c r="E512" s="6"/>
    </row>
    <row r="513" spans="3:5" ht="17.25" customHeight="1" x14ac:dyDescent="0.45">
      <c r="C513" s="3"/>
      <c r="D513" s="3"/>
      <c r="E513" s="6"/>
    </row>
    <row r="514" spans="3:5" ht="17.25" customHeight="1" x14ac:dyDescent="0.45">
      <c r="C514" s="3"/>
      <c r="D514" s="3"/>
      <c r="E514" s="6"/>
    </row>
    <row r="515" spans="3:5" ht="17.25" customHeight="1" x14ac:dyDescent="0.45">
      <c r="C515" s="3"/>
      <c r="D515" s="3"/>
      <c r="E515" s="6"/>
    </row>
    <row r="516" spans="3:5" ht="17.25" customHeight="1" x14ac:dyDescent="0.45">
      <c r="C516" s="3"/>
      <c r="D516" s="3"/>
      <c r="E516" s="6"/>
    </row>
    <row r="517" spans="3:5" ht="17.25" customHeight="1" x14ac:dyDescent="0.45">
      <c r="C517" s="3"/>
      <c r="D517" s="3"/>
      <c r="E517" s="6"/>
    </row>
    <row r="518" spans="3:5" ht="17.25" customHeight="1" x14ac:dyDescent="0.45">
      <c r="C518" s="3"/>
      <c r="D518" s="3"/>
      <c r="E518" s="6"/>
    </row>
    <row r="519" spans="3:5" ht="17.25" customHeight="1" x14ac:dyDescent="0.45">
      <c r="C519" s="3"/>
      <c r="D519" s="3"/>
      <c r="E519" s="6"/>
    </row>
    <row r="520" spans="3:5" ht="17.25" customHeight="1" x14ac:dyDescent="0.45">
      <c r="C520" s="3"/>
      <c r="D520" s="3"/>
      <c r="E520" s="6"/>
    </row>
    <row r="521" spans="3:5" ht="17.25" customHeight="1" x14ac:dyDescent="0.45">
      <c r="C521" s="3"/>
      <c r="D521" s="3"/>
      <c r="E521" s="6"/>
    </row>
    <row r="522" spans="3:5" ht="17.25" customHeight="1" x14ac:dyDescent="0.45">
      <c r="C522" s="3"/>
      <c r="D522" s="3"/>
      <c r="E522" s="6"/>
    </row>
    <row r="523" spans="3:5" ht="17.25" customHeight="1" x14ac:dyDescent="0.45">
      <c r="C523" s="3"/>
      <c r="D523" s="3"/>
      <c r="E523" s="6"/>
    </row>
    <row r="524" spans="3:5" ht="17.25" customHeight="1" x14ac:dyDescent="0.45">
      <c r="C524" s="3"/>
      <c r="D524" s="3"/>
      <c r="E524" s="6"/>
    </row>
    <row r="525" spans="3:5" ht="17.25" customHeight="1" x14ac:dyDescent="0.45">
      <c r="C525" s="3"/>
      <c r="D525" s="3"/>
      <c r="E525" s="6"/>
    </row>
    <row r="526" spans="3:5" ht="17.25" customHeight="1" x14ac:dyDescent="0.45">
      <c r="C526" s="3"/>
      <c r="D526" s="3"/>
      <c r="E526" s="6"/>
    </row>
    <row r="527" spans="3:5" ht="17.25" customHeight="1" x14ac:dyDescent="0.45">
      <c r="C527" s="3"/>
      <c r="D527" s="3"/>
      <c r="E527" s="6"/>
    </row>
    <row r="528" spans="3:5" ht="17.25" customHeight="1" x14ac:dyDescent="0.45">
      <c r="C528" s="3"/>
      <c r="D528" s="3"/>
      <c r="E528" s="6"/>
    </row>
    <row r="529" spans="3:5" ht="17.25" customHeight="1" x14ac:dyDescent="0.45">
      <c r="C529" s="3"/>
      <c r="D529" s="3"/>
      <c r="E529" s="6"/>
    </row>
    <row r="530" spans="3:5" ht="17.25" customHeight="1" x14ac:dyDescent="0.45">
      <c r="C530" s="3"/>
      <c r="D530" s="3"/>
      <c r="E530" s="6"/>
    </row>
    <row r="531" spans="3:5" ht="17.25" customHeight="1" x14ac:dyDescent="0.45">
      <c r="C531" s="3"/>
      <c r="D531" s="3"/>
      <c r="E531" s="6"/>
    </row>
    <row r="532" spans="3:5" ht="17.25" customHeight="1" x14ac:dyDescent="0.45">
      <c r="C532" s="3"/>
      <c r="D532" s="3"/>
      <c r="E532" s="6"/>
    </row>
    <row r="533" spans="3:5" ht="17.25" customHeight="1" x14ac:dyDescent="0.45">
      <c r="C533" s="3"/>
      <c r="D533" s="3"/>
      <c r="E533" s="6"/>
    </row>
    <row r="534" spans="3:5" ht="17.25" customHeight="1" x14ac:dyDescent="0.45">
      <c r="C534" s="3"/>
      <c r="D534" s="3"/>
      <c r="E534" s="6"/>
    </row>
    <row r="535" spans="3:5" ht="17.25" customHeight="1" x14ac:dyDescent="0.45">
      <c r="C535" s="3"/>
      <c r="D535" s="3"/>
      <c r="E535" s="6"/>
    </row>
    <row r="536" spans="3:5" ht="17.25" customHeight="1" x14ac:dyDescent="0.45">
      <c r="C536" s="3"/>
      <c r="D536" s="3"/>
      <c r="E536" s="6"/>
    </row>
    <row r="537" spans="3:5" ht="17.25" customHeight="1" x14ac:dyDescent="0.45">
      <c r="C537" s="3"/>
      <c r="D537" s="3"/>
      <c r="E537" s="6"/>
    </row>
    <row r="538" spans="3:5" ht="17.25" customHeight="1" x14ac:dyDescent="0.45">
      <c r="C538" s="3"/>
      <c r="D538" s="3"/>
      <c r="E538" s="6"/>
    </row>
    <row r="539" spans="3:5" ht="17.25" customHeight="1" x14ac:dyDescent="0.45">
      <c r="C539" s="3"/>
      <c r="D539" s="3"/>
      <c r="E539" s="6"/>
    </row>
    <row r="540" spans="3:5" ht="17.25" customHeight="1" x14ac:dyDescent="0.45">
      <c r="C540" s="3"/>
      <c r="D540" s="3"/>
      <c r="E540" s="6"/>
    </row>
    <row r="541" spans="3:5" ht="17.25" customHeight="1" x14ac:dyDescent="0.45">
      <c r="C541" s="3"/>
      <c r="D541" s="3"/>
      <c r="E541" s="6"/>
    </row>
    <row r="542" spans="3:5" ht="17.25" customHeight="1" x14ac:dyDescent="0.45">
      <c r="C542" s="3"/>
      <c r="D542" s="3"/>
      <c r="E542" s="6"/>
    </row>
    <row r="543" spans="3:5" ht="17.25" customHeight="1" x14ac:dyDescent="0.45">
      <c r="C543" s="3"/>
      <c r="D543" s="3"/>
      <c r="E543" s="6"/>
    </row>
    <row r="544" spans="3:5" ht="17.25" customHeight="1" x14ac:dyDescent="0.45">
      <c r="C544" s="3"/>
      <c r="D544" s="3"/>
      <c r="E544" s="6"/>
    </row>
    <row r="545" spans="3:5" ht="17.25" customHeight="1" x14ac:dyDescent="0.45">
      <c r="C545" s="3"/>
      <c r="D545" s="3"/>
      <c r="E545" s="6"/>
    </row>
    <row r="546" spans="3:5" ht="17.25" customHeight="1" x14ac:dyDescent="0.45">
      <c r="C546" s="3"/>
      <c r="D546" s="3"/>
      <c r="E546" s="6"/>
    </row>
    <row r="547" spans="3:5" ht="17.25" customHeight="1" x14ac:dyDescent="0.45">
      <c r="C547" s="3"/>
      <c r="D547" s="3"/>
      <c r="E547" s="6"/>
    </row>
    <row r="548" spans="3:5" ht="17.25" customHeight="1" x14ac:dyDescent="0.45">
      <c r="C548" s="3"/>
      <c r="D548" s="3"/>
      <c r="E548" s="6"/>
    </row>
    <row r="549" spans="3:5" ht="17.25" customHeight="1" x14ac:dyDescent="0.45">
      <c r="C549" s="3"/>
      <c r="D549" s="3"/>
      <c r="E549" s="6"/>
    </row>
    <row r="550" spans="3:5" ht="17.25" customHeight="1" x14ac:dyDescent="0.45">
      <c r="C550" s="3"/>
      <c r="D550" s="3"/>
      <c r="E550" s="6"/>
    </row>
    <row r="551" spans="3:5" ht="17.25" customHeight="1" x14ac:dyDescent="0.45">
      <c r="C551" s="3"/>
      <c r="D551" s="3"/>
      <c r="E551" s="6"/>
    </row>
    <row r="552" spans="3:5" ht="17.25" customHeight="1" x14ac:dyDescent="0.45">
      <c r="C552" s="3"/>
      <c r="D552" s="3"/>
      <c r="E552" s="6"/>
    </row>
    <row r="553" spans="3:5" ht="17.25" customHeight="1" x14ac:dyDescent="0.45">
      <c r="C553" s="3"/>
      <c r="D553" s="3"/>
      <c r="E553" s="6"/>
    </row>
    <row r="554" spans="3:5" ht="17.25" customHeight="1" x14ac:dyDescent="0.45">
      <c r="C554" s="3"/>
      <c r="D554" s="3"/>
      <c r="E554" s="6"/>
    </row>
    <row r="555" spans="3:5" ht="17.25" customHeight="1" x14ac:dyDescent="0.45">
      <c r="C555" s="3"/>
      <c r="D555" s="3"/>
      <c r="E555" s="6"/>
    </row>
    <row r="556" spans="3:5" ht="17.25" customHeight="1" x14ac:dyDescent="0.45">
      <c r="C556" s="3"/>
      <c r="D556" s="3"/>
      <c r="E556" s="6"/>
    </row>
    <row r="557" spans="3:5" ht="17.25" customHeight="1" x14ac:dyDescent="0.45">
      <c r="C557" s="3"/>
      <c r="D557" s="3"/>
      <c r="E557" s="6"/>
    </row>
    <row r="558" spans="3:5" ht="17.25" customHeight="1" x14ac:dyDescent="0.45">
      <c r="C558" s="3"/>
      <c r="D558" s="3"/>
      <c r="E558" s="6"/>
    </row>
    <row r="559" spans="3:5" ht="17.25" customHeight="1" x14ac:dyDescent="0.45">
      <c r="C559" s="3"/>
      <c r="D559" s="3"/>
      <c r="E559" s="6"/>
    </row>
    <row r="560" spans="3:5" ht="17.25" customHeight="1" x14ac:dyDescent="0.45">
      <c r="C560" s="3"/>
      <c r="D560" s="3"/>
      <c r="E560" s="6"/>
    </row>
    <row r="561" spans="3:5" ht="17.25" customHeight="1" x14ac:dyDescent="0.45">
      <c r="C561" s="3"/>
      <c r="D561" s="3"/>
      <c r="E561" s="6"/>
    </row>
    <row r="562" spans="3:5" ht="17.25" customHeight="1" x14ac:dyDescent="0.45">
      <c r="C562" s="3"/>
      <c r="D562" s="3"/>
      <c r="E562" s="6"/>
    </row>
    <row r="563" spans="3:5" ht="17.25" customHeight="1" x14ac:dyDescent="0.45">
      <c r="C563" s="3"/>
      <c r="D563" s="3"/>
      <c r="E563" s="6"/>
    </row>
    <row r="564" spans="3:5" ht="17.25" customHeight="1" x14ac:dyDescent="0.45">
      <c r="C564" s="3"/>
      <c r="D564" s="3"/>
      <c r="E564" s="6"/>
    </row>
    <row r="565" spans="3:5" ht="17.25" customHeight="1" x14ac:dyDescent="0.45">
      <c r="C565" s="3"/>
      <c r="D565" s="3"/>
      <c r="E565" s="6"/>
    </row>
    <row r="566" spans="3:5" ht="17.25" customHeight="1" x14ac:dyDescent="0.45">
      <c r="C566" s="3"/>
      <c r="D566" s="3"/>
      <c r="E566" s="6"/>
    </row>
    <row r="567" spans="3:5" ht="17.25" customHeight="1" x14ac:dyDescent="0.45">
      <c r="C567" s="3"/>
      <c r="D567" s="3"/>
      <c r="E567" s="6"/>
    </row>
    <row r="568" spans="3:5" ht="17.25" customHeight="1" x14ac:dyDescent="0.45">
      <c r="C568" s="3"/>
      <c r="D568" s="3"/>
      <c r="E568" s="6"/>
    </row>
    <row r="569" spans="3:5" ht="17.25" customHeight="1" x14ac:dyDescent="0.45">
      <c r="C569" s="3"/>
      <c r="D569" s="3"/>
      <c r="E569" s="6"/>
    </row>
    <row r="570" spans="3:5" ht="17.25" customHeight="1" x14ac:dyDescent="0.45">
      <c r="C570" s="3"/>
      <c r="D570" s="3"/>
      <c r="E570" s="6"/>
    </row>
    <row r="571" spans="3:5" ht="17.25" customHeight="1" x14ac:dyDescent="0.45">
      <c r="C571" s="3"/>
      <c r="D571" s="3"/>
      <c r="E571" s="6"/>
    </row>
    <row r="572" spans="3:5" ht="17.25" customHeight="1" x14ac:dyDescent="0.45">
      <c r="C572" s="3"/>
      <c r="D572" s="3"/>
      <c r="E572" s="6"/>
    </row>
    <row r="573" spans="3:5" ht="17.25" customHeight="1" x14ac:dyDescent="0.45">
      <c r="C573" s="3"/>
      <c r="D573" s="3"/>
      <c r="E573" s="6"/>
    </row>
    <row r="574" spans="3:5" ht="17.25" customHeight="1" x14ac:dyDescent="0.45">
      <c r="C574" s="3"/>
      <c r="D574" s="3"/>
      <c r="E574" s="6"/>
    </row>
    <row r="575" spans="3:5" ht="17.25" customHeight="1" x14ac:dyDescent="0.45">
      <c r="C575" s="3"/>
      <c r="D575" s="3"/>
      <c r="E575" s="6"/>
    </row>
    <row r="576" spans="3:5" ht="17.25" customHeight="1" x14ac:dyDescent="0.45">
      <c r="C576" s="3"/>
      <c r="D576" s="3"/>
      <c r="E576" s="6"/>
    </row>
    <row r="577" spans="3:5" ht="17.25" customHeight="1" x14ac:dyDescent="0.45">
      <c r="C577" s="3"/>
      <c r="D577" s="3"/>
      <c r="E577" s="6"/>
    </row>
    <row r="578" spans="3:5" ht="17.25" customHeight="1" x14ac:dyDescent="0.45">
      <c r="C578" s="3"/>
      <c r="D578" s="3"/>
      <c r="E578" s="6"/>
    </row>
    <row r="579" spans="3:5" ht="17.25" customHeight="1" x14ac:dyDescent="0.45">
      <c r="C579" s="3"/>
      <c r="D579" s="3"/>
      <c r="E579" s="6"/>
    </row>
    <row r="580" spans="3:5" ht="17.25" customHeight="1" x14ac:dyDescent="0.45">
      <c r="C580" s="3"/>
      <c r="D580" s="3"/>
      <c r="E580" s="6"/>
    </row>
    <row r="581" spans="3:5" ht="17.25" customHeight="1" x14ac:dyDescent="0.45">
      <c r="C581" s="3"/>
      <c r="D581" s="3"/>
      <c r="E581" s="6"/>
    </row>
    <row r="582" spans="3:5" ht="17.25" customHeight="1" x14ac:dyDescent="0.45">
      <c r="C582" s="3"/>
      <c r="D582" s="3"/>
      <c r="E582" s="6"/>
    </row>
    <row r="583" spans="3:5" ht="17.25" customHeight="1" x14ac:dyDescent="0.45">
      <c r="C583" s="3"/>
      <c r="D583" s="3"/>
      <c r="E583" s="6"/>
    </row>
    <row r="584" spans="3:5" ht="17.25" customHeight="1" x14ac:dyDescent="0.45">
      <c r="C584" s="3"/>
      <c r="D584" s="3"/>
      <c r="E584" s="6"/>
    </row>
    <row r="585" spans="3:5" ht="17.25" customHeight="1" x14ac:dyDescent="0.45">
      <c r="C585" s="3"/>
      <c r="D585" s="3"/>
      <c r="E585" s="6"/>
    </row>
    <row r="586" spans="3:5" ht="17.25" customHeight="1" x14ac:dyDescent="0.45">
      <c r="C586" s="3"/>
      <c r="D586" s="3"/>
      <c r="E586" s="6"/>
    </row>
    <row r="587" spans="3:5" ht="17.25" customHeight="1" x14ac:dyDescent="0.45">
      <c r="C587" s="3"/>
      <c r="D587" s="3"/>
      <c r="E587" s="6"/>
    </row>
    <row r="588" spans="3:5" ht="17.25" customHeight="1" x14ac:dyDescent="0.45">
      <c r="C588" s="3"/>
      <c r="D588" s="3"/>
      <c r="E588" s="6"/>
    </row>
    <row r="589" spans="3:5" ht="17.25" customHeight="1" x14ac:dyDescent="0.45">
      <c r="C589" s="3"/>
      <c r="D589" s="3"/>
      <c r="E589" s="6"/>
    </row>
    <row r="590" spans="3:5" ht="17.25" customHeight="1" x14ac:dyDescent="0.45">
      <c r="C590" s="3"/>
      <c r="D590" s="3"/>
      <c r="E590" s="6"/>
    </row>
    <row r="591" spans="3:5" ht="17.25" customHeight="1" x14ac:dyDescent="0.45">
      <c r="C591" s="3"/>
      <c r="D591" s="3"/>
      <c r="E591" s="6"/>
    </row>
    <row r="592" spans="3:5" ht="17.25" customHeight="1" x14ac:dyDescent="0.45">
      <c r="C592" s="3"/>
      <c r="D592" s="3"/>
      <c r="E592" s="6"/>
    </row>
    <row r="593" spans="3:5" ht="17.25" customHeight="1" x14ac:dyDescent="0.45">
      <c r="C593" s="3"/>
      <c r="D593" s="3"/>
      <c r="E593" s="6"/>
    </row>
    <row r="594" spans="3:5" ht="17.25" customHeight="1" x14ac:dyDescent="0.45">
      <c r="C594" s="3"/>
      <c r="D594" s="3"/>
      <c r="E594" s="6"/>
    </row>
    <row r="595" spans="3:5" ht="17.25" customHeight="1" x14ac:dyDescent="0.45">
      <c r="C595" s="3"/>
      <c r="D595" s="3"/>
      <c r="E595" s="6"/>
    </row>
    <row r="596" spans="3:5" ht="17.25" customHeight="1" x14ac:dyDescent="0.45">
      <c r="C596" s="3"/>
      <c r="D596" s="3"/>
      <c r="E596" s="6"/>
    </row>
    <row r="597" spans="3:5" ht="17.25" customHeight="1" x14ac:dyDescent="0.45">
      <c r="C597" s="3"/>
      <c r="D597" s="3"/>
      <c r="E597" s="6"/>
    </row>
    <row r="598" spans="3:5" ht="17.25" customHeight="1" x14ac:dyDescent="0.45">
      <c r="C598" s="3"/>
      <c r="D598" s="3"/>
      <c r="E598" s="6"/>
    </row>
    <row r="599" spans="3:5" ht="17.25" customHeight="1" x14ac:dyDescent="0.45">
      <c r="C599" s="3"/>
      <c r="D599" s="3"/>
      <c r="E599" s="6"/>
    </row>
    <row r="600" spans="3:5" ht="17.25" customHeight="1" x14ac:dyDescent="0.45">
      <c r="C600" s="3"/>
      <c r="D600" s="3"/>
      <c r="E600" s="6"/>
    </row>
    <row r="601" spans="3:5" ht="17.25" customHeight="1" x14ac:dyDescent="0.45">
      <c r="C601" s="3"/>
      <c r="D601" s="3"/>
      <c r="E601" s="6"/>
    </row>
    <row r="602" spans="3:5" ht="17.25" customHeight="1" x14ac:dyDescent="0.45">
      <c r="C602" s="3"/>
      <c r="D602" s="3"/>
      <c r="E602" s="6"/>
    </row>
    <row r="603" spans="3:5" ht="17.25" customHeight="1" x14ac:dyDescent="0.45">
      <c r="C603" s="3"/>
      <c r="D603" s="3"/>
      <c r="E603" s="6"/>
    </row>
    <row r="604" spans="3:5" ht="17.25" customHeight="1" x14ac:dyDescent="0.45">
      <c r="C604" s="3"/>
      <c r="D604" s="3"/>
      <c r="E604" s="6"/>
    </row>
    <row r="605" spans="3:5" ht="17.25" customHeight="1" x14ac:dyDescent="0.45">
      <c r="C605" s="3"/>
      <c r="D605" s="3"/>
      <c r="E605" s="6"/>
    </row>
    <row r="606" spans="3:5" ht="17.25" customHeight="1" x14ac:dyDescent="0.45">
      <c r="C606" s="3"/>
      <c r="D606" s="3"/>
      <c r="E606" s="6"/>
    </row>
    <row r="607" spans="3:5" ht="17.25" customHeight="1" x14ac:dyDescent="0.45">
      <c r="C607" s="3"/>
      <c r="D607" s="3"/>
      <c r="E607" s="6"/>
    </row>
    <row r="608" spans="3:5" ht="17.25" customHeight="1" x14ac:dyDescent="0.45">
      <c r="C608" s="3"/>
      <c r="D608" s="3"/>
      <c r="E608" s="6"/>
    </row>
    <row r="609" spans="3:5" ht="17.25" customHeight="1" x14ac:dyDescent="0.45">
      <c r="C609" s="3"/>
      <c r="D609" s="3"/>
      <c r="E609" s="6"/>
    </row>
    <row r="610" spans="3:5" ht="17.25" customHeight="1" x14ac:dyDescent="0.45">
      <c r="C610" s="3"/>
      <c r="D610" s="3"/>
      <c r="E610" s="6"/>
    </row>
    <row r="611" spans="3:5" ht="17.25" customHeight="1" x14ac:dyDescent="0.45">
      <c r="C611" s="3"/>
      <c r="D611" s="3"/>
      <c r="E611" s="6"/>
    </row>
    <row r="612" spans="3:5" ht="17.25" customHeight="1" x14ac:dyDescent="0.45">
      <c r="C612" s="3"/>
      <c r="D612" s="3"/>
      <c r="E612" s="6"/>
    </row>
    <row r="613" spans="3:5" ht="17.25" customHeight="1" x14ac:dyDescent="0.45">
      <c r="C613" s="3"/>
      <c r="D613" s="3"/>
      <c r="E613" s="6"/>
    </row>
    <row r="614" spans="3:5" ht="17.25" customHeight="1" x14ac:dyDescent="0.45">
      <c r="C614" s="3"/>
      <c r="D614" s="3"/>
      <c r="E614" s="6"/>
    </row>
    <row r="615" spans="3:5" ht="17.25" customHeight="1" x14ac:dyDescent="0.45">
      <c r="C615" s="3"/>
      <c r="D615" s="3"/>
      <c r="E615" s="6"/>
    </row>
    <row r="616" spans="3:5" ht="17.25" customHeight="1" x14ac:dyDescent="0.45">
      <c r="C616" s="3"/>
      <c r="D616" s="3"/>
      <c r="E616" s="6"/>
    </row>
    <row r="617" spans="3:5" ht="17.25" customHeight="1" x14ac:dyDescent="0.45">
      <c r="C617" s="3"/>
      <c r="D617" s="3"/>
      <c r="E617" s="6"/>
    </row>
    <row r="618" spans="3:5" ht="17.25" customHeight="1" x14ac:dyDescent="0.45">
      <c r="C618" s="3"/>
      <c r="D618" s="3"/>
      <c r="E618" s="6"/>
    </row>
    <row r="619" spans="3:5" ht="17.25" customHeight="1" x14ac:dyDescent="0.45">
      <c r="C619" s="3"/>
      <c r="D619" s="3"/>
      <c r="E619" s="6"/>
    </row>
    <row r="620" spans="3:5" ht="17.25" customHeight="1" x14ac:dyDescent="0.45">
      <c r="C620" s="3"/>
      <c r="D620" s="3"/>
      <c r="E620" s="6"/>
    </row>
    <row r="621" spans="3:5" ht="17.25" customHeight="1" x14ac:dyDescent="0.45">
      <c r="C621" s="3"/>
      <c r="D621" s="3"/>
      <c r="E621" s="6"/>
    </row>
    <row r="622" spans="3:5" ht="17.25" customHeight="1" x14ac:dyDescent="0.45">
      <c r="C622" s="3"/>
      <c r="D622" s="3"/>
      <c r="E622" s="6"/>
    </row>
    <row r="623" spans="3:5" ht="17.25" customHeight="1" x14ac:dyDescent="0.45">
      <c r="C623" s="3"/>
      <c r="D623" s="3"/>
      <c r="E623" s="6"/>
    </row>
    <row r="624" spans="3:5" ht="17.25" customHeight="1" x14ac:dyDescent="0.45">
      <c r="C624" s="3"/>
      <c r="D624" s="3"/>
      <c r="E624" s="6"/>
    </row>
    <row r="625" spans="3:5" ht="17.25" customHeight="1" x14ac:dyDescent="0.45">
      <c r="C625" s="3"/>
      <c r="D625" s="3"/>
      <c r="E625" s="6"/>
    </row>
    <row r="626" spans="3:5" ht="17.25" customHeight="1" x14ac:dyDescent="0.45">
      <c r="C626" s="3"/>
      <c r="D626" s="3"/>
      <c r="E626" s="6"/>
    </row>
    <row r="627" spans="3:5" ht="17.25" customHeight="1" x14ac:dyDescent="0.45">
      <c r="C627" s="3"/>
      <c r="D627" s="3"/>
      <c r="E627" s="6"/>
    </row>
    <row r="628" spans="3:5" ht="17.25" customHeight="1" x14ac:dyDescent="0.45">
      <c r="C628" s="3"/>
      <c r="D628" s="3"/>
      <c r="E628" s="6"/>
    </row>
    <row r="629" spans="3:5" ht="17.25" customHeight="1" x14ac:dyDescent="0.45">
      <c r="C629" s="3"/>
      <c r="D629" s="3"/>
      <c r="E629" s="6"/>
    </row>
    <row r="630" spans="3:5" ht="17.25" customHeight="1" x14ac:dyDescent="0.45">
      <c r="C630" s="3"/>
      <c r="D630" s="3"/>
      <c r="E630" s="6"/>
    </row>
    <row r="631" spans="3:5" ht="17.25" customHeight="1" x14ac:dyDescent="0.45">
      <c r="C631" s="3"/>
      <c r="D631" s="3"/>
      <c r="E631" s="6"/>
    </row>
    <row r="632" spans="3:5" ht="17.25" customHeight="1" x14ac:dyDescent="0.45">
      <c r="C632" s="3"/>
      <c r="D632" s="3"/>
      <c r="E632" s="6"/>
    </row>
    <row r="633" spans="3:5" ht="17.25" customHeight="1" x14ac:dyDescent="0.45">
      <c r="C633" s="3"/>
      <c r="D633" s="3"/>
      <c r="E633" s="6"/>
    </row>
    <row r="634" spans="3:5" ht="17.25" customHeight="1" x14ac:dyDescent="0.45">
      <c r="C634" s="3"/>
      <c r="D634" s="3"/>
      <c r="E634" s="6"/>
    </row>
    <row r="635" spans="3:5" ht="17.25" customHeight="1" x14ac:dyDescent="0.45">
      <c r="C635" s="3"/>
      <c r="D635" s="3"/>
      <c r="E635" s="6"/>
    </row>
    <row r="636" spans="3:5" ht="17.25" customHeight="1" x14ac:dyDescent="0.45">
      <c r="C636" s="3"/>
      <c r="D636" s="3"/>
      <c r="E636" s="6"/>
    </row>
    <row r="637" spans="3:5" ht="17.25" customHeight="1" x14ac:dyDescent="0.45">
      <c r="C637" s="3"/>
      <c r="D637" s="3"/>
      <c r="E637" s="6"/>
    </row>
    <row r="638" spans="3:5" ht="17.25" customHeight="1" x14ac:dyDescent="0.45">
      <c r="C638" s="3"/>
      <c r="D638" s="3"/>
      <c r="E638" s="6"/>
    </row>
    <row r="639" spans="3:5" ht="17.25" customHeight="1" x14ac:dyDescent="0.45">
      <c r="C639" s="3"/>
      <c r="D639" s="3"/>
      <c r="E639" s="6"/>
    </row>
    <row r="640" spans="3:5" ht="17.25" customHeight="1" x14ac:dyDescent="0.45">
      <c r="C640" s="3"/>
      <c r="D640" s="3"/>
      <c r="E640" s="6"/>
    </row>
    <row r="641" spans="3:5" ht="17.25" customHeight="1" x14ac:dyDescent="0.45">
      <c r="C641" s="3"/>
      <c r="D641" s="3"/>
      <c r="E641" s="6"/>
    </row>
    <row r="642" spans="3:5" ht="17.25" customHeight="1" x14ac:dyDescent="0.45">
      <c r="C642" s="3"/>
      <c r="D642" s="3"/>
      <c r="E642" s="6"/>
    </row>
    <row r="643" spans="3:5" ht="17.25" customHeight="1" x14ac:dyDescent="0.45">
      <c r="C643" s="3"/>
      <c r="D643" s="3"/>
      <c r="E643" s="6"/>
    </row>
    <row r="644" spans="3:5" ht="17.25" customHeight="1" x14ac:dyDescent="0.45">
      <c r="C644" s="3"/>
      <c r="D644" s="3"/>
      <c r="E644" s="6"/>
    </row>
    <row r="645" spans="3:5" ht="17.25" customHeight="1" x14ac:dyDescent="0.45">
      <c r="C645" s="3"/>
      <c r="D645" s="3"/>
      <c r="E645" s="6"/>
    </row>
    <row r="646" spans="3:5" ht="17.25" customHeight="1" x14ac:dyDescent="0.45">
      <c r="C646" s="3"/>
      <c r="D646" s="3"/>
      <c r="E646" s="6"/>
    </row>
    <row r="647" spans="3:5" ht="17.25" customHeight="1" x14ac:dyDescent="0.45">
      <c r="C647" s="3"/>
      <c r="D647" s="3"/>
      <c r="E647" s="6"/>
    </row>
    <row r="648" spans="3:5" ht="17.25" customHeight="1" x14ac:dyDescent="0.45">
      <c r="C648" s="3"/>
      <c r="D648" s="3"/>
      <c r="E648" s="6"/>
    </row>
    <row r="649" spans="3:5" ht="17.25" customHeight="1" x14ac:dyDescent="0.45">
      <c r="C649" s="3"/>
      <c r="D649" s="3"/>
      <c r="E649" s="6"/>
    </row>
    <row r="650" spans="3:5" ht="17.25" customHeight="1" x14ac:dyDescent="0.45">
      <c r="C650" s="3"/>
      <c r="D650" s="3"/>
      <c r="E650" s="6"/>
    </row>
    <row r="651" spans="3:5" ht="17.25" customHeight="1" x14ac:dyDescent="0.45">
      <c r="C651" s="3"/>
      <c r="D651" s="3"/>
      <c r="E651" s="6"/>
    </row>
    <row r="652" spans="3:5" ht="17.25" customHeight="1" x14ac:dyDescent="0.45">
      <c r="C652" s="3"/>
      <c r="D652" s="3"/>
      <c r="E652" s="6"/>
    </row>
    <row r="653" spans="3:5" ht="17.25" customHeight="1" x14ac:dyDescent="0.45">
      <c r="C653" s="3"/>
      <c r="D653" s="3"/>
      <c r="E653" s="6"/>
    </row>
    <row r="654" spans="3:5" ht="17.25" customHeight="1" x14ac:dyDescent="0.45">
      <c r="C654" s="3"/>
      <c r="D654" s="3"/>
      <c r="E654" s="6"/>
    </row>
    <row r="655" spans="3:5" ht="17.25" customHeight="1" x14ac:dyDescent="0.45">
      <c r="C655" s="3"/>
      <c r="D655" s="3"/>
      <c r="E655" s="6"/>
    </row>
    <row r="656" spans="3:5" ht="17.25" customHeight="1" x14ac:dyDescent="0.45">
      <c r="C656" s="3"/>
      <c r="D656" s="3"/>
      <c r="E656" s="6"/>
    </row>
    <row r="657" spans="3:5" ht="17.25" customHeight="1" x14ac:dyDescent="0.45">
      <c r="C657" s="3"/>
      <c r="D657" s="3"/>
      <c r="E657" s="6"/>
    </row>
    <row r="658" spans="3:5" ht="17.25" customHeight="1" x14ac:dyDescent="0.45">
      <c r="C658" s="3"/>
      <c r="D658" s="3"/>
      <c r="E658" s="6"/>
    </row>
    <row r="659" spans="3:5" ht="17.25" customHeight="1" x14ac:dyDescent="0.45">
      <c r="C659" s="3"/>
      <c r="D659" s="3"/>
      <c r="E659" s="6"/>
    </row>
    <row r="660" spans="3:5" ht="17.25" customHeight="1" x14ac:dyDescent="0.45">
      <c r="C660" s="3"/>
      <c r="D660" s="3"/>
      <c r="E660" s="6"/>
    </row>
    <row r="661" spans="3:5" ht="17.25" customHeight="1" x14ac:dyDescent="0.45">
      <c r="C661" s="3"/>
      <c r="D661" s="3"/>
      <c r="E661" s="6"/>
    </row>
    <row r="662" spans="3:5" ht="17.25" customHeight="1" x14ac:dyDescent="0.45">
      <c r="C662" s="3"/>
      <c r="D662" s="3"/>
      <c r="E662" s="6"/>
    </row>
    <row r="663" spans="3:5" ht="17.25" customHeight="1" x14ac:dyDescent="0.45">
      <c r="C663" s="3"/>
      <c r="D663" s="3"/>
      <c r="E663" s="6"/>
    </row>
    <row r="664" spans="3:5" ht="17.25" customHeight="1" x14ac:dyDescent="0.45">
      <c r="C664" s="3"/>
      <c r="D664" s="3"/>
      <c r="E664" s="6"/>
    </row>
    <row r="665" spans="3:5" ht="17.25" customHeight="1" x14ac:dyDescent="0.45">
      <c r="C665" s="3"/>
      <c r="D665" s="3"/>
      <c r="E665" s="6"/>
    </row>
    <row r="666" spans="3:5" ht="17.25" customHeight="1" x14ac:dyDescent="0.45">
      <c r="C666" s="3"/>
      <c r="D666" s="3"/>
      <c r="E666" s="6"/>
    </row>
    <row r="667" spans="3:5" ht="17.25" customHeight="1" x14ac:dyDescent="0.45">
      <c r="C667" s="3"/>
      <c r="D667" s="3"/>
      <c r="E667" s="6"/>
    </row>
    <row r="668" spans="3:5" ht="17.25" customHeight="1" x14ac:dyDescent="0.45">
      <c r="C668" s="3"/>
      <c r="D668" s="3"/>
      <c r="E668" s="6"/>
    </row>
    <row r="669" spans="3:5" ht="17.25" customHeight="1" x14ac:dyDescent="0.45">
      <c r="C669" s="3"/>
      <c r="D669" s="3"/>
      <c r="E669" s="6"/>
    </row>
    <row r="670" spans="3:5" ht="17.25" customHeight="1" x14ac:dyDescent="0.45">
      <c r="C670" s="3"/>
      <c r="D670" s="3"/>
      <c r="E670" s="6"/>
    </row>
    <row r="671" spans="3:5" ht="17.25" customHeight="1" x14ac:dyDescent="0.45">
      <c r="C671" s="3"/>
      <c r="D671" s="3"/>
      <c r="E671" s="6"/>
    </row>
    <row r="672" spans="3:5" ht="17.25" customHeight="1" x14ac:dyDescent="0.45">
      <c r="C672" s="3"/>
      <c r="D672" s="3"/>
      <c r="E672" s="6"/>
    </row>
    <row r="673" spans="3:5" ht="17.25" customHeight="1" x14ac:dyDescent="0.45">
      <c r="C673" s="3"/>
      <c r="D673" s="3"/>
      <c r="E673" s="6"/>
    </row>
    <row r="674" spans="3:5" ht="17.25" customHeight="1" x14ac:dyDescent="0.45">
      <c r="C674" s="3"/>
      <c r="D674" s="3"/>
      <c r="E674" s="6"/>
    </row>
    <row r="675" spans="3:5" ht="17.25" customHeight="1" x14ac:dyDescent="0.45">
      <c r="C675" s="3"/>
      <c r="D675" s="3"/>
      <c r="E675" s="6"/>
    </row>
    <row r="676" spans="3:5" ht="17.25" customHeight="1" x14ac:dyDescent="0.45">
      <c r="C676" s="3"/>
      <c r="D676" s="3"/>
      <c r="E676" s="6"/>
    </row>
    <row r="677" spans="3:5" ht="17.25" customHeight="1" x14ac:dyDescent="0.45">
      <c r="C677" s="3"/>
      <c r="D677" s="3"/>
      <c r="E677" s="6"/>
    </row>
    <row r="678" spans="3:5" ht="17.25" customHeight="1" x14ac:dyDescent="0.45">
      <c r="C678" s="3"/>
      <c r="D678" s="3"/>
      <c r="E678" s="6"/>
    </row>
    <row r="679" spans="3:5" ht="17.25" customHeight="1" x14ac:dyDescent="0.45">
      <c r="C679" s="3"/>
      <c r="D679" s="3"/>
      <c r="E679" s="6"/>
    </row>
    <row r="680" spans="3:5" ht="17.25" customHeight="1" x14ac:dyDescent="0.45">
      <c r="C680" s="3"/>
      <c r="D680" s="3"/>
      <c r="E680" s="6"/>
    </row>
    <row r="681" spans="3:5" ht="17.25" customHeight="1" x14ac:dyDescent="0.45">
      <c r="C681" s="3"/>
      <c r="D681" s="3"/>
      <c r="E681" s="6"/>
    </row>
    <row r="682" spans="3:5" ht="17.25" customHeight="1" x14ac:dyDescent="0.45">
      <c r="C682" s="3"/>
      <c r="D682" s="3"/>
      <c r="E682" s="6"/>
    </row>
    <row r="683" spans="3:5" ht="17.25" customHeight="1" x14ac:dyDescent="0.45">
      <c r="C683" s="3"/>
      <c r="D683" s="3"/>
      <c r="E683" s="6"/>
    </row>
    <row r="684" spans="3:5" ht="17.25" customHeight="1" x14ac:dyDescent="0.45">
      <c r="C684" s="3"/>
      <c r="D684" s="3"/>
      <c r="E684" s="6"/>
    </row>
    <row r="685" spans="3:5" ht="17.25" customHeight="1" x14ac:dyDescent="0.45">
      <c r="C685" s="3"/>
      <c r="D685" s="3"/>
      <c r="E685" s="6"/>
    </row>
    <row r="686" spans="3:5" ht="17.25" customHeight="1" x14ac:dyDescent="0.45">
      <c r="C686" s="3"/>
      <c r="D686" s="3"/>
      <c r="E686" s="6"/>
    </row>
    <row r="687" spans="3:5" ht="17.25" customHeight="1" x14ac:dyDescent="0.45">
      <c r="C687" s="3"/>
      <c r="D687" s="3"/>
      <c r="E687" s="6"/>
    </row>
    <row r="688" spans="3:5" ht="17.25" customHeight="1" x14ac:dyDescent="0.45">
      <c r="C688" s="3"/>
      <c r="D688" s="3"/>
      <c r="E688" s="6"/>
    </row>
    <row r="689" spans="3:5" ht="17.25" customHeight="1" x14ac:dyDescent="0.45">
      <c r="C689" s="3"/>
      <c r="D689" s="3"/>
      <c r="E689" s="6"/>
    </row>
    <row r="690" spans="3:5" ht="17.25" customHeight="1" x14ac:dyDescent="0.45">
      <c r="C690" s="3"/>
      <c r="D690" s="3"/>
      <c r="E690" s="6"/>
    </row>
    <row r="691" spans="3:5" ht="17.25" customHeight="1" x14ac:dyDescent="0.45">
      <c r="C691" s="3"/>
      <c r="D691" s="3"/>
      <c r="E691" s="6"/>
    </row>
    <row r="692" spans="3:5" ht="17.25" customHeight="1" x14ac:dyDescent="0.45">
      <c r="C692" s="3"/>
      <c r="D692" s="3"/>
      <c r="E692" s="6"/>
    </row>
    <row r="693" spans="3:5" ht="17.25" customHeight="1" x14ac:dyDescent="0.45">
      <c r="C693" s="3"/>
      <c r="D693" s="3"/>
      <c r="E693" s="6"/>
    </row>
    <row r="694" spans="3:5" ht="17.25" customHeight="1" x14ac:dyDescent="0.45">
      <c r="C694" s="3"/>
      <c r="D694" s="3"/>
      <c r="E694" s="6"/>
    </row>
    <row r="695" spans="3:5" ht="17.25" customHeight="1" x14ac:dyDescent="0.45">
      <c r="C695" s="3"/>
      <c r="D695" s="3"/>
      <c r="E695" s="6"/>
    </row>
    <row r="696" spans="3:5" ht="17.25" customHeight="1" x14ac:dyDescent="0.45">
      <c r="C696" s="3"/>
      <c r="D696" s="3"/>
      <c r="E696" s="6"/>
    </row>
    <row r="697" spans="3:5" ht="17.25" customHeight="1" x14ac:dyDescent="0.45">
      <c r="C697" s="3"/>
      <c r="D697" s="3"/>
      <c r="E697" s="6"/>
    </row>
    <row r="698" spans="3:5" ht="17.25" customHeight="1" x14ac:dyDescent="0.45">
      <c r="C698" s="3"/>
      <c r="D698" s="3"/>
      <c r="E698" s="6"/>
    </row>
    <row r="699" spans="3:5" ht="17.25" customHeight="1" x14ac:dyDescent="0.45">
      <c r="C699" s="3"/>
      <c r="D699" s="3"/>
      <c r="E699" s="6"/>
    </row>
    <row r="700" spans="3:5" ht="17.25" customHeight="1" x14ac:dyDescent="0.45">
      <c r="C700" s="3"/>
      <c r="D700" s="3"/>
      <c r="E700" s="6"/>
    </row>
    <row r="701" spans="3:5" ht="17.25" customHeight="1" x14ac:dyDescent="0.45">
      <c r="C701" s="3"/>
      <c r="D701" s="3"/>
      <c r="E701" s="6"/>
    </row>
    <row r="702" spans="3:5" ht="17.25" customHeight="1" x14ac:dyDescent="0.45">
      <c r="C702" s="3"/>
      <c r="D702" s="3"/>
      <c r="E702" s="6"/>
    </row>
    <row r="703" spans="3:5" ht="17.25" customHeight="1" x14ac:dyDescent="0.45">
      <c r="C703" s="3"/>
      <c r="D703" s="3"/>
      <c r="E703" s="6"/>
    </row>
    <row r="704" spans="3:5" ht="17.25" customHeight="1" x14ac:dyDescent="0.45">
      <c r="C704" s="3"/>
      <c r="D704" s="3"/>
      <c r="E704" s="6"/>
    </row>
    <row r="705" spans="3:5" ht="17.25" customHeight="1" x14ac:dyDescent="0.45">
      <c r="C705" s="3"/>
      <c r="D705" s="3"/>
      <c r="E705" s="6"/>
    </row>
    <row r="706" spans="3:5" ht="17.25" customHeight="1" x14ac:dyDescent="0.45">
      <c r="C706" s="3"/>
      <c r="D706" s="3"/>
      <c r="E706" s="6"/>
    </row>
    <row r="707" spans="3:5" ht="17.25" customHeight="1" x14ac:dyDescent="0.45">
      <c r="C707" s="3"/>
      <c r="D707" s="3"/>
      <c r="E707" s="6"/>
    </row>
    <row r="708" spans="3:5" ht="17.25" customHeight="1" x14ac:dyDescent="0.45">
      <c r="C708" s="3"/>
      <c r="D708" s="3"/>
      <c r="E708" s="6"/>
    </row>
    <row r="709" spans="3:5" ht="17.25" customHeight="1" x14ac:dyDescent="0.45">
      <c r="C709" s="3"/>
      <c r="D709" s="3"/>
      <c r="E709" s="6"/>
    </row>
    <row r="710" spans="3:5" ht="17.25" customHeight="1" x14ac:dyDescent="0.45">
      <c r="C710" s="3"/>
      <c r="D710" s="3"/>
      <c r="E710" s="6"/>
    </row>
    <row r="711" spans="3:5" ht="17.25" customHeight="1" x14ac:dyDescent="0.45">
      <c r="C711" s="3"/>
      <c r="D711" s="3"/>
      <c r="E711" s="6"/>
    </row>
    <row r="712" spans="3:5" ht="17.25" customHeight="1" x14ac:dyDescent="0.45">
      <c r="C712" s="3"/>
      <c r="D712" s="3"/>
      <c r="E712" s="6"/>
    </row>
    <row r="713" spans="3:5" ht="17.25" customHeight="1" x14ac:dyDescent="0.45">
      <c r="C713" s="3"/>
      <c r="D713" s="3"/>
      <c r="E713" s="6"/>
    </row>
    <row r="714" spans="3:5" ht="17.25" customHeight="1" x14ac:dyDescent="0.45">
      <c r="C714" s="3"/>
      <c r="D714" s="3"/>
      <c r="E714" s="6"/>
    </row>
    <row r="715" spans="3:5" ht="17.25" customHeight="1" x14ac:dyDescent="0.45">
      <c r="C715" s="3"/>
      <c r="D715" s="3"/>
      <c r="E715" s="6"/>
    </row>
    <row r="716" spans="3:5" ht="17.25" customHeight="1" x14ac:dyDescent="0.45">
      <c r="C716" s="3"/>
      <c r="D716" s="3"/>
      <c r="E716" s="6"/>
    </row>
    <row r="717" spans="3:5" ht="17.25" customHeight="1" x14ac:dyDescent="0.45">
      <c r="C717" s="3"/>
      <c r="D717" s="3"/>
      <c r="E717" s="6"/>
    </row>
    <row r="718" spans="3:5" ht="17.25" customHeight="1" x14ac:dyDescent="0.45">
      <c r="C718" s="3"/>
      <c r="D718" s="3"/>
      <c r="E718" s="6"/>
    </row>
    <row r="719" spans="3:5" ht="17.25" customHeight="1" x14ac:dyDescent="0.45">
      <c r="C719" s="3"/>
      <c r="D719" s="3"/>
      <c r="E719" s="6"/>
    </row>
    <row r="720" spans="3:5" ht="17.25" customHeight="1" x14ac:dyDescent="0.45">
      <c r="C720" s="3"/>
      <c r="D720" s="3"/>
      <c r="E720" s="6"/>
    </row>
    <row r="721" spans="3:5" ht="17.25" customHeight="1" x14ac:dyDescent="0.45">
      <c r="C721" s="3"/>
      <c r="D721" s="3"/>
      <c r="E721" s="6"/>
    </row>
    <row r="722" spans="3:5" ht="17.25" customHeight="1" x14ac:dyDescent="0.45">
      <c r="C722" s="3"/>
      <c r="D722" s="3"/>
      <c r="E722" s="6"/>
    </row>
    <row r="723" spans="3:5" ht="17.25" customHeight="1" x14ac:dyDescent="0.45">
      <c r="C723" s="3"/>
      <c r="D723" s="3"/>
      <c r="E723" s="6"/>
    </row>
    <row r="724" spans="3:5" ht="17.25" customHeight="1" x14ac:dyDescent="0.45">
      <c r="C724" s="3"/>
      <c r="D724" s="3"/>
      <c r="E724" s="6"/>
    </row>
    <row r="725" spans="3:5" ht="17.25" customHeight="1" x14ac:dyDescent="0.45">
      <c r="C725" s="3"/>
      <c r="D725" s="3"/>
      <c r="E725" s="6"/>
    </row>
    <row r="726" spans="3:5" ht="17.25" customHeight="1" x14ac:dyDescent="0.45">
      <c r="C726" s="3"/>
      <c r="D726" s="3"/>
      <c r="E726" s="6"/>
    </row>
    <row r="727" spans="3:5" ht="17.25" customHeight="1" x14ac:dyDescent="0.45">
      <c r="C727" s="3"/>
      <c r="D727" s="3"/>
      <c r="E727" s="6"/>
    </row>
    <row r="728" spans="3:5" ht="17.25" customHeight="1" x14ac:dyDescent="0.45">
      <c r="C728" s="3"/>
      <c r="D728" s="3"/>
      <c r="E728" s="6"/>
    </row>
    <row r="729" spans="3:5" ht="17.25" customHeight="1" x14ac:dyDescent="0.45">
      <c r="C729" s="3"/>
      <c r="D729" s="3"/>
      <c r="E729" s="6"/>
    </row>
    <row r="730" spans="3:5" ht="17.25" customHeight="1" x14ac:dyDescent="0.45">
      <c r="C730" s="3"/>
      <c r="D730" s="3"/>
      <c r="E730" s="6"/>
    </row>
    <row r="731" spans="3:5" ht="17.25" customHeight="1" x14ac:dyDescent="0.45">
      <c r="C731" s="3"/>
      <c r="D731" s="3"/>
      <c r="E731" s="6"/>
    </row>
    <row r="732" spans="3:5" ht="17.25" customHeight="1" x14ac:dyDescent="0.45">
      <c r="C732" s="3"/>
      <c r="D732" s="3"/>
      <c r="E732" s="6"/>
    </row>
    <row r="733" spans="3:5" ht="17.25" customHeight="1" x14ac:dyDescent="0.45">
      <c r="C733" s="3"/>
      <c r="D733" s="3"/>
      <c r="E733" s="6"/>
    </row>
    <row r="734" spans="3:5" ht="17.25" customHeight="1" x14ac:dyDescent="0.45">
      <c r="C734" s="3"/>
      <c r="D734" s="3"/>
      <c r="E734" s="6"/>
    </row>
    <row r="735" spans="3:5" ht="17.25" customHeight="1" x14ac:dyDescent="0.45">
      <c r="C735" s="3"/>
      <c r="D735" s="3"/>
      <c r="E735" s="6"/>
    </row>
    <row r="736" spans="3:5" ht="17.25" customHeight="1" x14ac:dyDescent="0.45">
      <c r="C736" s="3"/>
      <c r="D736" s="3"/>
      <c r="E736" s="6"/>
    </row>
    <row r="737" spans="3:5" ht="17.25" customHeight="1" x14ac:dyDescent="0.45">
      <c r="C737" s="3"/>
      <c r="D737" s="3"/>
      <c r="E737" s="6"/>
    </row>
    <row r="738" spans="3:5" ht="17.25" customHeight="1" x14ac:dyDescent="0.45">
      <c r="C738" s="3"/>
      <c r="D738" s="3"/>
      <c r="E738" s="6"/>
    </row>
    <row r="739" spans="3:5" ht="17.25" customHeight="1" x14ac:dyDescent="0.45">
      <c r="C739" s="3"/>
      <c r="D739" s="3"/>
      <c r="E739" s="6"/>
    </row>
    <row r="740" spans="3:5" ht="17.25" customHeight="1" x14ac:dyDescent="0.45">
      <c r="C740" s="3"/>
      <c r="D740" s="3"/>
      <c r="E740" s="6"/>
    </row>
    <row r="741" spans="3:5" ht="17.25" customHeight="1" x14ac:dyDescent="0.45">
      <c r="C741" s="3"/>
      <c r="D741" s="3"/>
      <c r="E741" s="6"/>
    </row>
    <row r="742" spans="3:5" ht="17.25" customHeight="1" x14ac:dyDescent="0.45">
      <c r="C742" s="3"/>
      <c r="D742" s="3"/>
      <c r="E742" s="6"/>
    </row>
    <row r="743" spans="3:5" ht="17.25" customHeight="1" x14ac:dyDescent="0.45">
      <c r="C743" s="3"/>
      <c r="D743" s="3"/>
      <c r="E743" s="6"/>
    </row>
    <row r="744" spans="3:5" ht="17.25" customHeight="1" x14ac:dyDescent="0.45">
      <c r="C744" s="3"/>
      <c r="D744" s="3"/>
      <c r="E744" s="6"/>
    </row>
    <row r="745" spans="3:5" ht="17.25" customHeight="1" x14ac:dyDescent="0.45">
      <c r="C745" s="3"/>
      <c r="D745" s="3"/>
      <c r="E745" s="6"/>
    </row>
    <row r="746" spans="3:5" ht="17.25" customHeight="1" x14ac:dyDescent="0.45">
      <c r="C746" s="3"/>
      <c r="D746" s="3"/>
      <c r="E746" s="6"/>
    </row>
    <row r="747" spans="3:5" ht="17.25" customHeight="1" x14ac:dyDescent="0.45">
      <c r="C747" s="3"/>
      <c r="D747" s="3"/>
      <c r="E747" s="6"/>
    </row>
    <row r="748" spans="3:5" ht="17.25" customHeight="1" x14ac:dyDescent="0.45">
      <c r="C748" s="3"/>
      <c r="D748" s="3"/>
      <c r="E748" s="6"/>
    </row>
    <row r="749" spans="3:5" ht="17.25" customHeight="1" x14ac:dyDescent="0.45">
      <c r="C749" s="3"/>
      <c r="D749" s="3"/>
      <c r="E749" s="6"/>
    </row>
    <row r="750" spans="3:5" ht="17.25" customHeight="1" x14ac:dyDescent="0.45">
      <c r="C750" s="3"/>
      <c r="D750" s="3"/>
      <c r="E750" s="6"/>
    </row>
    <row r="751" spans="3:5" ht="17.25" customHeight="1" x14ac:dyDescent="0.45">
      <c r="C751" s="3"/>
      <c r="D751" s="3"/>
      <c r="E751" s="6"/>
    </row>
    <row r="752" spans="3:5" ht="17.25" customHeight="1" x14ac:dyDescent="0.45">
      <c r="C752" s="3"/>
      <c r="D752" s="3"/>
      <c r="E752" s="6"/>
    </row>
    <row r="753" spans="3:5" ht="17.25" customHeight="1" x14ac:dyDescent="0.45">
      <c r="C753" s="3"/>
      <c r="D753" s="3"/>
      <c r="E753" s="6"/>
    </row>
    <row r="754" spans="3:5" ht="17.25" customHeight="1" x14ac:dyDescent="0.45">
      <c r="C754" s="3"/>
      <c r="D754" s="3"/>
      <c r="E754" s="6"/>
    </row>
    <row r="755" spans="3:5" ht="17.25" customHeight="1" x14ac:dyDescent="0.45">
      <c r="C755" s="3"/>
      <c r="D755" s="3"/>
      <c r="E755" s="6"/>
    </row>
    <row r="756" spans="3:5" ht="17.25" customHeight="1" x14ac:dyDescent="0.45">
      <c r="C756" s="3"/>
      <c r="D756" s="3"/>
      <c r="E756" s="6"/>
    </row>
    <row r="757" spans="3:5" ht="17.25" customHeight="1" x14ac:dyDescent="0.45">
      <c r="C757" s="3"/>
      <c r="D757" s="3"/>
      <c r="E757" s="6"/>
    </row>
    <row r="758" spans="3:5" ht="17.25" customHeight="1" x14ac:dyDescent="0.45">
      <c r="C758" s="3"/>
      <c r="D758" s="3"/>
      <c r="E758" s="6"/>
    </row>
    <row r="759" spans="3:5" ht="17.25" customHeight="1" x14ac:dyDescent="0.45">
      <c r="C759" s="3"/>
      <c r="D759" s="3"/>
      <c r="E759" s="6"/>
    </row>
    <row r="760" spans="3:5" ht="17.25" customHeight="1" x14ac:dyDescent="0.45">
      <c r="C760" s="3"/>
      <c r="D760" s="3"/>
      <c r="E760" s="6"/>
    </row>
    <row r="761" spans="3:5" ht="17.25" customHeight="1" x14ac:dyDescent="0.45">
      <c r="C761" s="3"/>
      <c r="D761" s="3"/>
      <c r="E761" s="6"/>
    </row>
    <row r="762" spans="3:5" ht="17.25" customHeight="1" x14ac:dyDescent="0.45">
      <c r="C762" s="3"/>
      <c r="D762" s="3"/>
      <c r="E762" s="6"/>
    </row>
    <row r="763" spans="3:5" ht="17.25" customHeight="1" x14ac:dyDescent="0.45">
      <c r="C763" s="3"/>
      <c r="D763" s="3"/>
      <c r="E763" s="6"/>
    </row>
    <row r="764" spans="3:5" ht="17.25" customHeight="1" x14ac:dyDescent="0.45">
      <c r="C764" s="3"/>
      <c r="D764" s="3"/>
      <c r="E764" s="6"/>
    </row>
    <row r="765" spans="3:5" ht="17.25" customHeight="1" x14ac:dyDescent="0.45">
      <c r="C765" s="3"/>
      <c r="D765" s="3"/>
      <c r="E765" s="6"/>
    </row>
    <row r="766" spans="3:5" ht="17.25" customHeight="1" x14ac:dyDescent="0.45">
      <c r="C766" s="3"/>
      <c r="D766" s="3"/>
      <c r="E766" s="6"/>
    </row>
    <row r="767" spans="3:5" ht="17.25" customHeight="1" x14ac:dyDescent="0.45">
      <c r="C767" s="3"/>
      <c r="D767" s="3"/>
      <c r="E767" s="6"/>
    </row>
    <row r="768" spans="3:5" ht="17.25" customHeight="1" x14ac:dyDescent="0.45">
      <c r="C768" s="3"/>
      <c r="D768" s="3"/>
      <c r="E768" s="6"/>
    </row>
    <row r="769" spans="3:5" ht="17.25" customHeight="1" x14ac:dyDescent="0.45">
      <c r="C769" s="3"/>
      <c r="D769" s="3"/>
      <c r="E769" s="6"/>
    </row>
    <row r="770" spans="3:5" ht="17.25" customHeight="1" x14ac:dyDescent="0.45">
      <c r="C770" s="3"/>
      <c r="D770" s="3"/>
      <c r="E770" s="6"/>
    </row>
    <row r="771" spans="3:5" ht="17.25" customHeight="1" x14ac:dyDescent="0.45">
      <c r="C771" s="3"/>
      <c r="D771" s="3"/>
      <c r="E771" s="6"/>
    </row>
    <row r="772" spans="3:5" ht="17.25" customHeight="1" x14ac:dyDescent="0.45">
      <c r="C772" s="3"/>
      <c r="D772" s="3"/>
      <c r="E772" s="6"/>
    </row>
    <row r="773" spans="3:5" ht="17.25" customHeight="1" x14ac:dyDescent="0.45">
      <c r="C773" s="3"/>
      <c r="D773" s="3"/>
      <c r="E773" s="6"/>
    </row>
    <row r="774" spans="3:5" ht="17.25" customHeight="1" x14ac:dyDescent="0.45">
      <c r="C774" s="3"/>
      <c r="D774" s="3"/>
      <c r="E774" s="6"/>
    </row>
    <row r="775" spans="3:5" ht="17.25" customHeight="1" x14ac:dyDescent="0.45">
      <c r="C775" s="3"/>
      <c r="D775" s="3"/>
      <c r="E775" s="6"/>
    </row>
    <row r="776" spans="3:5" ht="17.25" customHeight="1" x14ac:dyDescent="0.45">
      <c r="C776" s="3"/>
      <c r="D776" s="3"/>
      <c r="E776" s="6"/>
    </row>
    <row r="777" spans="3:5" ht="17.25" customHeight="1" x14ac:dyDescent="0.45">
      <c r="C777" s="3"/>
      <c r="D777" s="3"/>
      <c r="E777" s="6"/>
    </row>
    <row r="778" spans="3:5" ht="17.25" customHeight="1" x14ac:dyDescent="0.45">
      <c r="C778" s="3"/>
      <c r="D778" s="3"/>
      <c r="E778" s="6"/>
    </row>
    <row r="779" spans="3:5" ht="17.25" customHeight="1" x14ac:dyDescent="0.45">
      <c r="C779" s="3"/>
      <c r="D779" s="3"/>
      <c r="E779" s="6"/>
    </row>
    <row r="780" spans="3:5" ht="17.25" customHeight="1" x14ac:dyDescent="0.45">
      <c r="C780" s="3"/>
      <c r="D780" s="3"/>
      <c r="E780" s="6"/>
    </row>
    <row r="781" spans="3:5" ht="17.25" customHeight="1" x14ac:dyDescent="0.45">
      <c r="C781" s="3"/>
      <c r="D781" s="3"/>
      <c r="E781" s="6"/>
    </row>
    <row r="782" spans="3:5" ht="17.25" customHeight="1" x14ac:dyDescent="0.45">
      <c r="C782" s="3"/>
      <c r="D782" s="3"/>
      <c r="E782" s="6"/>
    </row>
    <row r="783" spans="3:5" ht="17.25" customHeight="1" x14ac:dyDescent="0.45">
      <c r="C783" s="3"/>
      <c r="D783" s="3"/>
      <c r="E783" s="6"/>
    </row>
    <row r="784" spans="3:5" ht="17.25" customHeight="1" x14ac:dyDescent="0.45">
      <c r="C784" s="3"/>
      <c r="D784" s="3"/>
      <c r="E784" s="6"/>
    </row>
    <row r="785" spans="3:5" ht="17.25" customHeight="1" x14ac:dyDescent="0.45">
      <c r="C785" s="3"/>
      <c r="D785" s="3"/>
      <c r="E785" s="6"/>
    </row>
    <row r="786" spans="3:5" ht="17.25" customHeight="1" x14ac:dyDescent="0.45">
      <c r="C786" s="3"/>
      <c r="D786" s="3"/>
      <c r="E786" s="6"/>
    </row>
    <row r="787" spans="3:5" ht="17.25" customHeight="1" x14ac:dyDescent="0.45">
      <c r="C787" s="3"/>
      <c r="D787" s="3"/>
      <c r="E787" s="6"/>
    </row>
    <row r="788" spans="3:5" ht="17.25" customHeight="1" x14ac:dyDescent="0.45">
      <c r="C788" s="3"/>
      <c r="D788" s="3"/>
      <c r="E788" s="6"/>
    </row>
    <row r="789" spans="3:5" ht="17.25" customHeight="1" x14ac:dyDescent="0.45">
      <c r="C789" s="3"/>
      <c r="D789" s="3"/>
      <c r="E789" s="6"/>
    </row>
    <row r="790" spans="3:5" ht="17.25" customHeight="1" x14ac:dyDescent="0.45">
      <c r="C790" s="3"/>
      <c r="D790" s="3"/>
      <c r="E790" s="6"/>
    </row>
    <row r="791" spans="3:5" ht="17.25" customHeight="1" x14ac:dyDescent="0.45">
      <c r="C791" s="3"/>
      <c r="D791" s="3"/>
      <c r="E791" s="6"/>
    </row>
    <row r="792" spans="3:5" ht="17.25" customHeight="1" x14ac:dyDescent="0.45">
      <c r="C792" s="3"/>
      <c r="D792" s="3"/>
      <c r="E792" s="6"/>
    </row>
    <row r="793" spans="3:5" ht="17.25" customHeight="1" x14ac:dyDescent="0.45">
      <c r="C793" s="3"/>
      <c r="D793" s="3"/>
      <c r="E793" s="6"/>
    </row>
    <row r="794" spans="3:5" ht="17.25" customHeight="1" x14ac:dyDescent="0.45">
      <c r="C794" s="3"/>
      <c r="D794" s="3"/>
      <c r="E794" s="6"/>
    </row>
    <row r="795" spans="3:5" ht="17.25" customHeight="1" x14ac:dyDescent="0.45">
      <c r="C795" s="3"/>
      <c r="D795" s="3"/>
      <c r="E795" s="6"/>
    </row>
    <row r="796" spans="3:5" ht="17.25" customHeight="1" x14ac:dyDescent="0.45">
      <c r="C796" s="3"/>
      <c r="D796" s="3"/>
      <c r="E796" s="6"/>
    </row>
    <row r="797" spans="3:5" ht="17.25" customHeight="1" x14ac:dyDescent="0.45">
      <c r="C797" s="3"/>
      <c r="D797" s="3"/>
      <c r="E797" s="6"/>
    </row>
    <row r="798" spans="3:5" ht="17.25" customHeight="1" x14ac:dyDescent="0.45">
      <c r="C798" s="3"/>
      <c r="D798" s="3"/>
      <c r="E798" s="6"/>
    </row>
    <row r="799" spans="3:5" ht="17.25" customHeight="1" x14ac:dyDescent="0.45">
      <c r="C799" s="3"/>
      <c r="D799" s="3"/>
      <c r="E799" s="6"/>
    </row>
    <row r="800" spans="3:5" ht="17.25" customHeight="1" x14ac:dyDescent="0.45">
      <c r="C800" s="3"/>
      <c r="D800" s="3"/>
      <c r="E800" s="6"/>
    </row>
    <row r="801" spans="3:5" ht="17.25" customHeight="1" x14ac:dyDescent="0.45">
      <c r="C801" s="3"/>
      <c r="D801" s="3"/>
      <c r="E801" s="6"/>
    </row>
    <row r="802" spans="3:5" ht="17.25" customHeight="1" x14ac:dyDescent="0.45">
      <c r="C802" s="3"/>
      <c r="D802" s="3"/>
      <c r="E802" s="6"/>
    </row>
    <row r="803" spans="3:5" ht="17.25" customHeight="1" x14ac:dyDescent="0.45">
      <c r="C803" s="3"/>
      <c r="D803" s="3"/>
      <c r="E803" s="6"/>
    </row>
    <row r="804" spans="3:5" ht="17.25" customHeight="1" x14ac:dyDescent="0.45">
      <c r="C804" s="3"/>
      <c r="D804" s="3"/>
      <c r="E804" s="6"/>
    </row>
    <row r="805" spans="3:5" ht="17.25" customHeight="1" x14ac:dyDescent="0.45">
      <c r="C805" s="3"/>
      <c r="D805" s="3"/>
      <c r="E805" s="6"/>
    </row>
    <row r="806" spans="3:5" ht="17.25" customHeight="1" x14ac:dyDescent="0.45">
      <c r="C806" s="3"/>
      <c r="D806" s="3"/>
      <c r="E806" s="6"/>
    </row>
    <row r="807" spans="3:5" ht="17.25" customHeight="1" x14ac:dyDescent="0.45">
      <c r="C807" s="3"/>
      <c r="D807" s="3"/>
      <c r="E807" s="6"/>
    </row>
    <row r="808" spans="3:5" ht="17.25" customHeight="1" x14ac:dyDescent="0.45">
      <c r="C808" s="3"/>
      <c r="D808" s="3"/>
      <c r="E808" s="6"/>
    </row>
    <row r="809" spans="3:5" ht="17.25" customHeight="1" x14ac:dyDescent="0.45">
      <c r="C809" s="3"/>
      <c r="D809" s="3"/>
      <c r="E809" s="6"/>
    </row>
    <row r="810" spans="3:5" ht="17.25" customHeight="1" x14ac:dyDescent="0.45">
      <c r="C810" s="3"/>
      <c r="D810" s="3"/>
      <c r="E810" s="6"/>
    </row>
    <row r="811" spans="3:5" ht="17.25" customHeight="1" x14ac:dyDescent="0.45">
      <c r="C811" s="3"/>
      <c r="D811" s="3"/>
      <c r="E811" s="6"/>
    </row>
    <row r="812" spans="3:5" ht="17.25" customHeight="1" x14ac:dyDescent="0.45">
      <c r="C812" s="3"/>
      <c r="D812" s="3"/>
      <c r="E812" s="6"/>
    </row>
    <row r="813" spans="3:5" ht="17.25" customHeight="1" x14ac:dyDescent="0.45">
      <c r="C813" s="3"/>
      <c r="D813" s="3"/>
      <c r="E813" s="6"/>
    </row>
    <row r="814" spans="3:5" ht="17.25" customHeight="1" x14ac:dyDescent="0.45">
      <c r="C814" s="3"/>
      <c r="D814" s="3"/>
      <c r="E814" s="6"/>
    </row>
    <row r="815" spans="3:5" ht="17.25" customHeight="1" x14ac:dyDescent="0.45">
      <c r="C815" s="3"/>
      <c r="D815" s="3"/>
      <c r="E815" s="6"/>
    </row>
    <row r="816" spans="3:5" ht="17.25" customHeight="1" x14ac:dyDescent="0.45">
      <c r="C816" s="3"/>
      <c r="D816" s="3"/>
      <c r="E816" s="6"/>
    </row>
    <row r="817" spans="3:5" ht="17.25" customHeight="1" x14ac:dyDescent="0.45">
      <c r="C817" s="3"/>
      <c r="D817" s="3"/>
      <c r="E817" s="6"/>
    </row>
    <row r="818" spans="3:5" ht="17.25" customHeight="1" x14ac:dyDescent="0.45">
      <c r="C818" s="3"/>
      <c r="D818" s="3"/>
      <c r="E818" s="6"/>
    </row>
    <row r="819" spans="3:5" ht="17.25" customHeight="1" x14ac:dyDescent="0.45">
      <c r="C819" s="3"/>
      <c r="D819" s="3"/>
      <c r="E819" s="6"/>
    </row>
    <row r="820" spans="3:5" ht="17.25" customHeight="1" x14ac:dyDescent="0.45">
      <c r="C820" s="3"/>
      <c r="D820" s="3"/>
      <c r="E820" s="6"/>
    </row>
    <row r="821" spans="3:5" ht="17.25" customHeight="1" x14ac:dyDescent="0.45">
      <c r="C821" s="3"/>
      <c r="D821" s="3"/>
      <c r="E821" s="6"/>
    </row>
    <row r="822" spans="3:5" ht="17.25" customHeight="1" x14ac:dyDescent="0.45">
      <c r="C822" s="3"/>
      <c r="D822" s="3"/>
      <c r="E822" s="6"/>
    </row>
    <row r="823" spans="3:5" ht="17.25" customHeight="1" x14ac:dyDescent="0.45">
      <c r="C823" s="3"/>
      <c r="D823" s="3"/>
      <c r="E823" s="6"/>
    </row>
    <row r="824" spans="3:5" ht="17.25" customHeight="1" x14ac:dyDescent="0.45">
      <c r="C824" s="3"/>
      <c r="D824" s="3"/>
      <c r="E824" s="6"/>
    </row>
    <row r="825" spans="3:5" ht="17.25" customHeight="1" x14ac:dyDescent="0.45">
      <c r="C825" s="3"/>
      <c r="D825" s="3"/>
      <c r="E825" s="6"/>
    </row>
    <row r="826" spans="3:5" ht="17.25" customHeight="1" x14ac:dyDescent="0.45">
      <c r="C826" s="3"/>
      <c r="D826" s="3"/>
      <c r="E826" s="6"/>
    </row>
    <row r="827" spans="3:5" ht="17.25" customHeight="1" x14ac:dyDescent="0.45">
      <c r="C827" s="3"/>
      <c r="D827" s="3"/>
      <c r="E827" s="6"/>
    </row>
    <row r="828" spans="3:5" ht="17.25" customHeight="1" x14ac:dyDescent="0.45">
      <c r="C828" s="3"/>
      <c r="D828" s="3"/>
      <c r="E828" s="6"/>
    </row>
    <row r="829" spans="3:5" ht="17.25" customHeight="1" x14ac:dyDescent="0.45">
      <c r="C829" s="3"/>
      <c r="D829" s="3"/>
      <c r="E829" s="6"/>
    </row>
    <row r="830" spans="3:5" ht="17.25" customHeight="1" x14ac:dyDescent="0.45">
      <c r="C830" s="3"/>
      <c r="D830" s="3"/>
      <c r="E830" s="6"/>
    </row>
    <row r="831" spans="3:5" ht="17.25" customHeight="1" x14ac:dyDescent="0.45">
      <c r="C831" s="3"/>
      <c r="D831" s="3"/>
      <c r="E831" s="6"/>
    </row>
    <row r="832" spans="3:5" ht="17.25" customHeight="1" x14ac:dyDescent="0.45">
      <c r="C832" s="3"/>
      <c r="D832" s="3"/>
      <c r="E832" s="6"/>
    </row>
    <row r="833" spans="3:5" ht="17.25" customHeight="1" x14ac:dyDescent="0.45">
      <c r="C833" s="3"/>
      <c r="D833" s="3"/>
      <c r="E833" s="6"/>
    </row>
    <row r="834" spans="3:5" ht="17.25" customHeight="1" x14ac:dyDescent="0.45">
      <c r="C834" s="3"/>
      <c r="D834" s="3"/>
      <c r="E834" s="6"/>
    </row>
    <row r="835" spans="3:5" ht="17.25" customHeight="1" x14ac:dyDescent="0.45">
      <c r="C835" s="3"/>
      <c r="D835" s="3"/>
      <c r="E835" s="6"/>
    </row>
    <row r="836" spans="3:5" ht="17.25" customHeight="1" x14ac:dyDescent="0.45">
      <c r="C836" s="3"/>
      <c r="D836" s="3"/>
      <c r="E836" s="6"/>
    </row>
    <row r="837" spans="3:5" ht="17.25" customHeight="1" x14ac:dyDescent="0.45">
      <c r="C837" s="3"/>
      <c r="D837" s="3"/>
      <c r="E837" s="6"/>
    </row>
    <row r="838" spans="3:5" ht="17.25" customHeight="1" x14ac:dyDescent="0.45">
      <c r="C838" s="3"/>
      <c r="D838" s="3"/>
      <c r="E838" s="6"/>
    </row>
    <row r="839" spans="3:5" ht="17.25" customHeight="1" x14ac:dyDescent="0.45">
      <c r="C839" s="3"/>
      <c r="D839" s="3"/>
      <c r="E839" s="6"/>
    </row>
    <row r="840" spans="3:5" ht="17.25" customHeight="1" x14ac:dyDescent="0.45">
      <c r="C840" s="3"/>
      <c r="D840" s="3"/>
      <c r="E840" s="6"/>
    </row>
    <row r="841" spans="3:5" ht="17.25" customHeight="1" x14ac:dyDescent="0.45">
      <c r="C841" s="3"/>
      <c r="D841" s="3"/>
      <c r="E841" s="6"/>
    </row>
    <row r="842" spans="3:5" ht="17.25" customHeight="1" x14ac:dyDescent="0.45">
      <c r="C842" s="3"/>
      <c r="D842" s="3"/>
      <c r="E842" s="6"/>
    </row>
    <row r="843" spans="3:5" ht="17.25" customHeight="1" x14ac:dyDescent="0.45">
      <c r="C843" s="3"/>
      <c r="D843" s="3"/>
      <c r="E843" s="6"/>
    </row>
    <row r="844" spans="3:5" ht="17.25" customHeight="1" x14ac:dyDescent="0.45">
      <c r="C844" s="3"/>
      <c r="D844" s="3"/>
      <c r="E844" s="6"/>
    </row>
    <row r="845" spans="3:5" ht="17.25" customHeight="1" x14ac:dyDescent="0.45">
      <c r="C845" s="3"/>
      <c r="D845" s="3"/>
      <c r="E845" s="6"/>
    </row>
    <row r="846" spans="3:5" ht="17.25" customHeight="1" x14ac:dyDescent="0.45">
      <c r="C846" s="3"/>
      <c r="D846" s="3"/>
      <c r="E846" s="6"/>
    </row>
    <row r="847" spans="3:5" ht="17.25" customHeight="1" x14ac:dyDescent="0.45">
      <c r="C847" s="3"/>
      <c r="D847" s="3"/>
      <c r="E847" s="6"/>
    </row>
    <row r="848" spans="3:5" ht="17.25" customHeight="1" x14ac:dyDescent="0.45">
      <c r="C848" s="3"/>
      <c r="D848" s="3"/>
      <c r="E848" s="6"/>
    </row>
    <row r="849" spans="3:5" ht="17.25" customHeight="1" x14ac:dyDescent="0.45">
      <c r="C849" s="3"/>
      <c r="D849" s="3"/>
      <c r="E849" s="6"/>
    </row>
    <row r="850" spans="3:5" ht="17.25" customHeight="1" x14ac:dyDescent="0.45">
      <c r="C850" s="3"/>
      <c r="D850" s="3"/>
      <c r="E850" s="6"/>
    </row>
    <row r="851" spans="3:5" ht="17.25" customHeight="1" x14ac:dyDescent="0.45">
      <c r="C851" s="3"/>
      <c r="D851" s="3"/>
      <c r="E851" s="6"/>
    </row>
    <row r="852" spans="3:5" ht="17.25" customHeight="1" x14ac:dyDescent="0.45">
      <c r="C852" s="3"/>
      <c r="D852" s="3"/>
      <c r="E852" s="6"/>
    </row>
    <row r="853" spans="3:5" ht="17.25" customHeight="1" x14ac:dyDescent="0.45">
      <c r="C853" s="3"/>
      <c r="D853" s="3"/>
      <c r="E853" s="6"/>
    </row>
    <row r="854" spans="3:5" ht="17.25" customHeight="1" x14ac:dyDescent="0.45">
      <c r="C854" s="3"/>
      <c r="D854" s="3"/>
      <c r="E854" s="6"/>
    </row>
    <row r="855" spans="3:5" ht="17.25" customHeight="1" x14ac:dyDescent="0.45">
      <c r="C855" s="3"/>
      <c r="D855" s="3"/>
      <c r="E855" s="6"/>
    </row>
    <row r="856" spans="3:5" ht="17.25" customHeight="1" x14ac:dyDescent="0.45">
      <c r="C856" s="3"/>
      <c r="D856" s="3"/>
      <c r="E856" s="6"/>
    </row>
    <row r="857" spans="3:5" ht="17.25" customHeight="1" x14ac:dyDescent="0.45">
      <c r="C857" s="3"/>
      <c r="D857" s="3"/>
      <c r="E857" s="6"/>
    </row>
    <row r="858" spans="3:5" ht="17.25" customHeight="1" x14ac:dyDescent="0.45">
      <c r="C858" s="3"/>
      <c r="D858" s="3"/>
      <c r="E858" s="6"/>
    </row>
    <row r="859" spans="3:5" ht="17.25" customHeight="1" x14ac:dyDescent="0.45">
      <c r="C859" s="3"/>
      <c r="D859" s="3"/>
      <c r="E859" s="6"/>
    </row>
    <row r="860" spans="3:5" ht="17.25" customHeight="1" x14ac:dyDescent="0.45">
      <c r="C860" s="3"/>
      <c r="D860" s="3"/>
      <c r="E860" s="6"/>
    </row>
    <row r="861" spans="3:5" ht="17.25" customHeight="1" x14ac:dyDescent="0.45">
      <c r="C861" s="3"/>
      <c r="D861" s="3"/>
      <c r="E861" s="6"/>
    </row>
    <row r="862" spans="3:5" ht="17.25" customHeight="1" x14ac:dyDescent="0.45">
      <c r="C862" s="3"/>
      <c r="D862" s="3"/>
      <c r="E862" s="6"/>
    </row>
    <row r="863" spans="3:5" ht="17.25" customHeight="1" x14ac:dyDescent="0.45">
      <c r="C863" s="3"/>
      <c r="D863" s="3"/>
      <c r="E863" s="6"/>
    </row>
    <row r="864" spans="3:5" ht="17.25" customHeight="1" x14ac:dyDescent="0.45">
      <c r="C864" s="3"/>
      <c r="D864" s="3"/>
      <c r="E864" s="6"/>
    </row>
    <row r="865" spans="3:5" ht="17.25" customHeight="1" x14ac:dyDescent="0.45">
      <c r="C865" s="3"/>
      <c r="D865" s="3"/>
      <c r="E865" s="6"/>
    </row>
    <row r="866" spans="3:5" ht="17.25" customHeight="1" x14ac:dyDescent="0.45">
      <c r="C866" s="3"/>
      <c r="D866" s="3"/>
      <c r="E866" s="6"/>
    </row>
    <row r="867" spans="3:5" ht="17.25" customHeight="1" x14ac:dyDescent="0.45">
      <c r="C867" s="3"/>
      <c r="D867" s="3"/>
      <c r="E867" s="6"/>
    </row>
    <row r="868" spans="3:5" ht="17.25" customHeight="1" x14ac:dyDescent="0.45">
      <c r="C868" s="3"/>
      <c r="D868" s="3"/>
      <c r="E868" s="6"/>
    </row>
    <row r="869" spans="3:5" ht="17.25" customHeight="1" x14ac:dyDescent="0.45">
      <c r="C869" s="3"/>
      <c r="D869" s="3"/>
      <c r="E869" s="6"/>
    </row>
    <row r="870" spans="3:5" ht="17.25" customHeight="1" x14ac:dyDescent="0.45">
      <c r="C870" s="3"/>
      <c r="D870" s="3"/>
      <c r="E870" s="6"/>
    </row>
    <row r="871" spans="3:5" ht="17.25" customHeight="1" x14ac:dyDescent="0.45">
      <c r="C871" s="3"/>
      <c r="D871" s="3"/>
      <c r="E871" s="6"/>
    </row>
    <row r="872" spans="3:5" ht="17.25" customHeight="1" x14ac:dyDescent="0.45">
      <c r="C872" s="3"/>
      <c r="D872" s="3"/>
      <c r="E872" s="6"/>
    </row>
    <row r="873" spans="3:5" ht="17.25" customHeight="1" x14ac:dyDescent="0.45">
      <c r="C873" s="3"/>
      <c r="D873" s="3"/>
      <c r="E873" s="6"/>
    </row>
    <row r="874" spans="3:5" ht="17.25" customHeight="1" x14ac:dyDescent="0.45">
      <c r="C874" s="3"/>
      <c r="D874" s="3"/>
      <c r="E874" s="6"/>
    </row>
    <row r="875" spans="3:5" ht="17.25" customHeight="1" x14ac:dyDescent="0.45">
      <c r="C875" s="3"/>
      <c r="D875" s="3"/>
      <c r="E875" s="6"/>
    </row>
    <row r="876" spans="3:5" ht="17.25" customHeight="1" x14ac:dyDescent="0.45">
      <c r="C876" s="3"/>
      <c r="D876" s="3"/>
      <c r="E876" s="6"/>
    </row>
    <row r="877" spans="3:5" ht="17.25" customHeight="1" x14ac:dyDescent="0.45">
      <c r="C877" s="3"/>
      <c r="D877" s="3"/>
      <c r="E877" s="6"/>
    </row>
    <row r="878" spans="3:5" ht="17.25" customHeight="1" x14ac:dyDescent="0.45">
      <c r="C878" s="3"/>
      <c r="D878" s="3"/>
      <c r="E878" s="6"/>
    </row>
    <row r="879" spans="3:5" ht="17.25" customHeight="1" x14ac:dyDescent="0.45">
      <c r="C879" s="3"/>
      <c r="D879" s="3"/>
      <c r="E879" s="6"/>
    </row>
    <row r="880" spans="3:5" ht="17.25" customHeight="1" x14ac:dyDescent="0.45">
      <c r="C880" s="3"/>
      <c r="D880" s="3"/>
      <c r="E880" s="6"/>
    </row>
    <row r="881" spans="3:5" ht="17.25" customHeight="1" x14ac:dyDescent="0.45">
      <c r="C881" s="3"/>
      <c r="D881" s="3"/>
      <c r="E881" s="6"/>
    </row>
    <row r="882" spans="3:5" ht="17.25" customHeight="1" x14ac:dyDescent="0.45">
      <c r="C882" s="3"/>
      <c r="D882" s="3"/>
      <c r="E882" s="6"/>
    </row>
    <row r="883" spans="3:5" ht="17.25" customHeight="1" x14ac:dyDescent="0.45">
      <c r="C883" s="3"/>
      <c r="D883" s="3"/>
      <c r="E883" s="6"/>
    </row>
    <row r="884" spans="3:5" ht="17.25" customHeight="1" x14ac:dyDescent="0.45">
      <c r="C884" s="3"/>
      <c r="D884" s="3"/>
      <c r="E884" s="6"/>
    </row>
    <row r="885" spans="3:5" ht="17.25" customHeight="1" x14ac:dyDescent="0.45">
      <c r="C885" s="3"/>
      <c r="D885" s="3"/>
      <c r="E885" s="6"/>
    </row>
    <row r="886" spans="3:5" ht="17.25" customHeight="1" x14ac:dyDescent="0.45">
      <c r="C886" s="3"/>
      <c r="D886" s="3"/>
      <c r="E886" s="6"/>
    </row>
    <row r="887" spans="3:5" ht="17.25" customHeight="1" x14ac:dyDescent="0.45">
      <c r="C887" s="3"/>
      <c r="D887" s="3"/>
      <c r="E887" s="6"/>
    </row>
    <row r="888" spans="3:5" ht="17.25" customHeight="1" x14ac:dyDescent="0.45">
      <c r="C888" s="3"/>
      <c r="D888" s="3"/>
      <c r="E888" s="6"/>
    </row>
    <row r="889" spans="3:5" ht="17.25" customHeight="1" x14ac:dyDescent="0.45">
      <c r="C889" s="3"/>
      <c r="D889" s="3"/>
      <c r="E889" s="6"/>
    </row>
    <row r="890" spans="3:5" ht="17.25" customHeight="1" x14ac:dyDescent="0.45">
      <c r="C890" s="3"/>
      <c r="D890" s="3"/>
      <c r="E890" s="6"/>
    </row>
    <row r="891" spans="3:5" ht="17.25" customHeight="1" x14ac:dyDescent="0.45">
      <c r="C891" s="3"/>
      <c r="D891" s="3"/>
      <c r="E891" s="6"/>
    </row>
    <row r="892" spans="3:5" ht="17.25" customHeight="1" x14ac:dyDescent="0.45">
      <c r="C892" s="3"/>
      <c r="D892" s="3"/>
      <c r="E892" s="6"/>
    </row>
    <row r="893" spans="3:5" ht="17.25" customHeight="1" x14ac:dyDescent="0.45">
      <c r="C893" s="3"/>
      <c r="D893" s="3"/>
      <c r="E893" s="6"/>
    </row>
    <row r="894" spans="3:5" ht="17.25" customHeight="1" x14ac:dyDescent="0.45">
      <c r="C894" s="3"/>
      <c r="D894" s="3"/>
      <c r="E894" s="6"/>
    </row>
    <row r="895" spans="3:5" ht="17.25" customHeight="1" x14ac:dyDescent="0.45">
      <c r="C895" s="3"/>
      <c r="D895" s="3"/>
      <c r="E895" s="6"/>
    </row>
    <row r="896" spans="3:5" ht="17.25" customHeight="1" x14ac:dyDescent="0.45">
      <c r="C896" s="3"/>
      <c r="D896" s="3"/>
      <c r="E896" s="6"/>
    </row>
    <row r="897" spans="3:5" ht="17.25" customHeight="1" x14ac:dyDescent="0.45">
      <c r="C897" s="3"/>
      <c r="D897" s="3"/>
      <c r="E897" s="6"/>
    </row>
    <row r="898" spans="3:5" ht="17.25" customHeight="1" x14ac:dyDescent="0.45">
      <c r="C898" s="3"/>
      <c r="D898" s="3"/>
      <c r="E898" s="6"/>
    </row>
    <row r="899" spans="3:5" ht="17.25" customHeight="1" x14ac:dyDescent="0.45">
      <c r="C899" s="3"/>
      <c r="D899" s="3"/>
      <c r="E899" s="6"/>
    </row>
    <row r="900" spans="3:5" ht="17.25" customHeight="1" x14ac:dyDescent="0.45">
      <c r="C900" s="3"/>
      <c r="D900" s="3"/>
      <c r="E900" s="6"/>
    </row>
    <row r="901" spans="3:5" ht="17.25" customHeight="1" x14ac:dyDescent="0.45">
      <c r="C901" s="3"/>
      <c r="D901" s="3"/>
      <c r="E901" s="6"/>
    </row>
    <row r="902" spans="3:5" ht="17.25" customHeight="1" x14ac:dyDescent="0.45">
      <c r="C902" s="3"/>
      <c r="D902" s="3"/>
      <c r="E902" s="6"/>
    </row>
    <row r="903" spans="3:5" ht="17.25" customHeight="1" x14ac:dyDescent="0.45">
      <c r="C903" s="3"/>
      <c r="D903" s="3"/>
      <c r="E903" s="6"/>
    </row>
    <row r="904" spans="3:5" ht="17.25" customHeight="1" x14ac:dyDescent="0.45">
      <c r="C904" s="3"/>
      <c r="D904" s="3"/>
      <c r="E904" s="6"/>
    </row>
    <row r="905" spans="3:5" ht="17.25" customHeight="1" x14ac:dyDescent="0.45">
      <c r="C905" s="3"/>
      <c r="D905" s="3"/>
      <c r="E905" s="6"/>
    </row>
    <row r="906" spans="3:5" ht="17.25" customHeight="1" x14ac:dyDescent="0.45">
      <c r="C906" s="3"/>
      <c r="D906" s="3"/>
      <c r="E906" s="6"/>
    </row>
    <row r="907" spans="3:5" ht="17.25" customHeight="1" x14ac:dyDescent="0.45">
      <c r="C907" s="3"/>
      <c r="D907" s="3"/>
      <c r="E907" s="6"/>
    </row>
    <row r="908" spans="3:5" ht="17.25" customHeight="1" x14ac:dyDescent="0.45">
      <c r="C908" s="3"/>
      <c r="D908" s="3"/>
      <c r="E908" s="6"/>
    </row>
    <row r="909" spans="3:5" ht="17.25" customHeight="1" x14ac:dyDescent="0.45">
      <c r="C909" s="3"/>
      <c r="D909" s="3"/>
      <c r="E909" s="6"/>
    </row>
    <row r="910" spans="3:5" ht="17.25" customHeight="1" x14ac:dyDescent="0.45">
      <c r="C910" s="3"/>
      <c r="D910" s="3"/>
      <c r="E910" s="6"/>
    </row>
    <row r="911" spans="3:5" ht="17.25" customHeight="1" x14ac:dyDescent="0.45">
      <c r="C911" s="3"/>
      <c r="D911" s="3"/>
      <c r="E911" s="6"/>
    </row>
    <row r="912" spans="3:5" ht="17.25" customHeight="1" x14ac:dyDescent="0.45">
      <c r="C912" s="3"/>
      <c r="D912" s="3"/>
      <c r="E912" s="6"/>
    </row>
    <row r="913" spans="3:5" ht="17.25" customHeight="1" x14ac:dyDescent="0.45">
      <c r="C913" s="3"/>
      <c r="D913" s="3"/>
      <c r="E913" s="6"/>
    </row>
    <row r="914" spans="3:5" ht="17.25" customHeight="1" x14ac:dyDescent="0.45">
      <c r="C914" s="3"/>
      <c r="D914" s="3"/>
      <c r="E914" s="6"/>
    </row>
    <row r="915" spans="3:5" ht="17.25" customHeight="1" x14ac:dyDescent="0.45">
      <c r="C915" s="3"/>
      <c r="D915" s="3"/>
      <c r="E915" s="6"/>
    </row>
    <row r="916" spans="3:5" ht="17.25" customHeight="1" x14ac:dyDescent="0.45">
      <c r="C916" s="3"/>
      <c r="D916" s="3"/>
      <c r="E916" s="6"/>
    </row>
    <row r="917" spans="3:5" ht="17.25" customHeight="1" x14ac:dyDescent="0.45">
      <c r="C917" s="3"/>
      <c r="D917" s="3"/>
      <c r="E917" s="6"/>
    </row>
    <row r="918" spans="3:5" ht="17.25" customHeight="1" x14ac:dyDescent="0.45">
      <c r="C918" s="3"/>
      <c r="D918" s="3"/>
      <c r="E918" s="6"/>
    </row>
    <row r="919" spans="3:5" ht="17.25" customHeight="1" x14ac:dyDescent="0.45">
      <c r="C919" s="3"/>
      <c r="D919" s="3"/>
      <c r="E919" s="6"/>
    </row>
    <row r="920" spans="3:5" ht="17.25" customHeight="1" x14ac:dyDescent="0.45">
      <c r="C920" s="3"/>
      <c r="D920" s="3"/>
      <c r="E920" s="6"/>
    </row>
    <row r="921" spans="3:5" ht="17.25" customHeight="1" x14ac:dyDescent="0.45">
      <c r="C921" s="3"/>
      <c r="D921" s="3"/>
      <c r="E921" s="6"/>
    </row>
    <row r="922" spans="3:5" ht="17.25" customHeight="1" x14ac:dyDescent="0.45">
      <c r="C922" s="3"/>
      <c r="D922" s="3"/>
      <c r="E922" s="6"/>
    </row>
    <row r="923" spans="3:5" ht="17.25" customHeight="1" x14ac:dyDescent="0.45">
      <c r="C923" s="3"/>
      <c r="D923" s="3"/>
      <c r="E923" s="6"/>
    </row>
    <row r="924" spans="3:5" ht="17.25" customHeight="1" x14ac:dyDescent="0.45">
      <c r="C924" s="3"/>
      <c r="D924" s="3"/>
      <c r="E924" s="6"/>
    </row>
    <row r="925" spans="3:5" ht="17.25" customHeight="1" x14ac:dyDescent="0.45">
      <c r="C925" s="3"/>
      <c r="D925" s="3"/>
      <c r="E925" s="6"/>
    </row>
    <row r="926" spans="3:5" ht="17.25" customHeight="1" x14ac:dyDescent="0.45">
      <c r="C926" s="3"/>
      <c r="D926" s="3"/>
      <c r="E926" s="6"/>
    </row>
    <row r="927" spans="3:5" ht="17.25" customHeight="1" x14ac:dyDescent="0.45">
      <c r="C927" s="3"/>
      <c r="D927" s="3"/>
      <c r="E927" s="6"/>
    </row>
    <row r="928" spans="3:5" ht="17.25" customHeight="1" x14ac:dyDescent="0.45">
      <c r="C928" s="3"/>
      <c r="D928" s="3"/>
      <c r="E928" s="6"/>
    </row>
    <row r="929" spans="3:5" ht="17.25" customHeight="1" x14ac:dyDescent="0.45">
      <c r="C929" s="3"/>
      <c r="D929" s="3"/>
      <c r="E929" s="6"/>
    </row>
    <row r="930" spans="3:5" ht="17.25" customHeight="1" x14ac:dyDescent="0.45">
      <c r="C930" s="3"/>
      <c r="D930" s="3"/>
      <c r="E930" s="6"/>
    </row>
    <row r="931" spans="3:5" ht="17.25" customHeight="1" x14ac:dyDescent="0.45">
      <c r="C931" s="3"/>
      <c r="D931" s="3"/>
      <c r="E931" s="6"/>
    </row>
    <row r="932" spans="3:5" ht="17.25" customHeight="1" x14ac:dyDescent="0.45">
      <c r="C932" s="3"/>
      <c r="D932" s="3"/>
      <c r="E932" s="6"/>
    </row>
    <row r="933" spans="3:5" ht="17.25" customHeight="1" x14ac:dyDescent="0.45">
      <c r="C933" s="3"/>
      <c r="D933" s="3"/>
      <c r="E933" s="6"/>
    </row>
    <row r="934" spans="3:5" ht="17.25" customHeight="1" x14ac:dyDescent="0.45">
      <c r="C934" s="3"/>
      <c r="D934" s="3"/>
      <c r="E934" s="6"/>
    </row>
    <row r="935" spans="3:5" ht="17.25" customHeight="1" x14ac:dyDescent="0.45">
      <c r="C935" s="3"/>
      <c r="D935" s="3"/>
      <c r="E935" s="6"/>
    </row>
    <row r="936" spans="3:5" ht="17.25" customHeight="1" x14ac:dyDescent="0.45">
      <c r="C936" s="3"/>
      <c r="D936" s="3"/>
      <c r="E936" s="6"/>
    </row>
    <row r="937" spans="3:5" ht="17.25" customHeight="1" x14ac:dyDescent="0.45">
      <c r="C937" s="3"/>
      <c r="D937" s="3"/>
      <c r="E937" s="6"/>
    </row>
    <row r="938" spans="3:5" ht="17.25" customHeight="1" x14ac:dyDescent="0.45">
      <c r="C938" s="3"/>
      <c r="D938" s="3"/>
      <c r="E938" s="6"/>
    </row>
    <row r="939" spans="3:5" ht="17.25" customHeight="1" x14ac:dyDescent="0.45">
      <c r="C939" s="3"/>
      <c r="D939" s="3"/>
      <c r="E939" s="6"/>
    </row>
    <row r="940" spans="3:5" ht="17.25" customHeight="1" x14ac:dyDescent="0.45">
      <c r="C940" s="3"/>
      <c r="D940" s="3"/>
      <c r="E940" s="6"/>
    </row>
    <row r="941" spans="3:5" ht="17.25" customHeight="1" x14ac:dyDescent="0.45">
      <c r="C941" s="3"/>
      <c r="D941" s="3"/>
      <c r="E941" s="6"/>
    </row>
    <row r="942" spans="3:5" ht="17.25" customHeight="1" x14ac:dyDescent="0.45">
      <c r="C942" s="3"/>
      <c r="D942" s="3"/>
      <c r="E942" s="6"/>
    </row>
    <row r="943" spans="3:5" ht="17.25" customHeight="1" x14ac:dyDescent="0.45">
      <c r="C943" s="3"/>
      <c r="D943" s="3"/>
      <c r="E943" s="6"/>
    </row>
    <row r="944" spans="3:5" ht="17.25" customHeight="1" x14ac:dyDescent="0.45">
      <c r="C944" s="3"/>
      <c r="D944" s="3"/>
      <c r="E944" s="6"/>
    </row>
    <row r="945" spans="3:5" ht="17.25" customHeight="1" x14ac:dyDescent="0.45">
      <c r="C945" s="3"/>
      <c r="D945" s="3"/>
      <c r="E945" s="6"/>
    </row>
    <row r="946" spans="3:5" ht="17.25" customHeight="1" x14ac:dyDescent="0.45">
      <c r="C946" s="3"/>
      <c r="D946" s="3"/>
      <c r="E946" s="6"/>
    </row>
    <row r="947" spans="3:5" ht="17.25" customHeight="1" x14ac:dyDescent="0.45">
      <c r="C947" s="3"/>
      <c r="D947" s="3"/>
      <c r="E947" s="6"/>
    </row>
    <row r="948" spans="3:5" ht="17.25" customHeight="1" x14ac:dyDescent="0.45">
      <c r="C948" s="3"/>
      <c r="D948" s="3"/>
      <c r="E948" s="6"/>
    </row>
    <row r="949" spans="3:5" ht="17.25" customHeight="1" x14ac:dyDescent="0.45">
      <c r="C949" s="3"/>
      <c r="D949" s="3"/>
      <c r="E949" s="6"/>
    </row>
    <row r="950" spans="3:5" ht="17.25" customHeight="1" x14ac:dyDescent="0.45">
      <c r="C950" s="3"/>
      <c r="D950" s="3"/>
      <c r="E950" s="6"/>
    </row>
    <row r="951" spans="3:5" ht="17.25" customHeight="1" x14ac:dyDescent="0.45">
      <c r="C951" s="3"/>
      <c r="D951" s="3"/>
      <c r="E951" s="6"/>
    </row>
    <row r="952" spans="3:5" ht="17.25" customHeight="1" x14ac:dyDescent="0.45">
      <c r="C952" s="3"/>
      <c r="D952" s="3"/>
      <c r="E952" s="6"/>
    </row>
    <row r="953" spans="3:5" ht="17.25" customHeight="1" x14ac:dyDescent="0.45">
      <c r="C953" s="3"/>
      <c r="D953" s="3"/>
      <c r="E953" s="6"/>
    </row>
    <row r="954" spans="3:5" ht="17.25" customHeight="1" x14ac:dyDescent="0.45">
      <c r="C954" s="3"/>
      <c r="D954" s="3"/>
      <c r="E954" s="6"/>
    </row>
    <row r="955" spans="3:5" ht="17.25" customHeight="1" x14ac:dyDescent="0.45">
      <c r="C955" s="3"/>
      <c r="D955" s="3"/>
      <c r="E955" s="6"/>
    </row>
    <row r="956" spans="3:5" ht="17.25" customHeight="1" x14ac:dyDescent="0.45">
      <c r="C956" s="3"/>
      <c r="D956" s="3"/>
      <c r="E956" s="6"/>
    </row>
    <row r="957" spans="3:5" ht="17.25" customHeight="1" x14ac:dyDescent="0.45">
      <c r="C957" s="3"/>
      <c r="D957" s="3"/>
      <c r="E957" s="6"/>
    </row>
    <row r="958" spans="3:5" ht="17.25" customHeight="1" x14ac:dyDescent="0.45">
      <c r="C958" s="3"/>
      <c r="D958" s="3"/>
      <c r="E958" s="6"/>
    </row>
    <row r="959" spans="3:5" ht="17.25" customHeight="1" x14ac:dyDescent="0.45">
      <c r="C959" s="3"/>
      <c r="D959" s="3"/>
      <c r="E959" s="6"/>
    </row>
    <row r="960" spans="3:5" ht="17.25" customHeight="1" x14ac:dyDescent="0.45">
      <c r="C960" s="3"/>
      <c r="D960" s="3"/>
      <c r="E960" s="6"/>
    </row>
    <row r="961" spans="3:5" ht="17.25" customHeight="1" x14ac:dyDescent="0.45">
      <c r="C961" s="3"/>
      <c r="D961" s="3"/>
      <c r="E961" s="6"/>
    </row>
    <row r="962" spans="3:5" ht="17.25" customHeight="1" x14ac:dyDescent="0.45">
      <c r="C962" s="3"/>
      <c r="D962" s="3"/>
      <c r="E962" s="6"/>
    </row>
    <row r="963" spans="3:5" ht="17.25" customHeight="1" x14ac:dyDescent="0.45">
      <c r="C963" s="3"/>
      <c r="D963" s="3"/>
      <c r="E963" s="6"/>
    </row>
    <row r="964" spans="3:5" ht="17.25" customHeight="1" x14ac:dyDescent="0.45">
      <c r="C964" s="3"/>
      <c r="D964" s="3"/>
      <c r="E964" s="6"/>
    </row>
    <row r="965" spans="3:5" ht="17.25" customHeight="1" x14ac:dyDescent="0.45">
      <c r="C965" s="3"/>
      <c r="D965" s="3"/>
      <c r="E965" s="6"/>
    </row>
    <row r="966" spans="3:5" ht="17.25" customHeight="1" x14ac:dyDescent="0.45">
      <c r="C966" s="3"/>
      <c r="D966" s="3"/>
      <c r="E966" s="6"/>
    </row>
    <row r="967" spans="3:5" ht="17.25" customHeight="1" x14ac:dyDescent="0.45">
      <c r="C967" s="3"/>
      <c r="D967" s="3"/>
      <c r="E967" s="6"/>
    </row>
    <row r="968" spans="3:5" ht="17.25" customHeight="1" x14ac:dyDescent="0.45">
      <c r="C968" s="3"/>
      <c r="D968" s="3"/>
      <c r="E968" s="6"/>
    </row>
    <row r="969" spans="3:5" ht="17.25" customHeight="1" x14ac:dyDescent="0.45">
      <c r="C969" s="3"/>
      <c r="D969" s="3"/>
      <c r="E969" s="6"/>
    </row>
    <row r="970" spans="3:5" ht="17.25" customHeight="1" x14ac:dyDescent="0.45">
      <c r="C970" s="3"/>
      <c r="D970" s="3"/>
      <c r="E970" s="6"/>
    </row>
    <row r="971" spans="3:5" ht="17.25" customHeight="1" x14ac:dyDescent="0.45">
      <c r="C971" s="3"/>
      <c r="D971" s="3"/>
      <c r="E971" s="6"/>
    </row>
    <row r="972" spans="3:5" ht="17.25" customHeight="1" x14ac:dyDescent="0.45">
      <c r="C972" s="3"/>
      <c r="D972" s="3"/>
      <c r="E972" s="6"/>
    </row>
    <row r="973" spans="3:5" ht="17.25" customHeight="1" x14ac:dyDescent="0.45">
      <c r="C973" s="3"/>
      <c r="D973" s="3"/>
      <c r="E973" s="6"/>
    </row>
    <row r="974" spans="3:5" ht="17.25" customHeight="1" x14ac:dyDescent="0.45">
      <c r="C974" s="3"/>
      <c r="D974" s="3"/>
      <c r="E974" s="6"/>
    </row>
    <row r="975" spans="3:5" ht="17.25" customHeight="1" x14ac:dyDescent="0.45">
      <c r="C975" s="3"/>
      <c r="D975" s="3"/>
      <c r="E975" s="6"/>
    </row>
    <row r="976" spans="3:5" ht="17.25" customHeight="1" x14ac:dyDescent="0.45">
      <c r="C976" s="3"/>
      <c r="D976" s="3"/>
      <c r="E976" s="6"/>
    </row>
    <row r="977" spans="3:5" ht="17.25" customHeight="1" x14ac:dyDescent="0.45">
      <c r="C977" s="3"/>
      <c r="D977" s="3"/>
      <c r="E977" s="6"/>
    </row>
    <row r="978" spans="3:5" ht="17.25" customHeight="1" x14ac:dyDescent="0.45">
      <c r="C978" s="3"/>
      <c r="D978" s="3"/>
      <c r="E978" s="6"/>
    </row>
    <row r="979" spans="3:5" ht="17.25" customHeight="1" x14ac:dyDescent="0.45">
      <c r="C979" s="3"/>
      <c r="D979" s="3"/>
      <c r="E979" s="6"/>
    </row>
    <row r="980" spans="3:5" ht="17.25" customHeight="1" x14ac:dyDescent="0.45">
      <c r="C980" s="3"/>
      <c r="D980" s="3"/>
      <c r="E980" s="6"/>
    </row>
    <row r="981" spans="3:5" ht="17.25" customHeight="1" x14ac:dyDescent="0.45">
      <c r="C981" s="3"/>
      <c r="D981" s="3"/>
      <c r="E981" s="6"/>
    </row>
    <row r="982" spans="3:5" ht="17.25" customHeight="1" x14ac:dyDescent="0.45">
      <c r="C982" s="3"/>
      <c r="D982" s="3"/>
      <c r="E982" s="6"/>
    </row>
    <row r="983" spans="3:5" ht="17.25" customHeight="1" x14ac:dyDescent="0.45">
      <c r="C983" s="3"/>
      <c r="D983" s="3"/>
      <c r="E983" s="6"/>
    </row>
    <row r="984" spans="3:5" ht="17.25" customHeight="1" x14ac:dyDescent="0.45">
      <c r="C984" s="3"/>
      <c r="D984" s="3"/>
      <c r="E984" s="6"/>
    </row>
    <row r="985" spans="3:5" ht="17.25" customHeight="1" x14ac:dyDescent="0.45">
      <c r="C985" s="3"/>
      <c r="D985" s="3"/>
      <c r="E985" s="6"/>
    </row>
    <row r="986" spans="3:5" ht="17.25" customHeight="1" x14ac:dyDescent="0.45">
      <c r="C986" s="3"/>
      <c r="D986" s="3"/>
      <c r="E986" s="6"/>
    </row>
    <row r="987" spans="3:5" ht="17.25" customHeight="1" x14ac:dyDescent="0.45">
      <c r="C987" s="3"/>
      <c r="D987" s="3"/>
      <c r="E987" s="6"/>
    </row>
    <row r="988" spans="3:5" ht="17.25" customHeight="1" x14ac:dyDescent="0.45">
      <c r="C988" s="3"/>
      <c r="D988" s="3"/>
      <c r="E988" s="6"/>
    </row>
    <row r="989" spans="3:5" ht="17.25" customHeight="1" x14ac:dyDescent="0.45">
      <c r="C989" s="3"/>
      <c r="D989" s="3"/>
      <c r="E989" s="6"/>
    </row>
    <row r="990" spans="3:5" ht="17.25" customHeight="1" x14ac:dyDescent="0.45">
      <c r="C990" s="3"/>
      <c r="D990" s="3"/>
      <c r="E990" s="6"/>
    </row>
    <row r="991" spans="3:5" ht="17.25" customHeight="1" x14ac:dyDescent="0.45">
      <c r="C991" s="3"/>
      <c r="D991" s="3"/>
      <c r="E991" s="6"/>
    </row>
    <row r="992" spans="3:5" ht="17.25" customHeight="1" x14ac:dyDescent="0.45">
      <c r="C992" s="3"/>
      <c r="D992" s="3"/>
      <c r="E992" s="6"/>
    </row>
    <row r="993" spans="3:5" ht="17.25" customHeight="1" x14ac:dyDescent="0.45">
      <c r="C993" s="3"/>
      <c r="D993" s="3"/>
      <c r="E993" s="6"/>
    </row>
    <row r="994" spans="3:5" ht="17.25" customHeight="1" x14ac:dyDescent="0.45">
      <c r="C994" s="3"/>
      <c r="D994" s="3"/>
      <c r="E994" s="6"/>
    </row>
    <row r="995" spans="3:5" ht="17.25" customHeight="1" x14ac:dyDescent="0.45">
      <c r="C995" s="3"/>
      <c r="D995" s="3"/>
      <c r="E995" s="6"/>
    </row>
    <row r="996" spans="3:5" ht="17.25" customHeight="1" x14ac:dyDescent="0.45">
      <c r="C996" s="3"/>
      <c r="D996" s="3"/>
      <c r="E996" s="6"/>
    </row>
    <row r="997" spans="3:5" ht="17.25" customHeight="1" x14ac:dyDescent="0.45">
      <c r="C997" s="3"/>
      <c r="D997" s="3"/>
      <c r="E997" s="6"/>
    </row>
    <row r="998" spans="3:5" ht="17.25" customHeight="1" x14ac:dyDescent="0.45">
      <c r="C998" s="3"/>
      <c r="D998" s="3"/>
      <c r="E998" s="6"/>
    </row>
    <row r="999" spans="3:5" ht="17.25" customHeight="1" x14ac:dyDescent="0.45">
      <c r="C999" s="3"/>
      <c r="D999" s="3"/>
      <c r="E999" s="6"/>
    </row>
    <row r="1000" spans="3:5" ht="17.25" customHeight="1" x14ac:dyDescent="0.45">
      <c r="C1000" s="3"/>
      <c r="D1000" s="3"/>
      <c r="E1000" s="6"/>
    </row>
    <row r="1001" spans="3:5" ht="17.25" customHeight="1" x14ac:dyDescent="0.45">
      <c r="C1001" s="3"/>
      <c r="D1001" s="3"/>
      <c r="E1001" s="6"/>
    </row>
    <row r="1002" spans="3:5" ht="17.25" customHeight="1" x14ac:dyDescent="0.45">
      <c r="C1002" s="3"/>
      <c r="D1002" s="3"/>
      <c r="E1002" s="6"/>
    </row>
    <row r="1003" spans="3:5" ht="17.25" customHeight="1" x14ac:dyDescent="0.45">
      <c r="C1003" s="3"/>
      <c r="D1003" s="3"/>
      <c r="E1003" s="6"/>
    </row>
    <row r="1004" spans="3:5" ht="17.25" customHeight="1" x14ac:dyDescent="0.45">
      <c r="C1004" s="3"/>
      <c r="D1004" s="3"/>
      <c r="E1004" s="6"/>
    </row>
    <row r="1005" spans="3:5" ht="17.25" customHeight="1" x14ac:dyDescent="0.45">
      <c r="C1005" s="3"/>
      <c r="D1005" s="3"/>
      <c r="E1005" s="6"/>
    </row>
    <row r="1006" spans="3:5" ht="17.25" customHeight="1" x14ac:dyDescent="0.45">
      <c r="C1006" s="3"/>
      <c r="D1006" s="3"/>
      <c r="E1006" s="6"/>
    </row>
    <row r="1007" spans="3:5" ht="17.25" customHeight="1" x14ac:dyDescent="0.45">
      <c r="C1007" s="3"/>
      <c r="D1007" s="3"/>
      <c r="E1007" s="6"/>
    </row>
    <row r="1008" spans="3:5" ht="17.25" customHeight="1" x14ac:dyDescent="0.45">
      <c r="C1008" s="3"/>
      <c r="D1008" s="3"/>
      <c r="E1008" s="6"/>
    </row>
    <row r="1009" spans="3:5" ht="17.25" customHeight="1" x14ac:dyDescent="0.45">
      <c r="C1009" s="3"/>
      <c r="D1009" s="3"/>
      <c r="E1009" s="6"/>
    </row>
    <row r="1010" spans="3:5" ht="17.25" customHeight="1" x14ac:dyDescent="0.45">
      <c r="C1010" s="3"/>
      <c r="D1010" s="3"/>
      <c r="E1010" s="6"/>
    </row>
    <row r="1011" spans="3:5" ht="17.25" customHeight="1" x14ac:dyDescent="0.45">
      <c r="C1011" s="3"/>
      <c r="D1011" s="3"/>
      <c r="E1011" s="6"/>
    </row>
    <row r="1012" spans="3:5" ht="17.25" customHeight="1" x14ac:dyDescent="0.45">
      <c r="C1012" s="3"/>
      <c r="D1012" s="3"/>
      <c r="E1012" s="6"/>
    </row>
    <row r="1013" spans="3:5" ht="17.25" customHeight="1" x14ac:dyDescent="0.45">
      <c r="C1013" s="3"/>
      <c r="D1013" s="3"/>
      <c r="E1013" s="6"/>
    </row>
    <row r="1014" spans="3:5" ht="17.25" customHeight="1" x14ac:dyDescent="0.45">
      <c r="C1014" s="3"/>
      <c r="D1014" s="3"/>
      <c r="E1014" s="6"/>
    </row>
    <row r="1015" spans="3:5" ht="17.25" customHeight="1" x14ac:dyDescent="0.45">
      <c r="C1015" s="3"/>
      <c r="D1015" s="3"/>
      <c r="E1015" s="6"/>
    </row>
    <row r="1016" spans="3:5" ht="17.25" customHeight="1" x14ac:dyDescent="0.45">
      <c r="C1016" s="3"/>
      <c r="D1016" s="3"/>
      <c r="E1016" s="6"/>
    </row>
    <row r="1017" spans="3:5" ht="17.25" customHeight="1" x14ac:dyDescent="0.45">
      <c r="C1017" s="3"/>
      <c r="D1017" s="3"/>
      <c r="E1017" s="6"/>
    </row>
    <row r="1018" spans="3:5" ht="17.25" customHeight="1" x14ac:dyDescent="0.45">
      <c r="C1018" s="3"/>
      <c r="D1018" s="3"/>
      <c r="E1018" s="6"/>
    </row>
    <row r="1019" spans="3:5" ht="17.25" customHeight="1" x14ac:dyDescent="0.45">
      <c r="C1019" s="3"/>
      <c r="D1019" s="3"/>
      <c r="E1019" s="6"/>
    </row>
    <row r="1020" spans="3:5" ht="17.25" customHeight="1" x14ac:dyDescent="0.45">
      <c r="C1020" s="3"/>
      <c r="D1020" s="3"/>
      <c r="E1020" s="6"/>
    </row>
    <row r="1021" spans="3:5" ht="17.25" customHeight="1" x14ac:dyDescent="0.45">
      <c r="C1021" s="3"/>
      <c r="D1021" s="3"/>
      <c r="E1021" s="6"/>
    </row>
    <row r="1022" spans="3:5" ht="17.25" customHeight="1" x14ac:dyDescent="0.45">
      <c r="C1022" s="3"/>
      <c r="D1022" s="3"/>
      <c r="E1022" s="6"/>
    </row>
    <row r="1023" spans="3:5" ht="17.25" customHeight="1" x14ac:dyDescent="0.45">
      <c r="C1023" s="3"/>
      <c r="D1023" s="3"/>
      <c r="E1023" s="6"/>
    </row>
    <row r="1024" spans="3:5" ht="17.25" customHeight="1" x14ac:dyDescent="0.45">
      <c r="C1024" s="3"/>
      <c r="D1024" s="3"/>
      <c r="E1024" s="6"/>
    </row>
    <row r="1025" spans="3:5" ht="17.25" customHeight="1" x14ac:dyDescent="0.45">
      <c r="C1025" s="3"/>
      <c r="D1025" s="3"/>
      <c r="E1025" s="6"/>
    </row>
    <row r="1026" spans="3:5" ht="17.25" customHeight="1" x14ac:dyDescent="0.45">
      <c r="C1026" s="3"/>
      <c r="D1026" s="3"/>
      <c r="E1026" s="6"/>
    </row>
    <row r="1027" spans="3:5" ht="17.25" customHeight="1" x14ac:dyDescent="0.45">
      <c r="C1027" s="3"/>
      <c r="D1027" s="3"/>
      <c r="E1027" s="6"/>
    </row>
    <row r="1028" spans="3:5" ht="17.25" customHeight="1" x14ac:dyDescent="0.45">
      <c r="C1028" s="3"/>
      <c r="D1028" s="3"/>
      <c r="E1028" s="6"/>
    </row>
    <row r="1029" spans="3:5" ht="17.25" customHeight="1" x14ac:dyDescent="0.45">
      <c r="C1029" s="3"/>
      <c r="D1029" s="3"/>
      <c r="E1029" s="6"/>
    </row>
    <row r="1030" spans="3:5" ht="17.25" customHeight="1" x14ac:dyDescent="0.45">
      <c r="C1030" s="3"/>
      <c r="D1030" s="3"/>
      <c r="E1030" s="6"/>
    </row>
    <row r="1031" spans="3:5" ht="17.25" customHeight="1" x14ac:dyDescent="0.45">
      <c r="C1031" s="3"/>
      <c r="D1031" s="3"/>
      <c r="E1031" s="6"/>
    </row>
    <row r="1032" spans="3:5" ht="17.25" customHeight="1" x14ac:dyDescent="0.45">
      <c r="C1032" s="3"/>
      <c r="D1032" s="3"/>
      <c r="E1032" s="6"/>
    </row>
    <row r="1033" spans="3:5" ht="17.25" customHeight="1" x14ac:dyDescent="0.45">
      <c r="C1033" s="3"/>
      <c r="D1033" s="3"/>
      <c r="E1033" s="6"/>
    </row>
    <row r="1034" spans="3:5" ht="17.25" customHeight="1" x14ac:dyDescent="0.45">
      <c r="C1034" s="3"/>
      <c r="D1034" s="3"/>
      <c r="E1034" s="6"/>
    </row>
    <row r="1035" spans="3:5" ht="17.25" customHeight="1" x14ac:dyDescent="0.45">
      <c r="C1035" s="3"/>
      <c r="D1035" s="3"/>
      <c r="E1035" s="6"/>
    </row>
    <row r="1036" spans="3:5" ht="17.25" customHeight="1" x14ac:dyDescent="0.45">
      <c r="C1036" s="3"/>
      <c r="D1036" s="3"/>
      <c r="E10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Gap_Analysis_price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2026-03-05T09:40:51Z</dcterms:created>
  <dcterms:modified xsi:type="dcterms:W3CDTF">2026-03-05T09:42:27Z</dcterms:modified>
</cp:coreProperties>
</file>