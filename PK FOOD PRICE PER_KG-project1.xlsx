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imelineCaches/timelineCache1.xml" ContentType="application/vnd.ms-excel.timelineCache+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9e529ce39e36f3d/Documents/Excel_project/"/>
    </mc:Choice>
  </mc:AlternateContent>
  <xr:revisionPtr revIDLastSave="67" documentId="8_{50086737-BE83-40F1-944C-F5F0A329C9CF}" xr6:coauthVersionLast="47" xr6:coauthVersionMax="47" xr10:uidLastSave="{F3651FDD-7CB8-4296-9C8D-B5F36A4583EE}"/>
  <bookViews>
    <workbookView xWindow="-110" yWindow="-110" windowWidth="19420" windowHeight="11020" activeTab="1" xr2:uid="{B8E76003-0DE4-4DEA-A46C-19A313A11F39}"/>
  </bookViews>
  <sheets>
    <sheet name="Cleaned_Data-pK" sheetId="1" r:id="rId1"/>
    <sheet name="Pivot_Table pk revenue" sheetId="3" r:id="rId2"/>
  </sheets>
  <definedNames>
    <definedName name="NativeTimeline_Year_2025">#N/A</definedName>
    <definedName name="Slicer_Category">#N/A</definedName>
    <definedName name="Slicer_City">#N/A</definedName>
  </definedNames>
  <calcPr calcId="191029" iterateDelta="1E-4"/>
  <pivotCaches>
    <pivotCache cacheId="0" r:id="rId3"/>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4"/>
      </x15:timelineCacheRefs>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07" i="1" l="1"/>
  <c r="I1107" i="1"/>
  <c r="K1107" i="1" s="1"/>
  <c r="H1107" i="1"/>
  <c r="M1107" i="1" s="1"/>
  <c r="G1107" i="1"/>
  <c r="J1106" i="1"/>
  <c r="I1106" i="1"/>
  <c r="K1106" i="1" s="1"/>
  <c r="H1106" i="1"/>
  <c r="M1106" i="1" s="1"/>
  <c r="G1106" i="1"/>
  <c r="J1105" i="1"/>
  <c r="I1105" i="1"/>
  <c r="K1105" i="1" s="1"/>
  <c r="H1105" i="1"/>
  <c r="M1105" i="1" s="1"/>
  <c r="G1105" i="1"/>
  <c r="J1104" i="1"/>
  <c r="I1104" i="1"/>
  <c r="K1104" i="1" s="1"/>
  <c r="H1104" i="1"/>
  <c r="M1104" i="1" s="1"/>
  <c r="G1104" i="1"/>
  <c r="J1103" i="1"/>
  <c r="I1103" i="1"/>
  <c r="K1103" i="1" s="1"/>
  <c r="H1103" i="1"/>
  <c r="M1103" i="1" s="1"/>
  <c r="G1103" i="1"/>
  <c r="J1102" i="1"/>
  <c r="I1102" i="1"/>
  <c r="K1102" i="1" s="1"/>
  <c r="H1102" i="1"/>
  <c r="M1102" i="1" s="1"/>
  <c r="G1102" i="1"/>
  <c r="J1101" i="1"/>
  <c r="I1101" i="1"/>
  <c r="K1101" i="1" s="1"/>
  <c r="H1101" i="1"/>
  <c r="M1101" i="1" s="1"/>
  <c r="G1101" i="1"/>
  <c r="J1100" i="1"/>
  <c r="I1100" i="1"/>
  <c r="K1100" i="1" s="1"/>
  <c r="H1100" i="1"/>
  <c r="M1100" i="1" s="1"/>
  <c r="G1100" i="1"/>
  <c r="J1099" i="1"/>
  <c r="I1099" i="1"/>
  <c r="K1099" i="1" s="1"/>
  <c r="H1099" i="1"/>
  <c r="M1099" i="1" s="1"/>
  <c r="G1099" i="1"/>
  <c r="J1098" i="1"/>
  <c r="I1098" i="1"/>
  <c r="K1098" i="1" s="1"/>
  <c r="H1098" i="1"/>
  <c r="M1098" i="1" s="1"/>
  <c r="G1098" i="1"/>
  <c r="J1097" i="1"/>
  <c r="I1097" i="1"/>
  <c r="K1097" i="1" s="1"/>
  <c r="H1097" i="1"/>
  <c r="M1097" i="1" s="1"/>
  <c r="G1097" i="1"/>
  <c r="J1096" i="1"/>
  <c r="I1096" i="1"/>
  <c r="K1096" i="1" s="1"/>
  <c r="H1096" i="1"/>
  <c r="M1096" i="1" s="1"/>
  <c r="G1096" i="1"/>
  <c r="J1095" i="1"/>
  <c r="I1095" i="1"/>
  <c r="K1095" i="1" s="1"/>
  <c r="H1095" i="1"/>
  <c r="M1095" i="1" s="1"/>
  <c r="G1095" i="1"/>
  <c r="J1094" i="1"/>
  <c r="I1094" i="1"/>
  <c r="K1094" i="1" s="1"/>
  <c r="H1094" i="1"/>
  <c r="M1094" i="1" s="1"/>
  <c r="G1094" i="1"/>
  <c r="J1093" i="1"/>
  <c r="I1093" i="1"/>
  <c r="K1093" i="1" s="1"/>
  <c r="H1093" i="1"/>
  <c r="M1093" i="1" s="1"/>
  <c r="G1093" i="1"/>
  <c r="J1092" i="1"/>
  <c r="I1092" i="1"/>
  <c r="K1092" i="1" s="1"/>
  <c r="H1092" i="1"/>
  <c r="M1092" i="1" s="1"/>
  <c r="G1092" i="1"/>
  <c r="J1091" i="1"/>
  <c r="I1091" i="1"/>
  <c r="K1091" i="1" s="1"/>
  <c r="H1091" i="1"/>
  <c r="M1091" i="1" s="1"/>
  <c r="G1091" i="1"/>
  <c r="J1090" i="1"/>
  <c r="I1090" i="1"/>
  <c r="K1090" i="1" s="1"/>
  <c r="H1090" i="1"/>
  <c r="M1090" i="1" s="1"/>
  <c r="G1090" i="1"/>
  <c r="J1089" i="1"/>
  <c r="I1089" i="1"/>
  <c r="K1089" i="1" s="1"/>
  <c r="H1089" i="1"/>
  <c r="M1089" i="1" s="1"/>
  <c r="G1089" i="1"/>
  <c r="J1088" i="1"/>
  <c r="I1088" i="1"/>
  <c r="K1088" i="1" s="1"/>
  <c r="H1088" i="1"/>
  <c r="M1088" i="1" s="1"/>
  <c r="G1088" i="1"/>
  <c r="J1087" i="1"/>
  <c r="I1087" i="1"/>
  <c r="K1087" i="1" s="1"/>
  <c r="H1087" i="1"/>
  <c r="M1087" i="1" s="1"/>
  <c r="G1087" i="1"/>
  <c r="J1086" i="1"/>
  <c r="I1086" i="1"/>
  <c r="K1086" i="1" s="1"/>
  <c r="H1086" i="1"/>
  <c r="M1086" i="1" s="1"/>
  <c r="G1086" i="1"/>
  <c r="J1085" i="1"/>
  <c r="I1085" i="1"/>
  <c r="K1085" i="1" s="1"/>
  <c r="H1085" i="1"/>
  <c r="M1085" i="1" s="1"/>
  <c r="G1085" i="1"/>
  <c r="J1084" i="1"/>
  <c r="I1084" i="1"/>
  <c r="K1084" i="1" s="1"/>
  <c r="H1084" i="1"/>
  <c r="M1084" i="1" s="1"/>
  <c r="G1084" i="1"/>
  <c r="J1083" i="1"/>
  <c r="I1083" i="1"/>
  <c r="K1083" i="1" s="1"/>
  <c r="H1083" i="1"/>
  <c r="M1083" i="1" s="1"/>
  <c r="G1083" i="1"/>
  <c r="J1082" i="1"/>
  <c r="I1082" i="1"/>
  <c r="K1082" i="1" s="1"/>
  <c r="H1082" i="1"/>
  <c r="M1082" i="1" s="1"/>
  <c r="G1082" i="1"/>
  <c r="J1081" i="1"/>
  <c r="I1081" i="1"/>
  <c r="K1081" i="1" s="1"/>
  <c r="H1081" i="1"/>
  <c r="M1081" i="1" s="1"/>
  <c r="G1081" i="1"/>
  <c r="J1080" i="1"/>
  <c r="I1080" i="1"/>
  <c r="K1080" i="1" s="1"/>
  <c r="H1080" i="1"/>
  <c r="M1080" i="1" s="1"/>
  <c r="G1080" i="1"/>
  <c r="J1079" i="1"/>
  <c r="I1079" i="1"/>
  <c r="K1079" i="1" s="1"/>
  <c r="H1079" i="1"/>
  <c r="M1079" i="1" s="1"/>
  <c r="G1079" i="1"/>
  <c r="J1078" i="1"/>
  <c r="I1078" i="1"/>
  <c r="K1078" i="1" s="1"/>
  <c r="H1078" i="1"/>
  <c r="M1078" i="1" s="1"/>
  <c r="G1078" i="1"/>
  <c r="J1077" i="1"/>
  <c r="I1077" i="1"/>
  <c r="K1077" i="1" s="1"/>
  <c r="H1077" i="1"/>
  <c r="M1077" i="1" s="1"/>
  <c r="G1077" i="1"/>
  <c r="J1076" i="1"/>
  <c r="I1076" i="1"/>
  <c r="K1076" i="1" s="1"/>
  <c r="H1076" i="1"/>
  <c r="M1076" i="1" s="1"/>
  <c r="G1076" i="1"/>
  <c r="J1075" i="1"/>
  <c r="I1075" i="1"/>
  <c r="K1075" i="1" s="1"/>
  <c r="H1075" i="1"/>
  <c r="M1075" i="1" s="1"/>
  <c r="G1075" i="1"/>
  <c r="J1074" i="1"/>
  <c r="I1074" i="1"/>
  <c r="K1074" i="1" s="1"/>
  <c r="H1074" i="1"/>
  <c r="M1074" i="1" s="1"/>
  <c r="G1074" i="1"/>
  <c r="J1073" i="1"/>
  <c r="I1073" i="1"/>
  <c r="K1073" i="1" s="1"/>
  <c r="H1073" i="1"/>
  <c r="M1073" i="1" s="1"/>
  <c r="G1073" i="1"/>
  <c r="J1072" i="1"/>
  <c r="I1072" i="1"/>
  <c r="K1072" i="1" s="1"/>
  <c r="H1072" i="1"/>
  <c r="M1072" i="1" s="1"/>
  <c r="G1072" i="1"/>
  <c r="J1071" i="1"/>
  <c r="I1071" i="1"/>
  <c r="K1071" i="1" s="1"/>
  <c r="H1071" i="1"/>
  <c r="M1071" i="1" s="1"/>
  <c r="G1071" i="1"/>
  <c r="J1070" i="1"/>
  <c r="I1070" i="1"/>
  <c r="K1070" i="1" s="1"/>
  <c r="H1070" i="1"/>
  <c r="M1070" i="1" s="1"/>
  <c r="G1070" i="1"/>
  <c r="J1069" i="1"/>
  <c r="I1069" i="1"/>
  <c r="K1069" i="1" s="1"/>
  <c r="H1069" i="1"/>
  <c r="M1069" i="1" s="1"/>
  <c r="G1069" i="1"/>
  <c r="J1068" i="1"/>
  <c r="I1068" i="1"/>
  <c r="K1068" i="1" s="1"/>
  <c r="H1068" i="1"/>
  <c r="M1068" i="1" s="1"/>
  <c r="G1068" i="1"/>
  <c r="J1067" i="1"/>
  <c r="I1067" i="1"/>
  <c r="K1067" i="1" s="1"/>
  <c r="H1067" i="1"/>
  <c r="M1067" i="1" s="1"/>
  <c r="G1067" i="1"/>
  <c r="J1066" i="1"/>
  <c r="I1066" i="1"/>
  <c r="K1066" i="1" s="1"/>
  <c r="H1066" i="1"/>
  <c r="M1066" i="1" s="1"/>
  <c r="G1066" i="1"/>
  <c r="J1065" i="1"/>
  <c r="I1065" i="1"/>
  <c r="K1065" i="1" s="1"/>
  <c r="H1065" i="1"/>
  <c r="M1065" i="1" s="1"/>
  <c r="G1065" i="1"/>
  <c r="J1064" i="1"/>
  <c r="I1064" i="1"/>
  <c r="K1064" i="1" s="1"/>
  <c r="H1064" i="1"/>
  <c r="M1064" i="1" s="1"/>
  <c r="G1064" i="1"/>
  <c r="J1063" i="1"/>
  <c r="I1063" i="1"/>
  <c r="K1063" i="1" s="1"/>
  <c r="H1063" i="1"/>
  <c r="M1063" i="1" s="1"/>
  <c r="G1063" i="1"/>
  <c r="J1062" i="1"/>
  <c r="I1062" i="1"/>
  <c r="K1062" i="1" s="1"/>
  <c r="H1062" i="1"/>
  <c r="M1062" i="1" s="1"/>
  <c r="G1062" i="1"/>
  <c r="J1061" i="1"/>
  <c r="I1061" i="1"/>
  <c r="K1061" i="1" s="1"/>
  <c r="H1061" i="1"/>
  <c r="M1061" i="1" s="1"/>
  <c r="G1061" i="1"/>
  <c r="J1060" i="1"/>
  <c r="I1060" i="1"/>
  <c r="K1060" i="1" s="1"/>
  <c r="H1060" i="1"/>
  <c r="M1060" i="1" s="1"/>
  <c r="G1060" i="1"/>
  <c r="J1059" i="1"/>
  <c r="I1059" i="1"/>
  <c r="K1059" i="1" s="1"/>
  <c r="H1059" i="1"/>
  <c r="M1059" i="1" s="1"/>
  <c r="G1059" i="1"/>
  <c r="J1058" i="1"/>
  <c r="I1058" i="1"/>
  <c r="K1058" i="1" s="1"/>
  <c r="H1058" i="1"/>
  <c r="M1058" i="1" s="1"/>
  <c r="G1058" i="1"/>
  <c r="J1057" i="1"/>
  <c r="I1057" i="1"/>
  <c r="K1057" i="1" s="1"/>
  <c r="H1057" i="1"/>
  <c r="M1057" i="1" s="1"/>
  <c r="G1057" i="1"/>
  <c r="J1056" i="1"/>
  <c r="I1056" i="1"/>
  <c r="K1056" i="1" s="1"/>
  <c r="H1056" i="1"/>
  <c r="M1056" i="1" s="1"/>
  <c r="G1056" i="1"/>
  <c r="J1055" i="1"/>
  <c r="I1055" i="1"/>
  <c r="K1055" i="1" s="1"/>
  <c r="H1055" i="1"/>
  <c r="M1055" i="1" s="1"/>
  <c r="G1055" i="1"/>
  <c r="J1054" i="1"/>
  <c r="I1054" i="1"/>
  <c r="K1054" i="1" s="1"/>
  <c r="H1054" i="1"/>
  <c r="M1054" i="1" s="1"/>
  <c r="G1054" i="1"/>
  <c r="J1053" i="1"/>
  <c r="I1053" i="1"/>
  <c r="K1053" i="1" s="1"/>
  <c r="H1053" i="1"/>
  <c r="M1053" i="1" s="1"/>
  <c r="G1053" i="1"/>
  <c r="J1052" i="1"/>
  <c r="I1052" i="1"/>
  <c r="K1052" i="1" s="1"/>
  <c r="H1052" i="1"/>
  <c r="M1052" i="1" s="1"/>
  <c r="G1052" i="1"/>
  <c r="J1051" i="1"/>
  <c r="I1051" i="1"/>
  <c r="K1051" i="1" s="1"/>
  <c r="H1051" i="1"/>
  <c r="M1051" i="1" s="1"/>
  <c r="G1051" i="1"/>
  <c r="J1050" i="1"/>
  <c r="I1050" i="1"/>
  <c r="K1050" i="1" s="1"/>
  <c r="H1050" i="1"/>
  <c r="M1050" i="1" s="1"/>
  <c r="G1050" i="1"/>
  <c r="J1049" i="1"/>
  <c r="I1049" i="1"/>
  <c r="K1049" i="1" s="1"/>
  <c r="H1049" i="1"/>
  <c r="M1049" i="1" s="1"/>
  <c r="G1049" i="1"/>
  <c r="J1048" i="1"/>
  <c r="I1048" i="1"/>
  <c r="K1048" i="1" s="1"/>
  <c r="H1048" i="1"/>
  <c r="M1048" i="1" s="1"/>
  <c r="G1048" i="1"/>
  <c r="J1047" i="1"/>
  <c r="I1047" i="1"/>
  <c r="K1047" i="1" s="1"/>
  <c r="H1047" i="1"/>
  <c r="M1047" i="1" s="1"/>
  <c r="G1047" i="1"/>
  <c r="J1046" i="1"/>
  <c r="I1046" i="1"/>
  <c r="K1046" i="1" s="1"/>
  <c r="H1046" i="1"/>
  <c r="M1046" i="1" s="1"/>
  <c r="G1046" i="1"/>
  <c r="J1045" i="1"/>
  <c r="I1045" i="1"/>
  <c r="K1045" i="1" s="1"/>
  <c r="H1045" i="1"/>
  <c r="M1045" i="1" s="1"/>
  <c r="G1045" i="1"/>
  <c r="J1044" i="1"/>
  <c r="I1044" i="1"/>
  <c r="K1044" i="1" s="1"/>
  <c r="H1044" i="1"/>
  <c r="M1044" i="1" s="1"/>
  <c r="G1044" i="1"/>
  <c r="J1043" i="1"/>
  <c r="I1043" i="1"/>
  <c r="K1043" i="1" s="1"/>
  <c r="H1043" i="1"/>
  <c r="M1043" i="1" s="1"/>
  <c r="G1043" i="1"/>
  <c r="J1042" i="1"/>
  <c r="I1042" i="1"/>
  <c r="K1042" i="1" s="1"/>
  <c r="H1042" i="1"/>
  <c r="M1042" i="1" s="1"/>
  <c r="G1042" i="1"/>
  <c r="J1041" i="1"/>
  <c r="I1041" i="1"/>
  <c r="K1041" i="1" s="1"/>
  <c r="H1041" i="1"/>
  <c r="M1041" i="1" s="1"/>
  <c r="G1041" i="1"/>
  <c r="J1040" i="1"/>
  <c r="I1040" i="1"/>
  <c r="K1040" i="1" s="1"/>
  <c r="H1040" i="1"/>
  <c r="M1040" i="1" s="1"/>
  <c r="G1040" i="1"/>
  <c r="J1039" i="1"/>
  <c r="I1039" i="1"/>
  <c r="K1039" i="1" s="1"/>
  <c r="H1039" i="1"/>
  <c r="M1039" i="1" s="1"/>
  <c r="G1039" i="1"/>
  <c r="J1038" i="1"/>
  <c r="I1038" i="1"/>
  <c r="K1038" i="1" s="1"/>
  <c r="H1038" i="1"/>
  <c r="M1038" i="1" s="1"/>
  <c r="G1038" i="1"/>
  <c r="J1037" i="1"/>
  <c r="I1037" i="1"/>
  <c r="K1037" i="1" s="1"/>
  <c r="H1037" i="1"/>
  <c r="M1037" i="1" s="1"/>
  <c r="G1037" i="1"/>
  <c r="J1036" i="1"/>
  <c r="I1036" i="1"/>
  <c r="K1036" i="1" s="1"/>
  <c r="H1036" i="1"/>
  <c r="M1036" i="1" s="1"/>
  <c r="G1036" i="1"/>
  <c r="J1035" i="1"/>
  <c r="I1035" i="1"/>
  <c r="K1035" i="1" s="1"/>
  <c r="H1035" i="1"/>
  <c r="M1035" i="1" s="1"/>
  <c r="G1035" i="1"/>
  <c r="J1034" i="1"/>
  <c r="I1034" i="1"/>
  <c r="K1034" i="1" s="1"/>
  <c r="H1034" i="1"/>
  <c r="M1034" i="1" s="1"/>
  <c r="G1034" i="1"/>
  <c r="J1033" i="1"/>
  <c r="I1033" i="1"/>
  <c r="K1033" i="1" s="1"/>
  <c r="H1033" i="1"/>
  <c r="M1033" i="1" s="1"/>
  <c r="G1033" i="1"/>
  <c r="J1032" i="1"/>
  <c r="I1032" i="1"/>
  <c r="K1032" i="1" s="1"/>
  <c r="H1032" i="1"/>
  <c r="M1032" i="1" s="1"/>
  <c r="G1032" i="1"/>
  <c r="J1031" i="1"/>
  <c r="I1031" i="1"/>
  <c r="K1031" i="1" s="1"/>
  <c r="H1031" i="1"/>
  <c r="M1031" i="1" s="1"/>
  <c r="G1031" i="1"/>
  <c r="J1030" i="1"/>
  <c r="I1030" i="1"/>
  <c r="K1030" i="1" s="1"/>
  <c r="H1030" i="1"/>
  <c r="M1030" i="1" s="1"/>
  <c r="G1030" i="1"/>
  <c r="J1029" i="1"/>
  <c r="I1029" i="1"/>
  <c r="K1029" i="1" s="1"/>
  <c r="H1029" i="1"/>
  <c r="M1029" i="1" s="1"/>
  <c r="G1029" i="1"/>
  <c r="J1028" i="1"/>
  <c r="I1028" i="1"/>
  <c r="K1028" i="1" s="1"/>
  <c r="H1028" i="1"/>
  <c r="M1028" i="1" s="1"/>
  <c r="G1028" i="1"/>
  <c r="J1027" i="1"/>
  <c r="I1027" i="1"/>
  <c r="K1027" i="1" s="1"/>
  <c r="H1027" i="1"/>
  <c r="M1027" i="1" s="1"/>
  <c r="G1027" i="1"/>
  <c r="J1026" i="1"/>
  <c r="I1026" i="1"/>
  <c r="K1026" i="1" s="1"/>
  <c r="H1026" i="1"/>
  <c r="M1026" i="1" s="1"/>
  <c r="G1026" i="1"/>
  <c r="J1025" i="1"/>
  <c r="I1025" i="1"/>
  <c r="K1025" i="1" s="1"/>
  <c r="H1025" i="1"/>
  <c r="M1025" i="1" s="1"/>
  <c r="G1025" i="1"/>
  <c r="J1024" i="1"/>
  <c r="I1024" i="1"/>
  <c r="K1024" i="1" s="1"/>
  <c r="H1024" i="1"/>
  <c r="M1024" i="1" s="1"/>
  <c r="G1024" i="1"/>
  <c r="J1023" i="1"/>
  <c r="I1023" i="1"/>
  <c r="K1023" i="1" s="1"/>
  <c r="H1023" i="1"/>
  <c r="M1023" i="1" s="1"/>
  <c r="G1023" i="1"/>
  <c r="J1022" i="1"/>
  <c r="I1022" i="1"/>
  <c r="K1022" i="1" s="1"/>
  <c r="H1022" i="1"/>
  <c r="M1022" i="1" s="1"/>
  <c r="G1022" i="1"/>
  <c r="J1021" i="1"/>
  <c r="I1021" i="1"/>
  <c r="K1021" i="1" s="1"/>
  <c r="H1021" i="1"/>
  <c r="M1021" i="1" s="1"/>
  <c r="G1021" i="1"/>
  <c r="J1020" i="1"/>
  <c r="I1020" i="1"/>
  <c r="K1020" i="1" s="1"/>
  <c r="H1020" i="1"/>
  <c r="M1020" i="1" s="1"/>
  <c r="G1020" i="1"/>
  <c r="J1019" i="1"/>
  <c r="I1019" i="1"/>
  <c r="K1019" i="1" s="1"/>
  <c r="H1019" i="1"/>
  <c r="M1019" i="1" s="1"/>
  <c r="G1019" i="1"/>
  <c r="J1018" i="1"/>
  <c r="I1018" i="1"/>
  <c r="K1018" i="1" s="1"/>
  <c r="H1018" i="1"/>
  <c r="M1018" i="1" s="1"/>
  <c r="G1018" i="1"/>
  <c r="J1017" i="1"/>
  <c r="I1017" i="1"/>
  <c r="K1017" i="1" s="1"/>
  <c r="H1017" i="1"/>
  <c r="M1017" i="1" s="1"/>
  <c r="G1017" i="1"/>
  <c r="J1016" i="1"/>
  <c r="I1016" i="1"/>
  <c r="K1016" i="1" s="1"/>
  <c r="H1016" i="1"/>
  <c r="M1016" i="1" s="1"/>
  <c r="G1016" i="1"/>
  <c r="J1015" i="1"/>
  <c r="I1015" i="1"/>
  <c r="K1015" i="1" s="1"/>
  <c r="H1015" i="1"/>
  <c r="M1015" i="1" s="1"/>
  <c r="G1015" i="1"/>
  <c r="J1014" i="1"/>
  <c r="I1014" i="1"/>
  <c r="K1014" i="1" s="1"/>
  <c r="H1014" i="1"/>
  <c r="M1014" i="1" s="1"/>
  <c r="G1014" i="1"/>
  <c r="J1013" i="1"/>
  <c r="I1013" i="1"/>
  <c r="K1013" i="1" s="1"/>
  <c r="H1013" i="1"/>
  <c r="M1013" i="1" s="1"/>
  <c r="G1013" i="1"/>
  <c r="J1012" i="1"/>
  <c r="I1012" i="1"/>
  <c r="K1012" i="1" s="1"/>
  <c r="H1012" i="1"/>
  <c r="M1012" i="1" s="1"/>
  <c r="G1012" i="1"/>
  <c r="J1011" i="1"/>
  <c r="I1011" i="1"/>
  <c r="K1011" i="1" s="1"/>
  <c r="H1011" i="1"/>
  <c r="M1011" i="1" s="1"/>
  <c r="G1011" i="1"/>
  <c r="J1010" i="1"/>
  <c r="I1010" i="1"/>
  <c r="K1010" i="1" s="1"/>
  <c r="H1010" i="1"/>
  <c r="M1010" i="1" s="1"/>
  <c r="G1010" i="1"/>
  <c r="J1009" i="1"/>
  <c r="I1009" i="1"/>
  <c r="K1009" i="1" s="1"/>
  <c r="H1009" i="1"/>
  <c r="M1009" i="1" s="1"/>
  <c r="G1009" i="1"/>
  <c r="J1008" i="1"/>
  <c r="I1008" i="1"/>
  <c r="K1008" i="1" s="1"/>
  <c r="H1008" i="1"/>
  <c r="M1008" i="1" s="1"/>
  <c r="G1008" i="1"/>
  <c r="J1007" i="1"/>
  <c r="I1007" i="1"/>
  <c r="K1007" i="1" s="1"/>
  <c r="H1007" i="1"/>
  <c r="M1007" i="1" s="1"/>
  <c r="G1007" i="1"/>
  <c r="J1006" i="1"/>
  <c r="I1006" i="1"/>
  <c r="K1006" i="1" s="1"/>
  <c r="H1006" i="1"/>
  <c r="M1006" i="1" s="1"/>
  <c r="G1006" i="1"/>
  <c r="J1005" i="1"/>
  <c r="I1005" i="1"/>
  <c r="K1005" i="1" s="1"/>
  <c r="H1005" i="1"/>
  <c r="M1005" i="1" s="1"/>
  <c r="G1005" i="1"/>
  <c r="J1004" i="1"/>
  <c r="I1004" i="1"/>
  <c r="K1004" i="1" s="1"/>
  <c r="H1004" i="1"/>
  <c r="M1004" i="1" s="1"/>
  <c r="G1004" i="1"/>
  <c r="J1003" i="1"/>
  <c r="I1003" i="1"/>
  <c r="K1003" i="1" s="1"/>
  <c r="H1003" i="1"/>
  <c r="M1003" i="1" s="1"/>
  <c r="G1003" i="1"/>
  <c r="J1002" i="1"/>
  <c r="I1002" i="1"/>
  <c r="K1002" i="1" s="1"/>
  <c r="H1002" i="1"/>
  <c r="M1002" i="1" s="1"/>
  <c r="G1002" i="1"/>
  <c r="J1001" i="1"/>
  <c r="I1001" i="1"/>
  <c r="K1001" i="1" s="1"/>
  <c r="H1001" i="1"/>
  <c r="M1001" i="1" s="1"/>
  <c r="G1001" i="1"/>
  <c r="J1000" i="1"/>
  <c r="I1000" i="1"/>
  <c r="K1000" i="1" s="1"/>
  <c r="H1000" i="1"/>
  <c r="M1000" i="1" s="1"/>
  <c r="G1000" i="1"/>
  <c r="J999" i="1"/>
  <c r="I999" i="1"/>
  <c r="K999" i="1" s="1"/>
  <c r="H999" i="1"/>
  <c r="M999" i="1" s="1"/>
  <c r="G999" i="1"/>
  <c r="J998" i="1"/>
  <c r="I998" i="1"/>
  <c r="K998" i="1" s="1"/>
  <c r="H998" i="1"/>
  <c r="M998" i="1" s="1"/>
  <c r="G998" i="1"/>
  <c r="J997" i="1"/>
  <c r="I997" i="1"/>
  <c r="K997" i="1" s="1"/>
  <c r="H997" i="1"/>
  <c r="M997" i="1" s="1"/>
  <c r="G997" i="1"/>
  <c r="J996" i="1"/>
  <c r="I996" i="1"/>
  <c r="K996" i="1" s="1"/>
  <c r="H996" i="1"/>
  <c r="M996" i="1" s="1"/>
  <c r="G996" i="1"/>
  <c r="J995" i="1"/>
  <c r="I995" i="1"/>
  <c r="K995" i="1" s="1"/>
  <c r="H995" i="1"/>
  <c r="M995" i="1" s="1"/>
  <c r="G995" i="1"/>
  <c r="J994" i="1"/>
  <c r="I994" i="1"/>
  <c r="K994" i="1" s="1"/>
  <c r="H994" i="1"/>
  <c r="M994" i="1" s="1"/>
  <c r="G994" i="1"/>
  <c r="J993" i="1"/>
  <c r="I993" i="1"/>
  <c r="K993" i="1" s="1"/>
  <c r="H993" i="1"/>
  <c r="M993" i="1" s="1"/>
  <c r="G993" i="1"/>
  <c r="J992" i="1"/>
  <c r="I992" i="1"/>
  <c r="K992" i="1" s="1"/>
  <c r="H992" i="1"/>
  <c r="M992" i="1" s="1"/>
  <c r="G992" i="1"/>
  <c r="J991" i="1"/>
  <c r="I991" i="1"/>
  <c r="K991" i="1" s="1"/>
  <c r="H991" i="1"/>
  <c r="M991" i="1" s="1"/>
  <c r="G991" i="1"/>
  <c r="J990" i="1"/>
  <c r="I990" i="1"/>
  <c r="K990" i="1" s="1"/>
  <c r="H990" i="1"/>
  <c r="M990" i="1" s="1"/>
  <c r="G990" i="1"/>
  <c r="J989" i="1"/>
  <c r="I989" i="1"/>
  <c r="K989" i="1" s="1"/>
  <c r="H989" i="1"/>
  <c r="M989" i="1" s="1"/>
  <c r="G989" i="1"/>
  <c r="J988" i="1"/>
  <c r="I988" i="1"/>
  <c r="K988" i="1" s="1"/>
  <c r="H988" i="1"/>
  <c r="M988" i="1" s="1"/>
  <c r="G988" i="1"/>
  <c r="J987" i="1"/>
  <c r="I987" i="1"/>
  <c r="K987" i="1" s="1"/>
  <c r="H987" i="1"/>
  <c r="M987" i="1" s="1"/>
  <c r="G987" i="1"/>
  <c r="J986" i="1"/>
  <c r="I986" i="1"/>
  <c r="K986" i="1" s="1"/>
  <c r="H986" i="1"/>
  <c r="M986" i="1" s="1"/>
  <c r="G986" i="1"/>
  <c r="J985" i="1"/>
  <c r="I985" i="1"/>
  <c r="K985" i="1" s="1"/>
  <c r="H985" i="1"/>
  <c r="M985" i="1" s="1"/>
  <c r="G985" i="1"/>
  <c r="J984" i="1"/>
  <c r="I984" i="1"/>
  <c r="K984" i="1" s="1"/>
  <c r="H984" i="1"/>
  <c r="M984" i="1" s="1"/>
  <c r="G984" i="1"/>
  <c r="J983" i="1"/>
  <c r="I983" i="1"/>
  <c r="K983" i="1" s="1"/>
  <c r="H983" i="1"/>
  <c r="M983" i="1" s="1"/>
  <c r="G983" i="1"/>
  <c r="J982" i="1"/>
  <c r="I982" i="1"/>
  <c r="K982" i="1" s="1"/>
  <c r="H982" i="1"/>
  <c r="M982" i="1" s="1"/>
  <c r="G982" i="1"/>
  <c r="J981" i="1"/>
  <c r="I981" i="1"/>
  <c r="K981" i="1" s="1"/>
  <c r="H981" i="1"/>
  <c r="M981" i="1" s="1"/>
  <c r="G981" i="1"/>
  <c r="J980" i="1"/>
  <c r="I980" i="1"/>
  <c r="K980" i="1" s="1"/>
  <c r="H980" i="1"/>
  <c r="M980" i="1" s="1"/>
  <c r="G980" i="1"/>
  <c r="J979" i="1"/>
  <c r="I979" i="1"/>
  <c r="K979" i="1" s="1"/>
  <c r="H979" i="1"/>
  <c r="M979" i="1" s="1"/>
  <c r="G979" i="1"/>
  <c r="J978" i="1"/>
  <c r="I978" i="1"/>
  <c r="K978" i="1" s="1"/>
  <c r="H978" i="1"/>
  <c r="M978" i="1" s="1"/>
  <c r="G978" i="1"/>
  <c r="J977" i="1"/>
  <c r="I977" i="1"/>
  <c r="K977" i="1" s="1"/>
  <c r="H977" i="1"/>
  <c r="M977" i="1" s="1"/>
  <c r="G977" i="1"/>
  <c r="J976" i="1"/>
  <c r="I976" i="1"/>
  <c r="K976" i="1" s="1"/>
  <c r="H976" i="1"/>
  <c r="M976" i="1" s="1"/>
  <c r="G976" i="1"/>
  <c r="J975" i="1"/>
  <c r="I975" i="1"/>
  <c r="K975" i="1" s="1"/>
  <c r="H975" i="1"/>
  <c r="M975" i="1" s="1"/>
  <c r="G975" i="1"/>
  <c r="J974" i="1"/>
  <c r="I974" i="1"/>
  <c r="K974" i="1" s="1"/>
  <c r="H974" i="1"/>
  <c r="M974" i="1" s="1"/>
  <c r="G974" i="1"/>
  <c r="J973" i="1"/>
  <c r="I973" i="1"/>
  <c r="K973" i="1" s="1"/>
  <c r="H973" i="1"/>
  <c r="M973" i="1" s="1"/>
  <c r="G973" i="1"/>
  <c r="J972" i="1"/>
  <c r="I972" i="1"/>
  <c r="K972" i="1" s="1"/>
  <c r="H972" i="1"/>
  <c r="M972" i="1" s="1"/>
  <c r="G972" i="1"/>
  <c r="J971" i="1"/>
  <c r="I971" i="1"/>
  <c r="K971" i="1" s="1"/>
  <c r="H971" i="1"/>
  <c r="M971" i="1" s="1"/>
  <c r="G971" i="1"/>
  <c r="J970" i="1"/>
  <c r="I970" i="1"/>
  <c r="K970" i="1" s="1"/>
  <c r="H970" i="1"/>
  <c r="M970" i="1" s="1"/>
  <c r="G970" i="1"/>
  <c r="J969" i="1"/>
  <c r="I969" i="1"/>
  <c r="K969" i="1" s="1"/>
  <c r="H969" i="1"/>
  <c r="M969" i="1" s="1"/>
  <c r="G969" i="1"/>
  <c r="J968" i="1"/>
  <c r="I968" i="1"/>
  <c r="K968" i="1" s="1"/>
  <c r="H968" i="1"/>
  <c r="M968" i="1" s="1"/>
  <c r="G968" i="1"/>
  <c r="J967" i="1"/>
  <c r="I967" i="1"/>
  <c r="K967" i="1" s="1"/>
  <c r="H967" i="1"/>
  <c r="M967" i="1" s="1"/>
  <c r="G967" i="1"/>
  <c r="J966" i="1"/>
  <c r="I966" i="1"/>
  <c r="K966" i="1" s="1"/>
  <c r="H966" i="1"/>
  <c r="M966" i="1" s="1"/>
  <c r="G966" i="1"/>
  <c r="J965" i="1"/>
  <c r="I965" i="1"/>
  <c r="K965" i="1" s="1"/>
  <c r="H965" i="1"/>
  <c r="M965" i="1" s="1"/>
  <c r="G965" i="1"/>
  <c r="J964" i="1"/>
  <c r="I964" i="1"/>
  <c r="K964" i="1" s="1"/>
  <c r="H964" i="1"/>
  <c r="M964" i="1" s="1"/>
  <c r="G964" i="1"/>
  <c r="J963" i="1"/>
  <c r="I963" i="1"/>
  <c r="K963" i="1" s="1"/>
  <c r="H963" i="1"/>
  <c r="M963" i="1" s="1"/>
  <c r="G963" i="1"/>
  <c r="J962" i="1"/>
  <c r="I962" i="1"/>
  <c r="K962" i="1" s="1"/>
  <c r="H962" i="1"/>
  <c r="M962" i="1" s="1"/>
  <c r="G962" i="1"/>
  <c r="J961" i="1"/>
  <c r="I961" i="1"/>
  <c r="K961" i="1" s="1"/>
  <c r="H961" i="1"/>
  <c r="M961" i="1" s="1"/>
  <c r="G961" i="1"/>
  <c r="J960" i="1"/>
  <c r="I960" i="1"/>
  <c r="K960" i="1" s="1"/>
  <c r="H960" i="1"/>
  <c r="M960" i="1" s="1"/>
  <c r="G960" i="1"/>
  <c r="J959" i="1"/>
  <c r="I959" i="1"/>
  <c r="K959" i="1" s="1"/>
  <c r="H959" i="1"/>
  <c r="M959" i="1" s="1"/>
  <c r="G959" i="1"/>
  <c r="J958" i="1"/>
  <c r="I958" i="1"/>
  <c r="K958" i="1" s="1"/>
  <c r="H958" i="1"/>
  <c r="M958" i="1" s="1"/>
  <c r="G958" i="1"/>
  <c r="J957" i="1"/>
  <c r="I957" i="1"/>
  <c r="K957" i="1" s="1"/>
  <c r="H957" i="1"/>
  <c r="M957" i="1" s="1"/>
  <c r="G957" i="1"/>
  <c r="J956" i="1"/>
  <c r="I956" i="1"/>
  <c r="K956" i="1" s="1"/>
  <c r="H956" i="1"/>
  <c r="M956" i="1" s="1"/>
  <c r="G956" i="1"/>
  <c r="J955" i="1"/>
  <c r="I955" i="1"/>
  <c r="K955" i="1" s="1"/>
  <c r="H955" i="1"/>
  <c r="M955" i="1" s="1"/>
  <c r="G955" i="1"/>
  <c r="J954" i="1"/>
  <c r="I954" i="1"/>
  <c r="K954" i="1" s="1"/>
  <c r="H954" i="1"/>
  <c r="M954" i="1" s="1"/>
  <c r="G954" i="1"/>
  <c r="J953" i="1"/>
  <c r="I953" i="1"/>
  <c r="K953" i="1" s="1"/>
  <c r="H953" i="1"/>
  <c r="M953" i="1" s="1"/>
  <c r="G953" i="1"/>
  <c r="J952" i="1"/>
  <c r="I952" i="1"/>
  <c r="K952" i="1" s="1"/>
  <c r="H952" i="1"/>
  <c r="M952" i="1" s="1"/>
  <c r="G952" i="1"/>
  <c r="J951" i="1"/>
  <c r="I951" i="1"/>
  <c r="K951" i="1" s="1"/>
  <c r="H951" i="1"/>
  <c r="M951" i="1" s="1"/>
  <c r="G951" i="1"/>
  <c r="J950" i="1"/>
  <c r="I950" i="1"/>
  <c r="K950" i="1" s="1"/>
  <c r="H950" i="1"/>
  <c r="M950" i="1" s="1"/>
  <c r="G950" i="1"/>
  <c r="J949" i="1"/>
  <c r="I949" i="1"/>
  <c r="K949" i="1" s="1"/>
  <c r="H949" i="1"/>
  <c r="M949" i="1" s="1"/>
  <c r="G949" i="1"/>
  <c r="J948" i="1"/>
  <c r="I948" i="1"/>
  <c r="K948" i="1" s="1"/>
  <c r="H948" i="1"/>
  <c r="M948" i="1" s="1"/>
  <c r="G948" i="1"/>
  <c r="J947" i="1"/>
  <c r="I947" i="1"/>
  <c r="K947" i="1" s="1"/>
  <c r="H947" i="1"/>
  <c r="M947" i="1" s="1"/>
  <c r="G947" i="1"/>
  <c r="J946" i="1"/>
  <c r="I946" i="1"/>
  <c r="K946" i="1" s="1"/>
  <c r="H946" i="1"/>
  <c r="M946" i="1" s="1"/>
  <c r="G946" i="1"/>
  <c r="J945" i="1"/>
  <c r="I945" i="1"/>
  <c r="K945" i="1" s="1"/>
  <c r="H945" i="1"/>
  <c r="M945" i="1" s="1"/>
  <c r="G945" i="1"/>
  <c r="J944" i="1"/>
  <c r="I944" i="1"/>
  <c r="K944" i="1" s="1"/>
  <c r="H944" i="1"/>
  <c r="M944" i="1" s="1"/>
  <c r="G944" i="1"/>
  <c r="J943" i="1"/>
  <c r="I943" i="1"/>
  <c r="K943" i="1" s="1"/>
  <c r="H943" i="1"/>
  <c r="M943" i="1" s="1"/>
  <c r="G943" i="1"/>
  <c r="J942" i="1"/>
  <c r="I942" i="1"/>
  <c r="K942" i="1" s="1"/>
  <c r="H942" i="1"/>
  <c r="M942" i="1" s="1"/>
  <c r="G942" i="1"/>
  <c r="J941" i="1"/>
  <c r="I941" i="1"/>
  <c r="K941" i="1" s="1"/>
  <c r="H941" i="1"/>
  <c r="M941" i="1" s="1"/>
  <c r="G941" i="1"/>
  <c r="J940" i="1"/>
  <c r="I940" i="1"/>
  <c r="K940" i="1" s="1"/>
  <c r="H940" i="1"/>
  <c r="M940" i="1" s="1"/>
  <c r="G940" i="1"/>
  <c r="J939" i="1"/>
  <c r="I939" i="1"/>
  <c r="K939" i="1" s="1"/>
  <c r="H939" i="1"/>
  <c r="M939" i="1" s="1"/>
  <c r="G939" i="1"/>
  <c r="J938" i="1"/>
  <c r="I938" i="1"/>
  <c r="K938" i="1" s="1"/>
  <c r="H938" i="1"/>
  <c r="M938" i="1" s="1"/>
  <c r="G938" i="1"/>
  <c r="J937" i="1"/>
  <c r="I937" i="1"/>
  <c r="K937" i="1" s="1"/>
  <c r="H937" i="1"/>
  <c r="M937" i="1" s="1"/>
  <c r="G937" i="1"/>
  <c r="J936" i="1"/>
  <c r="I936" i="1"/>
  <c r="K936" i="1" s="1"/>
  <c r="H936" i="1"/>
  <c r="M936" i="1" s="1"/>
  <c r="G936" i="1"/>
  <c r="J935" i="1"/>
  <c r="I935" i="1"/>
  <c r="K935" i="1" s="1"/>
  <c r="H935" i="1"/>
  <c r="M935" i="1" s="1"/>
  <c r="G935" i="1"/>
  <c r="J934" i="1"/>
  <c r="I934" i="1"/>
  <c r="K934" i="1" s="1"/>
  <c r="H934" i="1"/>
  <c r="M934" i="1" s="1"/>
  <c r="G934" i="1"/>
  <c r="J933" i="1"/>
  <c r="I933" i="1"/>
  <c r="K933" i="1" s="1"/>
  <c r="H933" i="1"/>
  <c r="M933" i="1" s="1"/>
  <c r="G933" i="1"/>
  <c r="J932" i="1"/>
  <c r="I932" i="1"/>
  <c r="K932" i="1" s="1"/>
  <c r="H932" i="1"/>
  <c r="M932" i="1" s="1"/>
  <c r="G932" i="1"/>
  <c r="J931" i="1"/>
  <c r="I931" i="1"/>
  <c r="K931" i="1" s="1"/>
  <c r="H931" i="1"/>
  <c r="M931" i="1" s="1"/>
  <c r="G931" i="1"/>
  <c r="J930" i="1"/>
  <c r="I930" i="1"/>
  <c r="K930" i="1" s="1"/>
  <c r="H930" i="1"/>
  <c r="M930" i="1" s="1"/>
  <c r="G930" i="1"/>
  <c r="J929" i="1"/>
  <c r="I929" i="1"/>
  <c r="K929" i="1" s="1"/>
  <c r="H929" i="1"/>
  <c r="M929" i="1" s="1"/>
  <c r="G929" i="1"/>
  <c r="J928" i="1"/>
  <c r="I928" i="1"/>
  <c r="K928" i="1" s="1"/>
  <c r="H928" i="1"/>
  <c r="M928" i="1" s="1"/>
  <c r="G928" i="1"/>
  <c r="J927" i="1"/>
  <c r="I927" i="1"/>
  <c r="K927" i="1" s="1"/>
  <c r="H927" i="1"/>
  <c r="M927" i="1" s="1"/>
  <c r="G927" i="1"/>
  <c r="J926" i="1"/>
  <c r="I926" i="1"/>
  <c r="K926" i="1" s="1"/>
  <c r="H926" i="1"/>
  <c r="M926" i="1" s="1"/>
  <c r="G926" i="1"/>
  <c r="J925" i="1"/>
  <c r="I925" i="1"/>
  <c r="K925" i="1" s="1"/>
  <c r="H925" i="1"/>
  <c r="M925" i="1" s="1"/>
  <c r="G925" i="1"/>
  <c r="J924" i="1"/>
  <c r="I924" i="1"/>
  <c r="K924" i="1" s="1"/>
  <c r="H924" i="1"/>
  <c r="M924" i="1" s="1"/>
  <c r="G924" i="1"/>
  <c r="J923" i="1"/>
  <c r="I923" i="1"/>
  <c r="K923" i="1" s="1"/>
  <c r="H923" i="1"/>
  <c r="M923" i="1" s="1"/>
  <c r="G923" i="1"/>
  <c r="J922" i="1"/>
  <c r="I922" i="1"/>
  <c r="K922" i="1" s="1"/>
  <c r="H922" i="1"/>
  <c r="M922" i="1" s="1"/>
  <c r="G922" i="1"/>
  <c r="J921" i="1"/>
  <c r="I921" i="1"/>
  <c r="K921" i="1" s="1"/>
  <c r="H921" i="1"/>
  <c r="M921" i="1" s="1"/>
  <c r="G921" i="1"/>
  <c r="J920" i="1"/>
  <c r="I920" i="1"/>
  <c r="K920" i="1" s="1"/>
  <c r="H920" i="1"/>
  <c r="M920" i="1" s="1"/>
  <c r="G920" i="1"/>
  <c r="J919" i="1"/>
  <c r="I919" i="1"/>
  <c r="K919" i="1" s="1"/>
  <c r="H919" i="1"/>
  <c r="M919" i="1" s="1"/>
  <c r="G919" i="1"/>
  <c r="J918" i="1"/>
  <c r="I918" i="1"/>
  <c r="K918" i="1" s="1"/>
  <c r="H918" i="1"/>
  <c r="M918" i="1" s="1"/>
  <c r="G918" i="1"/>
  <c r="J917" i="1"/>
  <c r="I917" i="1"/>
  <c r="K917" i="1" s="1"/>
  <c r="H917" i="1"/>
  <c r="M917" i="1" s="1"/>
  <c r="G917" i="1"/>
  <c r="J916" i="1"/>
  <c r="I916" i="1"/>
  <c r="K916" i="1" s="1"/>
  <c r="H916" i="1"/>
  <c r="M916" i="1" s="1"/>
  <c r="G916" i="1"/>
  <c r="J915" i="1"/>
  <c r="I915" i="1"/>
  <c r="K915" i="1" s="1"/>
  <c r="H915" i="1"/>
  <c r="M915" i="1" s="1"/>
  <c r="G915" i="1"/>
  <c r="J914" i="1"/>
  <c r="I914" i="1"/>
  <c r="K914" i="1" s="1"/>
  <c r="H914" i="1"/>
  <c r="M914" i="1" s="1"/>
  <c r="G914" i="1"/>
  <c r="J913" i="1"/>
  <c r="I913" i="1"/>
  <c r="K913" i="1" s="1"/>
  <c r="H913" i="1"/>
  <c r="M913" i="1" s="1"/>
  <c r="G913" i="1"/>
  <c r="J912" i="1"/>
  <c r="I912" i="1"/>
  <c r="K912" i="1" s="1"/>
  <c r="H912" i="1"/>
  <c r="M912" i="1" s="1"/>
  <c r="G912" i="1"/>
  <c r="J911" i="1"/>
  <c r="I911" i="1"/>
  <c r="K911" i="1" s="1"/>
  <c r="H911" i="1"/>
  <c r="M911" i="1" s="1"/>
  <c r="G911" i="1"/>
  <c r="J910" i="1"/>
  <c r="I910" i="1"/>
  <c r="K910" i="1" s="1"/>
  <c r="H910" i="1"/>
  <c r="M910" i="1" s="1"/>
  <c r="G910" i="1"/>
  <c r="J909" i="1"/>
  <c r="I909" i="1"/>
  <c r="K909" i="1" s="1"/>
  <c r="H909" i="1"/>
  <c r="M909" i="1" s="1"/>
  <c r="G909" i="1"/>
  <c r="J908" i="1"/>
  <c r="I908" i="1"/>
  <c r="K908" i="1" s="1"/>
  <c r="H908" i="1"/>
  <c r="M908" i="1" s="1"/>
  <c r="G908" i="1"/>
  <c r="J907" i="1"/>
  <c r="I907" i="1"/>
  <c r="K907" i="1" s="1"/>
  <c r="H907" i="1"/>
  <c r="M907" i="1" s="1"/>
  <c r="G907" i="1"/>
  <c r="J906" i="1"/>
  <c r="I906" i="1"/>
  <c r="K906" i="1" s="1"/>
  <c r="H906" i="1"/>
  <c r="M906" i="1" s="1"/>
  <c r="G906" i="1"/>
  <c r="J905" i="1"/>
  <c r="I905" i="1"/>
  <c r="K905" i="1" s="1"/>
  <c r="H905" i="1"/>
  <c r="M905" i="1" s="1"/>
  <c r="G905" i="1"/>
  <c r="J904" i="1"/>
  <c r="I904" i="1"/>
  <c r="K904" i="1" s="1"/>
  <c r="H904" i="1"/>
  <c r="M904" i="1" s="1"/>
  <c r="G904" i="1"/>
  <c r="J903" i="1"/>
  <c r="I903" i="1"/>
  <c r="K903" i="1" s="1"/>
  <c r="H903" i="1"/>
  <c r="M903" i="1" s="1"/>
  <c r="G903" i="1"/>
  <c r="J902" i="1"/>
  <c r="I902" i="1"/>
  <c r="K902" i="1" s="1"/>
  <c r="H902" i="1"/>
  <c r="M902" i="1" s="1"/>
  <c r="G902" i="1"/>
  <c r="J901" i="1"/>
  <c r="I901" i="1"/>
  <c r="K901" i="1" s="1"/>
  <c r="H901" i="1"/>
  <c r="M901" i="1" s="1"/>
  <c r="G901" i="1"/>
  <c r="J900" i="1"/>
  <c r="I900" i="1"/>
  <c r="K900" i="1" s="1"/>
  <c r="H900" i="1"/>
  <c r="M900" i="1" s="1"/>
  <c r="G900" i="1"/>
  <c r="J899" i="1"/>
  <c r="I899" i="1"/>
  <c r="K899" i="1" s="1"/>
  <c r="H899" i="1"/>
  <c r="M899" i="1" s="1"/>
  <c r="G899" i="1"/>
  <c r="J898" i="1"/>
  <c r="I898" i="1"/>
  <c r="K898" i="1" s="1"/>
  <c r="H898" i="1"/>
  <c r="M898" i="1" s="1"/>
  <c r="G898" i="1"/>
  <c r="J897" i="1"/>
  <c r="I897" i="1"/>
  <c r="K897" i="1" s="1"/>
  <c r="H897" i="1"/>
  <c r="M897" i="1" s="1"/>
  <c r="G897" i="1"/>
  <c r="J896" i="1"/>
  <c r="I896" i="1"/>
  <c r="K896" i="1" s="1"/>
  <c r="H896" i="1"/>
  <c r="M896" i="1" s="1"/>
  <c r="G896" i="1"/>
  <c r="J895" i="1"/>
  <c r="I895" i="1"/>
  <c r="K895" i="1" s="1"/>
  <c r="H895" i="1"/>
  <c r="M895" i="1" s="1"/>
  <c r="G895" i="1"/>
  <c r="J894" i="1"/>
  <c r="I894" i="1"/>
  <c r="K894" i="1" s="1"/>
  <c r="H894" i="1"/>
  <c r="M894" i="1" s="1"/>
  <c r="G894" i="1"/>
  <c r="J893" i="1"/>
  <c r="I893" i="1"/>
  <c r="K893" i="1" s="1"/>
  <c r="H893" i="1"/>
  <c r="M893" i="1" s="1"/>
  <c r="G893" i="1"/>
  <c r="J892" i="1"/>
  <c r="I892" i="1"/>
  <c r="K892" i="1" s="1"/>
  <c r="H892" i="1"/>
  <c r="M892" i="1" s="1"/>
  <c r="G892" i="1"/>
  <c r="J891" i="1"/>
  <c r="I891" i="1"/>
  <c r="K891" i="1" s="1"/>
  <c r="H891" i="1"/>
  <c r="M891" i="1" s="1"/>
  <c r="G891" i="1"/>
  <c r="J890" i="1"/>
  <c r="I890" i="1"/>
  <c r="K890" i="1" s="1"/>
  <c r="H890" i="1"/>
  <c r="M890" i="1" s="1"/>
  <c r="G890" i="1"/>
  <c r="J889" i="1"/>
  <c r="I889" i="1"/>
  <c r="K889" i="1" s="1"/>
  <c r="H889" i="1"/>
  <c r="M889" i="1" s="1"/>
  <c r="G889" i="1"/>
  <c r="J888" i="1"/>
  <c r="I888" i="1"/>
  <c r="K888" i="1" s="1"/>
  <c r="H888" i="1"/>
  <c r="M888" i="1" s="1"/>
  <c r="G888" i="1"/>
  <c r="J887" i="1"/>
  <c r="I887" i="1"/>
  <c r="K887" i="1" s="1"/>
  <c r="H887" i="1"/>
  <c r="M887" i="1" s="1"/>
  <c r="G887" i="1"/>
  <c r="J886" i="1"/>
  <c r="I886" i="1"/>
  <c r="K886" i="1" s="1"/>
  <c r="H886" i="1"/>
  <c r="M886" i="1" s="1"/>
  <c r="G886" i="1"/>
  <c r="J885" i="1"/>
  <c r="I885" i="1"/>
  <c r="K885" i="1" s="1"/>
  <c r="H885" i="1"/>
  <c r="M885" i="1" s="1"/>
  <c r="G885" i="1"/>
  <c r="J884" i="1"/>
  <c r="I884" i="1"/>
  <c r="K884" i="1" s="1"/>
  <c r="H884" i="1"/>
  <c r="M884" i="1" s="1"/>
  <c r="G884" i="1"/>
  <c r="J883" i="1"/>
  <c r="I883" i="1"/>
  <c r="K883" i="1" s="1"/>
  <c r="H883" i="1"/>
  <c r="M883" i="1" s="1"/>
  <c r="G883" i="1"/>
  <c r="J882" i="1"/>
  <c r="I882" i="1"/>
  <c r="K882" i="1" s="1"/>
  <c r="H882" i="1"/>
  <c r="M882" i="1" s="1"/>
  <c r="G882" i="1"/>
  <c r="J881" i="1"/>
  <c r="I881" i="1"/>
  <c r="K881" i="1" s="1"/>
  <c r="H881" i="1"/>
  <c r="M881" i="1" s="1"/>
  <c r="G881" i="1"/>
  <c r="J880" i="1"/>
  <c r="I880" i="1"/>
  <c r="K880" i="1" s="1"/>
  <c r="H880" i="1"/>
  <c r="M880" i="1" s="1"/>
  <c r="G880" i="1"/>
  <c r="J879" i="1"/>
  <c r="I879" i="1"/>
  <c r="K879" i="1" s="1"/>
  <c r="H879" i="1"/>
  <c r="M879" i="1" s="1"/>
  <c r="G879" i="1"/>
  <c r="J878" i="1"/>
  <c r="I878" i="1"/>
  <c r="K878" i="1" s="1"/>
  <c r="H878" i="1"/>
  <c r="M878" i="1" s="1"/>
  <c r="G878" i="1"/>
  <c r="J877" i="1"/>
  <c r="I877" i="1"/>
  <c r="K877" i="1" s="1"/>
  <c r="H877" i="1"/>
  <c r="M877" i="1" s="1"/>
  <c r="G877" i="1"/>
  <c r="J876" i="1"/>
  <c r="I876" i="1"/>
  <c r="K876" i="1" s="1"/>
  <c r="H876" i="1"/>
  <c r="M876" i="1" s="1"/>
  <c r="G876" i="1"/>
  <c r="J875" i="1"/>
  <c r="I875" i="1"/>
  <c r="K875" i="1" s="1"/>
  <c r="H875" i="1"/>
  <c r="M875" i="1" s="1"/>
  <c r="G875" i="1"/>
  <c r="J874" i="1"/>
  <c r="I874" i="1"/>
  <c r="K874" i="1" s="1"/>
  <c r="H874" i="1"/>
  <c r="M874" i="1" s="1"/>
  <c r="G874" i="1"/>
  <c r="J873" i="1"/>
  <c r="I873" i="1"/>
  <c r="K873" i="1" s="1"/>
  <c r="H873" i="1"/>
  <c r="M873" i="1" s="1"/>
  <c r="G873" i="1"/>
  <c r="J872" i="1"/>
  <c r="I872" i="1"/>
  <c r="K872" i="1" s="1"/>
  <c r="H872" i="1"/>
  <c r="M872" i="1" s="1"/>
  <c r="G872" i="1"/>
  <c r="J871" i="1"/>
  <c r="I871" i="1"/>
  <c r="K871" i="1" s="1"/>
  <c r="H871" i="1"/>
  <c r="M871" i="1" s="1"/>
  <c r="G871" i="1"/>
  <c r="J870" i="1"/>
  <c r="I870" i="1"/>
  <c r="K870" i="1" s="1"/>
  <c r="H870" i="1"/>
  <c r="M870" i="1" s="1"/>
  <c r="G870" i="1"/>
  <c r="J869" i="1"/>
  <c r="I869" i="1"/>
  <c r="K869" i="1" s="1"/>
  <c r="H869" i="1"/>
  <c r="M869" i="1" s="1"/>
  <c r="G869" i="1"/>
  <c r="J868" i="1"/>
  <c r="I868" i="1"/>
  <c r="K868" i="1" s="1"/>
  <c r="H868" i="1"/>
  <c r="M868" i="1" s="1"/>
  <c r="G868" i="1"/>
  <c r="J867" i="1"/>
  <c r="I867" i="1"/>
  <c r="K867" i="1" s="1"/>
  <c r="H867" i="1"/>
  <c r="M867" i="1" s="1"/>
  <c r="G867" i="1"/>
  <c r="J866" i="1"/>
  <c r="I866" i="1"/>
  <c r="K866" i="1" s="1"/>
  <c r="H866" i="1"/>
  <c r="M866" i="1" s="1"/>
  <c r="G866" i="1"/>
  <c r="J865" i="1"/>
  <c r="I865" i="1"/>
  <c r="K865" i="1" s="1"/>
  <c r="H865" i="1"/>
  <c r="M865" i="1" s="1"/>
  <c r="G865" i="1"/>
  <c r="J864" i="1"/>
  <c r="I864" i="1"/>
  <c r="K864" i="1" s="1"/>
  <c r="H864" i="1"/>
  <c r="M864" i="1" s="1"/>
  <c r="G864" i="1"/>
  <c r="J863" i="1"/>
  <c r="I863" i="1"/>
  <c r="K863" i="1" s="1"/>
  <c r="H863" i="1"/>
  <c r="M863" i="1" s="1"/>
  <c r="G863" i="1"/>
  <c r="J862" i="1"/>
  <c r="I862" i="1"/>
  <c r="K862" i="1" s="1"/>
  <c r="H862" i="1"/>
  <c r="M862" i="1" s="1"/>
  <c r="G862" i="1"/>
  <c r="J861" i="1"/>
  <c r="I861" i="1"/>
  <c r="K861" i="1" s="1"/>
  <c r="H861" i="1"/>
  <c r="M861" i="1" s="1"/>
  <c r="G861" i="1"/>
  <c r="J860" i="1"/>
  <c r="I860" i="1"/>
  <c r="K860" i="1" s="1"/>
  <c r="H860" i="1"/>
  <c r="M860" i="1" s="1"/>
  <c r="G860" i="1"/>
  <c r="J859" i="1"/>
  <c r="I859" i="1"/>
  <c r="K859" i="1" s="1"/>
  <c r="H859" i="1"/>
  <c r="M859" i="1" s="1"/>
  <c r="G859" i="1"/>
  <c r="J858" i="1"/>
  <c r="I858" i="1"/>
  <c r="K858" i="1" s="1"/>
  <c r="H858" i="1"/>
  <c r="M858" i="1" s="1"/>
  <c r="G858" i="1"/>
  <c r="J857" i="1"/>
  <c r="I857" i="1"/>
  <c r="K857" i="1" s="1"/>
  <c r="H857" i="1"/>
  <c r="M857" i="1" s="1"/>
  <c r="G857" i="1"/>
  <c r="J856" i="1"/>
  <c r="I856" i="1"/>
  <c r="K856" i="1" s="1"/>
  <c r="H856" i="1"/>
  <c r="M856" i="1" s="1"/>
  <c r="G856" i="1"/>
  <c r="J855" i="1"/>
  <c r="I855" i="1"/>
  <c r="K855" i="1" s="1"/>
  <c r="H855" i="1"/>
  <c r="M855" i="1" s="1"/>
  <c r="G855" i="1"/>
  <c r="J854" i="1"/>
  <c r="I854" i="1"/>
  <c r="K854" i="1" s="1"/>
  <c r="H854" i="1"/>
  <c r="M854" i="1" s="1"/>
  <c r="G854" i="1"/>
  <c r="J853" i="1"/>
  <c r="I853" i="1"/>
  <c r="K853" i="1" s="1"/>
  <c r="H853" i="1"/>
  <c r="M853" i="1" s="1"/>
  <c r="G853" i="1"/>
  <c r="J852" i="1"/>
  <c r="I852" i="1"/>
  <c r="K852" i="1" s="1"/>
  <c r="H852" i="1"/>
  <c r="M852" i="1" s="1"/>
  <c r="G852" i="1"/>
  <c r="J851" i="1"/>
  <c r="I851" i="1"/>
  <c r="K851" i="1" s="1"/>
  <c r="H851" i="1"/>
  <c r="M851" i="1" s="1"/>
  <c r="G851" i="1"/>
  <c r="J850" i="1"/>
  <c r="I850" i="1"/>
  <c r="K850" i="1" s="1"/>
  <c r="H850" i="1"/>
  <c r="M850" i="1" s="1"/>
  <c r="G850" i="1"/>
  <c r="J849" i="1"/>
  <c r="I849" i="1"/>
  <c r="K849" i="1" s="1"/>
  <c r="H849" i="1"/>
  <c r="M849" i="1" s="1"/>
  <c r="G849" i="1"/>
  <c r="J848" i="1"/>
  <c r="I848" i="1"/>
  <c r="K848" i="1" s="1"/>
  <c r="H848" i="1"/>
  <c r="M848" i="1" s="1"/>
  <c r="G848" i="1"/>
  <c r="J847" i="1"/>
  <c r="I847" i="1"/>
  <c r="K847" i="1" s="1"/>
  <c r="H847" i="1"/>
  <c r="M847" i="1" s="1"/>
  <c r="G847" i="1"/>
  <c r="J846" i="1"/>
  <c r="I846" i="1"/>
  <c r="K846" i="1" s="1"/>
  <c r="H846" i="1"/>
  <c r="M846" i="1" s="1"/>
  <c r="G846" i="1"/>
  <c r="J845" i="1"/>
  <c r="I845" i="1"/>
  <c r="K845" i="1" s="1"/>
  <c r="H845" i="1"/>
  <c r="M845" i="1" s="1"/>
  <c r="G845" i="1"/>
  <c r="J844" i="1"/>
  <c r="I844" i="1"/>
  <c r="K844" i="1" s="1"/>
  <c r="H844" i="1"/>
  <c r="M844" i="1" s="1"/>
  <c r="G844" i="1"/>
  <c r="J843" i="1"/>
  <c r="I843" i="1"/>
  <c r="K843" i="1" s="1"/>
  <c r="H843" i="1"/>
  <c r="M843" i="1" s="1"/>
  <c r="G843" i="1"/>
  <c r="J842" i="1"/>
  <c r="I842" i="1"/>
  <c r="K842" i="1" s="1"/>
  <c r="H842" i="1"/>
  <c r="M842" i="1" s="1"/>
  <c r="G842" i="1"/>
  <c r="J841" i="1"/>
  <c r="I841" i="1"/>
  <c r="K841" i="1" s="1"/>
  <c r="H841" i="1"/>
  <c r="M841" i="1" s="1"/>
  <c r="G841" i="1"/>
  <c r="J840" i="1"/>
  <c r="I840" i="1"/>
  <c r="K840" i="1" s="1"/>
  <c r="H840" i="1"/>
  <c r="M840" i="1" s="1"/>
  <c r="G840" i="1"/>
  <c r="J839" i="1"/>
  <c r="I839" i="1"/>
  <c r="K839" i="1" s="1"/>
  <c r="H839" i="1"/>
  <c r="M839" i="1" s="1"/>
  <c r="G839" i="1"/>
  <c r="J838" i="1"/>
  <c r="I838" i="1"/>
  <c r="K838" i="1" s="1"/>
  <c r="H838" i="1"/>
  <c r="M838" i="1" s="1"/>
  <c r="G838" i="1"/>
  <c r="J837" i="1"/>
  <c r="I837" i="1"/>
  <c r="K837" i="1" s="1"/>
  <c r="H837" i="1"/>
  <c r="M837" i="1" s="1"/>
  <c r="G837" i="1"/>
  <c r="J836" i="1"/>
  <c r="I836" i="1"/>
  <c r="K836" i="1" s="1"/>
  <c r="H836" i="1"/>
  <c r="M836" i="1" s="1"/>
  <c r="G836" i="1"/>
  <c r="J835" i="1"/>
  <c r="I835" i="1"/>
  <c r="K835" i="1" s="1"/>
  <c r="H835" i="1"/>
  <c r="M835" i="1" s="1"/>
  <c r="G835" i="1"/>
  <c r="J834" i="1"/>
  <c r="I834" i="1"/>
  <c r="K834" i="1" s="1"/>
  <c r="H834" i="1"/>
  <c r="M834" i="1" s="1"/>
  <c r="G834" i="1"/>
  <c r="J833" i="1"/>
  <c r="I833" i="1"/>
  <c r="K833" i="1" s="1"/>
  <c r="H833" i="1"/>
  <c r="M833" i="1" s="1"/>
  <c r="G833" i="1"/>
  <c r="J832" i="1"/>
  <c r="I832" i="1"/>
  <c r="K832" i="1" s="1"/>
  <c r="H832" i="1"/>
  <c r="M832" i="1" s="1"/>
  <c r="G832" i="1"/>
  <c r="J831" i="1"/>
  <c r="I831" i="1"/>
  <c r="K831" i="1" s="1"/>
  <c r="H831" i="1"/>
  <c r="M831" i="1" s="1"/>
  <c r="G831" i="1"/>
  <c r="J830" i="1"/>
  <c r="I830" i="1"/>
  <c r="K830" i="1" s="1"/>
  <c r="H830" i="1"/>
  <c r="M830" i="1" s="1"/>
  <c r="G830" i="1"/>
  <c r="J829" i="1"/>
  <c r="I829" i="1"/>
  <c r="K829" i="1" s="1"/>
  <c r="H829" i="1"/>
  <c r="M829" i="1" s="1"/>
  <c r="G829" i="1"/>
  <c r="J828" i="1"/>
  <c r="I828" i="1"/>
  <c r="K828" i="1" s="1"/>
  <c r="H828" i="1"/>
  <c r="M828" i="1" s="1"/>
  <c r="G828" i="1"/>
  <c r="J827" i="1"/>
  <c r="I827" i="1"/>
  <c r="K827" i="1" s="1"/>
  <c r="H827" i="1"/>
  <c r="M827" i="1" s="1"/>
  <c r="G827" i="1"/>
  <c r="J826" i="1"/>
  <c r="I826" i="1"/>
  <c r="K826" i="1" s="1"/>
  <c r="H826" i="1"/>
  <c r="M826" i="1" s="1"/>
  <c r="G826" i="1"/>
  <c r="J825" i="1"/>
  <c r="I825" i="1"/>
  <c r="K825" i="1" s="1"/>
  <c r="H825" i="1"/>
  <c r="M825" i="1" s="1"/>
  <c r="G825" i="1"/>
  <c r="J824" i="1"/>
  <c r="I824" i="1"/>
  <c r="K824" i="1" s="1"/>
  <c r="H824" i="1"/>
  <c r="M824" i="1" s="1"/>
  <c r="G824" i="1"/>
  <c r="J823" i="1"/>
  <c r="I823" i="1"/>
  <c r="K823" i="1" s="1"/>
  <c r="H823" i="1"/>
  <c r="M823" i="1" s="1"/>
  <c r="G823" i="1"/>
  <c r="J822" i="1"/>
  <c r="I822" i="1"/>
  <c r="K822" i="1" s="1"/>
  <c r="H822" i="1"/>
  <c r="M822" i="1" s="1"/>
  <c r="G822" i="1"/>
  <c r="J821" i="1"/>
  <c r="I821" i="1"/>
  <c r="K821" i="1" s="1"/>
  <c r="H821" i="1"/>
  <c r="M821" i="1" s="1"/>
  <c r="G821" i="1"/>
  <c r="J820" i="1"/>
  <c r="I820" i="1"/>
  <c r="K820" i="1" s="1"/>
  <c r="H820" i="1"/>
  <c r="M820" i="1" s="1"/>
  <c r="G820" i="1"/>
  <c r="J819" i="1"/>
  <c r="I819" i="1"/>
  <c r="K819" i="1" s="1"/>
  <c r="H819" i="1"/>
  <c r="M819" i="1" s="1"/>
  <c r="G819" i="1"/>
  <c r="J818" i="1"/>
  <c r="I818" i="1"/>
  <c r="K818" i="1" s="1"/>
  <c r="H818" i="1"/>
  <c r="M818" i="1" s="1"/>
  <c r="G818" i="1"/>
  <c r="J817" i="1"/>
  <c r="I817" i="1"/>
  <c r="K817" i="1" s="1"/>
  <c r="H817" i="1"/>
  <c r="M817" i="1" s="1"/>
  <c r="G817" i="1"/>
  <c r="J816" i="1"/>
  <c r="I816" i="1"/>
  <c r="K816" i="1" s="1"/>
  <c r="H816" i="1"/>
  <c r="M816" i="1" s="1"/>
  <c r="G816" i="1"/>
  <c r="J815" i="1"/>
  <c r="I815" i="1"/>
  <c r="K815" i="1" s="1"/>
  <c r="H815" i="1"/>
  <c r="M815" i="1" s="1"/>
  <c r="G815" i="1"/>
  <c r="J814" i="1"/>
  <c r="I814" i="1"/>
  <c r="K814" i="1" s="1"/>
  <c r="H814" i="1"/>
  <c r="M814" i="1" s="1"/>
  <c r="G814" i="1"/>
  <c r="J813" i="1"/>
  <c r="I813" i="1"/>
  <c r="K813" i="1" s="1"/>
  <c r="H813" i="1"/>
  <c r="M813" i="1" s="1"/>
  <c r="G813" i="1"/>
  <c r="J812" i="1"/>
  <c r="I812" i="1"/>
  <c r="K812" i="1" s="1"/>
  <c r="H812" i="1"/>
  <c r="M812" i="1" s="1"/>
  <c r="G812" i="1"/>
  <c r="J811" i="1"/>
  <c r="I811" i="1"/>
  <c r="K811" i="1" s="1"/>
  <c r="H811" i="1"/>
  <c r="M811" i="1" s="1"/>
  <c r="G811" i="1"/>
  <c r="J810" i="1"/>
  <c r="I810" i="1"/>
  <c r="K810" i="1" s="1"/>
  <c r="H810" i="1"/>
  <c r="M810" i="1" s="1"/>
  <c r="G810" i="1"/>
  <c r="J809" i="1"/>
  <c r="I809" i="1"/>
  <c r="K809" i="1" s="1"/>
  <c r="H809" i="1"/>
  <c r="M809" i="1" s="1"/>
  <c r="G809" i="1"/>
  <c r="J808" i="1"/>
  <c r="I808" i="1"/>
  <c r="K808" i="1" s="1"/>
  <c r="H808" i="1"/>
  <c r="M808" i="1" s="1"/>
  <c r="G808" i="1"/>
  <c r="J807" i="1"/>
  <c r="I807" i="1"/>
  <c r="K807" i="1" s="1"/>
  <c r="H807" i="1"/>
  <c r="M807" i="1" s="1"/>
  <c r="G807" i="1"/>
  <c r="J806" i="1"/>
  <c r="I806" i="1"/>
  <c r="K806" i="1" s="1"/>
  <c r="H806" i="1"/>
  <c r="M806" i="1" s="1"/>
  <c r="G806" i="1"/>
  <c r="J805" i="1"/>
  <c r="I805" i="1"/>
  <c r="K805" i="1" s="1"/>
  <c r="H805" i="1"/>
  <c r="M805" i="1" s="1"/>
  <c r="G805" i="1"/>
  <c r="J804" i="1"/>
  <c r="I804" i="1"/>
  <c r="K804" i="1" s="1"/>
  <c r="H804" i="1"/>
  <c r="M804" i="1" s="1"/>
  <c r="G804" i="1"/>
  <c r="J803" i="1"/>
  <c r="I803" i="1"/>
  <c r="K803" i="1" s="1"/>
  <c r="H803" i="1"/>
  <c r="M803" i="1" s="1"/>
  <c r="G803" i="1"/>
  <c r="J802" i="1"/>
  <c r="I802" i="1"/>
  <c r="K802" i="1" s="1"/>
  <c r="H802" i="1"/>
  <c r="M802" i="1" s="1"/>
  <c r="G802" i="1"/>
  <c r="J801" i="1"/>
  <c r="I801" i="1"/>
  <c r="K801" i="1" s="1"/>
  <c r="H801" i="1"/>
  <c r="M801" i="1" s="1"/>
  <c r="G801" i="1"/>
  <c r="J800" i="1"/>
  <c r="I800" i="1"/>
  <c r="K800" i="1" s="1"/>
  <c r="H800" i="1"/>
  <c r="M800" i="1" s="1"/>
  <c r="G800" i="1"/>
  <c r="J799" i="1"/>
  <c r="I799" i="1"/>
  <c r="K799" i="1" s="1"/>
  <c r="H799" i="1"/>
  <c r="M799" i="1" s="1"/>
  <c r="G799" i="1"/>
  <c r="J798" i="1"/>
  <c r="I798" i="1"/>
  <c r="K798" i="1" s="1"/>
  <c r="H798" i="1"/>
  <c r="M798" i="1" s="1"/>
  <c r="G798" i="1"/>
  <c r="J797" i="1"/>
  <c r="I797" i="1"/>
  <c r="K797" i="1" s="1"/>
  <c r="H797" i="1"/>
  <c r="M797" i="1" s="1"/>
  <c r="G797" i="1"/>
  <c r="J796" i="1"/>
  <c r="I796" i="1"/>
  <c r="K796" i="1" s="1"/>
  <c r="H796" i="1"/>
  <c r="M796" i="1" s="1"/>
  <c r="G796" i="1"/>
  <c r="J795" i="1"/>
  <c r="I795" i="1"/>
  <c r="K795" i="1" s="1"/>
  <c r="H795" i="1"/>
  <c r="M795" i="1" s="1"/>
  <c r="G795" i="1"/>
  <c r="J794" i="1"/>
  <c r="I794" i="1"/>
  <c r="K794" i="1" s="1"/>
  <c r="H794" i="1"/>
  <c r="M794" i="1" s="1"/>
  <c r="G794" i="1"/>
  <c r="J793" i="1"/>
  <c r="I793" i="1"/>
  <c r="K793" i="1" s="1"/>
  <c r="H793" i="1"/>
  <c r="M793" i="1" s="1"/>
  <c r="G793" i="1"/>
  <c r="J792" i="1"/>
  <c r="I792" i="1"/>
  <c r="K792" i="1" s="1"/>
  <c r="H792" i="1"/>
  <c r="M792" i="1" s="1"/>
  <c r="G792" i="1"/>
  <c r="J791" i="1"/>
  <c r="I791" i="1"/>
  <c r="K791" i="1" s="1"/>
  <c r="H791" i="1"/>
  <c r="M791" i="1" s="1"/>
  <c r="G791" i="1"/>
  <c r="J790" i="1"/>
  <c r="I790" i="1"/>
  <c r="K790" i="1" s="1"/>
  <c r="H790" i="1"/>
  <c r="M790" i="1" s="1"/>
  <c r="G790" i="1"/>
  <c r="J789" i="1"/>
  <c r="I789" i="1"/>
  <c r="K789" i="1" s="1"/>
  <c r="H789" i="1"/>
  <c r="M789" i="1" s="1"/>
  <c r="G789" i="1"/>
  <c r="J788" i="1"/>
  <c r="I788" i="1"/>
  <c r="K788" i="1" s="1"/>
  <c r="H788" i="1"/>
  <c r="M788" i="1" s="1"/>
  <c r="G788" i="1"/>
  <c r="J787" i="1"/>
  <c r="I787" i="1"/>
  <c r="K787" i="1" s="1"/>
  <c r="H787" i="1"/>
  <c r="M787" i="1" s="1"/>
  <c r="G787" i="1"/>
  <c r="J786" i="1"/>
  <c r="I786" i="1"/>
  <c r="K786" i="1" s="1"/>
  <c r="H786" i="1"/>
  <c r="M786" i="1" s="1"/>
  <c r="G786" i="1"/>
  <c r="J785" i="1"/>
  <c r="I785" i="1"/>
  <c r="K785" i="1" s="1"/>
  <c r="H785" i="1"/>
  <c r="M785" i="1" s="1"/>
  <c r="G785" i="1"/>
  <c r="J784" i="1"/>
  <c r="I784" i="1"/>
  <c r="K784" i="1" s="1"/>
  <c r="H784" i="1"/>
  <c r="M784" i="1" s="1"/>
  <c r="G784" i="1"/>
  <c r="J783" i="1"/>
  <c r="I783" i="1"/>
  <c r="K783" i="1" s="1"/>
  <c r="H783" i="1"/>
  <c r="M783" i="1" s="1"/>
  <c r="G783" i="1"/>
  <c r="J782" i="1"/>
  <c r="I782" i="1"/>
  <c r="K782" i="1" s="1"/>
  <c r="H782" i="1"/>
  <c r="M782" i="1" s="1"/>
  <c r="G782" i="1"/>
  <c r="J781" i="1"/>
  <c r="I781" i="1"/>
  <c r="K781" i="1" s="1"/>
  <c r="H781" i="1"/>
  <c r="M781" i="1" s="1"/>
  <c r="G781" i="1"/>
  <c r="J780" i="1"/>
  <c r="I780" i="1"/>
  <c r="K780" i="1" s="1"/>
  <c r="H780" i="1"/>
  <c r="M780" i="1" s="1"/>
  <c r="G780" i="1"/>
  <c r="J779" i="1"/>
  <c r="I779" i="1"/>
  <c r="K779" i="1" s="1"/>
  <c r="H779" i="1"/>
  <c r="M779" i="1" s="1"/>
  <c r="G779" i="1"/>
  <c r="J778" i="1"/>
  <c r="I778" i="1"/>
  <c r="K778" i="1" s="1"/>
  <c r="H778" i="1"/>
  <c r="M778" i="1" s="1"/>
  <c r="G778" i="1"/>
  <c r="J777" i="1"/>
  <c r="I777" i="1"/>
  <c r="K777" i="1" s="1"/>
  <c r="H777" i="1"/>
  <c r="M777" i="1" s="1"/>
  <c r="G777" i="1"/>
  <c r="J776" i="1"/>
  <c r="I776" i="1"/>
  <c r="K776" i="1" s="1"/>
  <c r="H776" i="1"/>
  <c r="M776" i="1" s="1"/>
  <c r="G776" i="1"/>
  <c r="J775" i="1"/>
  <c r="I775" i="1"/>
  <c r="K775" i="1" s="1"/>
  <c r="H775" i="1"/>
  <c r="M775" i="1" s="1"/>
  <c r="G775" i="1"/>
  <c r="J774" i="1"/>
  <c r="I774" i="1"/>
  <c r="K774" i="1" s="1"/>
  <c r="H774" i="1"/>
  <c r="M774" i="1" s="1"/>
  <c r="G774" i="1"/>
  <c r="J773" i="1"/>
  <c r="I773" i="1"/>
  <c r="K773" i="1" s="1"/>
  <c r="H773" i="1"/>
  <c r="M773" i="1" s="1"/>
  <c r="G773" i="1"/>
  <c r="J772" i="1"/>
  <c r="I772" i="1"/>
  <c r="K772" i="1" s="1"/>
  <c r="H772" i="1"/>
  <c r="M772" i="1" s="1"/>
  <c r="G772" i="1"/>
  <c r="J771" i="1"/>
  <c r="I771" i="1"/>
  <c r="K771" i="1" s="1"/>
  <c r="H771" i="1"/>
  <c r="M771" i="1" s="1"/>
  <c r="G771" i="1"/>
  <c r="J770" i="1"/>
  <c r="I770" i="1"/>
  <c r="K770" i="1" s="1"/>
  <c r="H770" i="1"/>
  <c r="M770" i="1" s="1"/>
  <c r="G770" i="1"/>
  <c r="J769" i="1"/>
  <c r="I769" i="1"/>
  <c r="K769" i="1" s="1"/>
  <c r="H769" i="1"/>
  <c r="M769" i="1" s="1"/>
  <c r="G769" i="1"/>
  <c r="J768" i="1"/>
  <c r="I768" i="1"/>
  <c r="K768" i="1" s="1"/>
  <c r="H768" i="1"/>
  <c r="M768" i="1" s="1"/>
  <c r="G768" i="1"/>
  <c r="J767" i="1"/>
  <c r="I767" i="1"/>
  <c r="K767" i="1" s="1"/>
  <c r="H767" i="1"/>
  <c r="M767" i="1" s="1"/>
  <c r="G767" i="1"/>
  <c r="J766" i="1"/>
  <c r="I766" i="1"/>
  <c r="K766" i="1" s="1"/>
  <c r="H766" i="1"/>
  <c r="M766" i="1" s="1"/>
  <c r="G766" i="1"/>
  <c r="J765" i="1"/>
  <c r="I765" i="1"/>
  <c r="K765" i="1" s="1"/>
  <c r="H765" i="1"/>
  <c r="M765" i="1" s="1"/>
  <c r="G765" i="1"/>
  <c r="J764" i="1"/>
  <c r="I764" i="1"/>
  <c r="K764" i="1" s="1"/>
  <c r="H764" i="1"/>
  <c r="M764" i="1" s="1"/>
  <c r="G764" i="1"/>
  <c r="J763" i="1"/>
  <c r="I763" i="1"/>
  <c r="K763" i="1" s="1"/>
  <c r="H763" i="1"/>
  <c r="M763" i="1" s="1"/>
  <c r="G763" i="1"/>
  <c r="J762" i="1"/>
  <c r="I762" i="1"/>
  <c r="K762" i="1" s="1"/>
  <c r="H762" i="1"/>
  <c r="M762" i="1" s="1"/>
  <c r="G762" i="1"/>
  <c r="J761" i="1"/>
  <c r="I761" i="1"/>
  <c r="K761" i="1" s="1"/>
  <c r="H761" i="1"/>
  <c r="M761" i="1" s="1"/>
  <c r="G761" i="1"/>
  <c r="J760" i="1"/>
  <c r="I760" i="1"/>
  <c r="K760" i="1" s="1"/>
  <c r="H760" i="1"/>
  <c r="M760" i="1" s="1"/>
  <c r="G760" i="1"/>
  <c r="J759" i="1"/>
  <c r="I759" i="1"/>
  <c r="K759" i="1" s="1"/>
  <c r="H759" i="1"/>
  <c r="M759" i="1" s="1"/>
  <c r="G759" i="1"/>
  <c r="J758" i="1"/>
  <c r="I758" i="1"/>
  <c r="K758" i="1" s="1"/>
  <c r="H758" i="1"/>
  <c r="M758" i="1" s="1"/>
  <c r="G758" i="1"/>
  <c r="J757" i="1"/>
  <c r="I757" i="1"/>
  <c r="K757" i="1" s="1"/>
  <c r="H757" i="1"/>
  <c r="M757" i="1" s="1"/>
  <c r="G757" i="1"/>
  <c r="J756" i="1"/>
  <c r="I756" i="1"/>
  <c r="K756" i="1" s="1"/>
  <c r="H756" i="1"/>
  <c r="M756" i="1" s="1"/>
  <c r="G756" i="1"/>
  <c r="J755" i="1"/>
  <c r="I755" i="1"/>
  <c r="K755" i="1" s="1"/>
  <c r="H755" i="1"/>
  <c r="M755" i="1" s="1"/>
  <c r="G755" i="1"/>
  <c r="J754" i="1"/>
  <c r="I754" i="1"/>
  <c r="K754" i="1" s="1"/>
  <c r="H754" i="1"/>
  <c r="M754" i="1" s="1"/>
  <c r="G754" i="1"/>
  <c r="J753" i="1"/>
  <c r="I753" i="1"/>
  <c r="K753" i="1" s="1"/>
  <c r="H753" i="1"/>
  <c r="M753" i="1" s="1"/>
  <c r="G753" i="1"/>
  <c r="J752" i="1"/>
  <c r="I752" i="1"/>
  <c r="K752" i="1" s="1"/>
  <c r="H752" i="1"/>
  <c r="M752" i="1" s="1"/>
  <c r="G752" i="1"/>
  <c r="J751" i="1"/>
  <c r="I751" i="1"/>
  <c r="K751" i="1" s="1"/>
  <c r="H751" i="1"/>
  <c r="M751" i="1" s="1"/>
  <c r="G751" i="1"/>
  <c r="J750" i="1"/>
  <c r="I750" i="1"/>
  <c r="K750" i="1" s="1"/>
  <c r="H750" i="1"/>
  <c r="M750" i="1" s="1"/>
  <c r="G750" i="1"/>
  <c r="J749" i="1"/>
  <c r="I749" i="1"/>
  <c r="K749" i="1" s="1"/>
  <c r="H749" i="1"/>
  <c r="M749" i="1" s="1"/>
  <c r="G749" i="1"/>
  <c r="J748" i="1"/>
  <c r="I748" i="1"/>
  <c r="K748" i="1" s="1"/>
  <c r="H748" i="1"/>
  <c r="M748" i="1" s="1"/>
  <c r="G748" i="1"/>
  <c r="J747" i="1"/>
  <c r="I747" i="1"/>
  <c r="K747" i="1" s="1"/>
  <c r="H747" i="1"/>
  <c r="M747" i="1" s="1"/>
  <c r="G747" i="1"/>
  <c r="J746" i="1"/>
  <c r="I746" i="1"/>
  <c r="K746" i="1" s="1"/>
  <c r="H746" i="1"/>
  <c r="M746" i="1" s="1"/>
  <c r="G746" i="1"/>
  <c r="J745" i="1"/>
  <c r="I745" i="1"/>
  <c r="K745" i="1" s="1"/>
  <c r="H745" i="1"/>
  <c r="M745" i="1" s="1"/>
  <c r="G745" i="1"/>
  <c r="J744" i="1"/>
  <c r="I744" i="1"/>
  <c r="K744" i="1" s="1"/>
  <c r="H744" i="1"/>
  <c r="M744" i="1" s="1"/>
  <c r="G744" i="1"/>
  <c r="J743" i="1"/>
  <c r="I743" i="1"/>
  <c r="K743" i="1" s="1"/>
  <c r="H743" i="1"/>
  <c r="M743" i="1" s="1"/>
  <c r="G743" i="1"/>
  <c r="J742" i="1"/>
  <c r="I742" i="1"/>
  <c r="K742" i="1" s="1"/>
  <c r="H742" i="1"/>
  <c r="M742" i="1" s="1"/>
  <c r="G742" i="1"/>
  <c r="J741" i="1"/>
  <c r="I741" i="1"/>
  <c r="K741" i="1" s="1"/>
  <c r="H741" i="1"/>
  <c r="M741" i="1" s="1"/>
  <c r="G741" i="1"/>
  <c r="J740" i="1"/>
  <c r="I740" i="1"/>
  <c r="K740" i="1" s="1"/>
  <c r="H740" i="1"/>
  <c r="M740" i="1" s="1"/>
  <c r="G740" i="1"/>
  <c r="J739" i="1"/>
  <c r="I739" i="1"/>
  <c r="K739" i="1" s="1"/>
  <c r="H739" i="1"/>
  <c r="M739" i="1" s="1"/>
  <c r="G739" i="1"/>
  <c r="J738" i="1"/>
  <c r="I738" i="1"/>
  <c r="K738" i="1" s="1"/>
  <c r="H738" i="1"/>
  <c r="M738" i="1" s="1"/>
  <c r="G738" i="1"/>
  <c r="J737" i="1"/>
  <c r="I737" i="1"/>
  <c r="K737" i="1" s="1"/>
  <c r="H737" i="1"/>
  <c r="M737" i="1" s="1"/>
  <c r="G737" i="1"/>
  <c r="J736" i="1"/>
  <c r="I736" i="1"/>
  <c r="K736" i="1" s="1"/>
  <c r="H736" i="1"/>
  <c r="M736" i="1" s="1"/>
  <c r="G736" i="1"/>
  <c r="J735" i="1"/>
  <c r="I735" i="1"/>
  <c r="K735" i="1" s="1"/>
  <c r="H735" i="1"/>
  <c r="M735" i="1" s="1"/>
  <c r="G735" i="1"/>
  <c r="J734" i="1"/>
  <c r="I734" i="1"/>
  <c r="K734" i="1" s="1"/>
  <c r="H734" i="1"/>
  <c r="M734" i="1" s="1"/>
  <c r="G734" i="1"/>
  <c r="J733" i="1"/>
  <c r="I733" i="1"/>
  <c r="K733" i="1" s="1"/>
  <c r="H733" i="1"/>
  <c r="M733" i="1" s="1"/>
  <c r="G733" i="1"/>
  <c r="J732" i="1"/>
  <c r="I732" i="1"/>
  <c r="K732" i="1" s="1"/>
  <c r="H732" i="1"/>
  <c r="M732" i="1" s="1"/>
  <c r="G732" i="1"/>
  <c r="J731" i="1"/>
  <c r="I731" i="1"/>
  <c r="K731" i="1" s="1"/>
  <c r="H731" i="1"/>
  <c r="M731" i="1" s="1"/>
  <c r="G731" i="1"/>
  <c r="J730" i="1"/>
  <c r="I730" i="1"/>
  <c r="K730" i="1" s="1"/>
  <c r="H730" i="1"/>
  <c r="M730" i="1" s="1"/>
  <c r="G730" i="1"/>
  <c r="J729" i="1"/>
  <c r="I729" i="1"/>
  <c r="K729" i="1" s="1"/>
  <c r="H729" i="1"/>
  <c r="M729" i="1" s="1"/>
  <c r="G729" i="1"/>
  <c r="J728" i="1"/>
  <c r="I728" i="1"/>
  <c r="K728" i="1" s="1"/>
  <c r="H728" i="1"/>
  <c r="M728" i="1" s="1"/>
  <c r="G728" i="1"/>
  <c r="J727" i="1"/>
  <c r="I727" i="1"/>
  <c r="K727" i="1" s="1"/>
  <c r="H727" i="1"/>
  <c r="M727" i="1" s="1"/>
  <c r="G727" i="1"/>
  <c r="J726" i="1"/>
  <c r="I726" i="1"/>
  <c r="K726" i="1" s="1"/>
  <c r="H726" i="1"/>
  <c r="M726" i="1" s="1"/>
  <c r="G726" i="1"/>
  <c r="J725" i="1"/>
  <c r="I725" i="1"/>
  <c r="K725" i="1" s="1"/>
  <c r="H725" i="1"/>
  <c r="M725" i="1" s="1"/>
  <c r="G725" i="1"/>
  <c r="J724" i="1"/>
  <c r="I724" i="1"/>
  <c r="K724" i="1" s="1"/>
  <c r="H724" i="1"/>
  <c r="M724" i="1" s="1"/>
  <c r="G724" i="1"/>
  <c r="J723" i="1"/>
  <c r="I723" i="1"/>
  <c r="K723" i="1" s="1"/>
  <c r="H723" i="1"/>
  <c r="M723" i="1" s="1"/>
  <c r="G723" i="1"/>
  <c r="J722" i="1"/>
  <c r="I722" i="1"/>
  <c r="K722" i="1" s="1"/>
  <c r="H722" i="1"/>
  <c r="M722" i="1" s="1"/>
  <c r="G722" i="1"/>
  <c r="J721" i="1"/>
  <c r="I721" i="1"/>
  <c r="K721" i="1" s="1"/>
  <c r="H721" i="1"/>
  <c r="M721" i="1" s="1"/>
  <c r="G721" i="1"/>
  <c r="J720" i="1"/>
  <c r="I720" i="1"/>
  <c r="K720" i="1" s="1"/>
  <c r="H720" i="1"/>
  <c r="M720" i="1" s="1"/>
  <c r="G720" i="1"/>
  <c r="J719" i="1"/>
  <c r="I719" i="1"/>
  <c r="K719" i="1" s="1"/>
  <c r="H719" i="1"/>
  <c r="M719" i="1" s="1"/>
  <c r="G719" i="1"/>
  <c r="J718" i="1"/>
  <c r="I718" i="1"/>
  <c r="K718" i="1" s="1"/>
  <c r="H718" i="1"/>
  <c r="M718" i="1" s="1"/>
  <c r="G718" i="1"/>
  <c r="J717" i="1"/>
  <c r="I717" i="1"/>
  <c r="K717" i="1" s="1"/>
  <c r="H717" i="1"/>
  <c r="M717" i="1" s="1"/>
  <c r="G717" i="1"/>
  <c r="J716" i="1"/>
  <c r="I716" i="1"/>
  <c r="K716" i="1" s="1"/>
  <c r="H716" i="1"/>
  <c r="M716" i="1" s="1"/>
  <c r="G716" i="1"/>
  <c r="J715" i="1"/>
  <c r="I715" i="1"/>
  <c r="K715" i="1" s="1"/>
  <c r="H715" i="1"/>
  <c r="M715" i="1" s="1"/>
  <c r="G715" i="1"/>
  <c r="J714" i="1"/>
  <c r="I714" i="1"/>
  <c r="K714" i="1" s="1"/>
  <c r="H714" i="1"/>
  <c r="M714" i="1" s="1"/>
  <c r="G714" i="1"/>
  <c r="J713" i="1"/>
  <c r="I713" i="1"/>
  <c r="K713" i="1" s="1"/>
  <c r="H713" i="1"/>
  <c r="M713" i="1" s="1"/>
  <c r="G713" i="1"/>
  <c r="J712" i="1"/>
  <c r="I712" i="1"/>
  <c r="K712" i="1" s="1"/>
  <c r="H712" i="1"/>
  <c r="M712" i="1" s="1"/>
  <c r="G712" i="1"/>
  <c r="J711" i="1"/>
  <c r="I711" i="1"/>
  <c r="K711" i="1" s="1"/>
  <c r="H711" i="1"/>
  <c r="M711" i="1" s="1"/>
  <c r="G711" i="1"/>
  <c r="J710" i="1"/>
  <c r="I710" i="1"/>
  <c r="K710" i="1" s="1"/>
  <c r="H710" i="1"/>
  <c r="M710" i="1" s="1"/>
  <c r="G710" i="1"/>
  <c r="J709" i="1"/>
  <c r="I709" i="1"/>
  <c r="K709" i="1" s="1"/>
  <c r="H709" i="1"/>
  <c r="M709" i="1" s="1"/>
  <c r="G709" i="1"/>
  <c r="J708" i="1"/>
  <c r="I708" i="1"/>
  <c r="K708" i="1" s="1"/>
  <c r="H708" i="1"/>
  <c r="M708" i="1" s="1"/>
  <c r="G708" i="1"/>
  <c r="J707" i="1"/>
  <c r="I707" i="1"/>
  <c r="K707" i="1" s="1"/>
  <c r="H707" i="1"/>
  <c r="M707" i="1" s="1"/>
  <c r="G707" i="1"/>
  <c r="J706" i="1"/>
  <c r="I706" i="1"/>
  <c r="K706" i="1" s="1"/>
  <c r="H706" i="1"/>
  <c r="M706" i="1" s="1"/>
  <c r="G706" i="1"/>
  <c r="J705" i="1"/>
  <c r="I705" i="1"/>
  <c r="K705" i="1" s="1"/>
  <c r="H705" i="1"/>
  <c r="M705" i="1" s="1"/>
  <c r="G705" i="1"/>
  <c r="J704" i="1"/>
  <c r="I704" i="1"/>
  <c r="K704" i="1" s="1"/>
  <c r="H704" i="1"/>
  <c r="M704" i="1" s="1"/>
  <c r="G704" i="1"/>
  <c r="J703" i="1"/>
  <c r="I703" i="1"/>
  <c r="K703" i="1" s="1"/>
  <c r="H703" i="1"/>
  <c r="M703" i="1" s="1"/>
  <c r="G703" i="1"/>
  <c r="J702" i="1"/>
  <c r="I702" i="1"/>
  <c r="K702" i="1" s="1"/>
  <c r="H702" i="1"/>
  <c r="M702" i="1" s="1"/>
  <c r="G702" i="1"/>
  <c r="J701" i="1"/>
  <c r="I701" i="1"/>
  <c r="K701" i="1" s="1"/>
  <c r="H701" i="1"/>
  <c r="M701" i="1" s="1"/>
  <c r="G701" i="1"/>
  <c r="J700" i="1"/>
  <c r="I700" i="1"/>
  <c r="K700" i="1" s="1"/>
  <c r="H700" i="1"/>
  <c r="M700" i="1" s="1"/>
  <c r="G700" i="1"/>
  <c r="J699" i="1"/>
  <c r="I699" i="1"/>
  <c r="K699" i="1" s="1"/>
  <c r="H699" i="1"/>
  <c r="M699" i="1" s="1"/>
  <c r="G699" i="1"/>
  <c r="J698" i="1"/>
  <c r="I698" i="1"/>
  <c r="K698" i="1" s="1"/>
  <c r="H698" i="1"/>
  <c r="M698" i="1" s="1"/>
  <c r="G698" i="1"/>
  <c r="J697" i="1"/>
  <c r="I697" i="1"/>
  <c r="K697" i="1" s="1"/>
  <c r="H697" i="1"/>
  <c r="M697" i="1" s="1"/>
  <c r="G697" i="1"/>
  <c r="J696" i="1"/>
  <c r="I696" i="1"/>
  <c r="K696" i="1" s="1"/>
  <c r="H696" i="1"/>
  <c r="M696" i="1" s="1"/>
  <c r="G696" i="1"/>
  <c r="J695" i="1"/>
  <c r="I695" i="1"/>
  <c r="K695" i="1" s="1"/>
  <c r="H695" i="1"/>
  <c r="M695" i="1" s="1"/>
  <c r="G695" i="1"/>
  <c r="J694" i="1"/>
  <c r="I694" i="1"/>
  <c r="K694" i="1" s="1"/>
  <c r="H694" i="1"/>
  <c r="M694" i="1" s="1"/>
  <c r="G694" i="1"/>
  <c r="J693" i="1"/>
  <c r="I693" i="1"/>
  <c r="K693" i="1" s="1"/>
  <c r="H693" i="1"/>
  <c r="M693" i="1" s="1"/>
  <c r="G693" i="1"/>
  <c r="J692" i="1"/>
  <c r="I692" i="1"/>
  <c r="K692" i="1" s="1"/>
  <c r="H692" i="1"/>
  <c r="M692" i="1" s="1"/>
  <c r="G692" i="1"/>
  <c r="J691" i="1"/>
  <c r="I691" i="1"/>
  <c r="K691" i="1" s="1"/>
  <c r="H691" i="1"/>
  <c r="M691" i="1" s="1"/>
  <c r="G691" i="1"/>
  <c r="J690" i="1"/>
  <c r="I690" i="1"/>
  <c r="K690" i="1" s="1"/>
  <c r="H690" i="1"/>
  <c r="M690" i="1" s="1"/>
  <c r="G690" i="1"/>
  <c r="J689" i="1"/>
  <c r="I689" i="1"/>
  <c r="K689" i="1" s="1"/>
  <c r="H689" i="1"/>
  <c r="M689" i="1" s="1"/>
  <c r="G689" i="1"/>
  <c r="J688" i="1"/>
  <c r="I688" i="1"/>
  <c r="K688" i="1" s="1"/>
  <c r="H688" i="1"/>
  <c r="M688" i="1" s="1"/>
  <c r="G688" i="1"/>
  <c r="J687" i="1"/>
  <c r="I687" i="1"/>
  <c r="K687" i="1" s="1"/>
  <c r="H687" i="1"/>
  <c r="M687" i="1" s="1"/>
  <c r="G687" i="1"/>
  <c r="J686" i="1"/>
  <c r="I686" i="1"/>
  <c r="K686" i="1" s="1"/>
  <c r="H686" i="1"/>
  <c r="M686" i="1" s="1"/>
  <c r="G686" i="1"/>
  <c r="J685" i="1"/>
  <c r="I685" i="1"/>
  <c r="K685" i="1" s="1"/>
  <c r="H685" i="1"/>
  <c r="M685" i="1" s="1"/>
  <c r="G685" i="1"/>
  <c r="J684" i="1"/>
  <c r="I684" i="1"/>
  <c r="K684" i="1" s="1"/>
  <c r="H684" i="1"/>
  <c r="M684" i="1" s="1"/>
  <c r="G684" i="1"/>
  <c r="J683" i="1"/>
  <c r="I683" i="1"/>
  <c r="K683" i="1" s="1"/>
  <c r="H683" i="1"/>
  <c r="M683" i="1" s="1"/>
  <c r="G683" i="1"/>
  <c r="J682" i="1"/>
  <c r="I682" i="1"/>
  <c r="K682" i="1" s="1"/>
  <c r="H682" i="1"/>
  <c r="M682" i="1" s="1"/>
  <c r="G682" i="1"/>
  <c r="J681" i="1"/>
  <c r="I681" i="1"/>
  <c r="K681" i="1" s="1"/>
  <c r="H681" i="1"/>
  <c r="M681" i="1" s="1"/>
  <c r="G681" i="1"/>
  <c r="J680" i="1"/>
  <c r="I680" i="1"/>
  <c r="K680" i="1" s="1"/>
  <c r="H680" i="1"/>
  <c r="M680" i="1" s="1"/>
  <c r="G680" i="1"/>
  <c r="J679" i="1"/>
  <c r="I679" i="1"/>
  <c r="K679" i="1" s="1"/>
  <c r="H679" i="1"/>
  <c r="M679" i="1" s="1"/>
  <c r="G679" i="1"/>
  <c r="J678" i="1"/>
  <c r="I678" i="1"/>
  <c r="K678" i="1" s="1"/>
  <c r="H678" i="1"/>
  <c r="M678" i="1" s="1"/>
  <c r="G678" i="1"/>
  <c r="J677" i="1"/>
  <c r="I677" i="1"/>
  <c r="K677" i="1" s="1"/>
  <c r="H677" i="1"/>
  <c r="M677" i="1" s="1"/>
  <c r="G677" i="1"/>
  <c r="J676" i="1"/>
  <c r="I676" i="1"/>
  <c r="K676" i="1" s="1"/>
  <c r="H676" i="1"/>
  <c r="M676" i="1" s="1"/>
  <c r="G676" i="1"/>
  <c r="J675" i="1"/>
  <c r="I675" i="1"/>
  <c r="K675" i="1" s="1"/>
  <c r="H675" i="1"/>
  <c r="M675" i="1" s="1"/>
  <c r="G675" i="1"/>
  <c r="J674" i="1"/>
  <c r="I674" i="1"/>
  <c r="K674" i="1" s="1"/>
  <c r="H674" i="1"/>
  <c r="M674" i="1" s="1"/>
  <c r="G674" i="1"/>
  <c r="J673" i="1"/>
  <c r="I673" i="1"/>
  <c r="K673" i="1" s="1"/>
  <c r="H673" i="1"/>
  <c r="M673" i="1" s="1"/>
  <c r="G673" i="1"/>
  <c r="J672" i="1"/>
  <c r="I672" i="1"/>
  <c r="K672" i="1" s="1"/>
  <c r="H672" i="1"/>
  <c r="M672" i="1" s="1"/>
  <c r="G672" i="1"/>
  <c r="J671" i="1"/>
  <c r="I671" i="1"/>
  <c r="K671" i="1" s="1"/>
  <c r="H671" i="1"/>
  <c r="M671" i="1" s="1"/>
  <c r="G671" i="1"/>
  <c r="J670" i="1"/>
  <c r="I670" i="1"/>
  <c r="K670" i="1" s="1"/>
  <c r="H670" i="1"/>
  <c r="M670" i="1" s="1"/>
  <c r="G670" i="1"/>
  <c r="J669" i="1"/>
  <c r="I669" i="1"/>
  <c r="K669" i="1" s="1"/>
  <c r="H669" i="1"/>
  <c r="M669" i="1" s="1"/>
  <c r="G669" i="1"/>
  <c r="J668" i="1"/>
  <c r="I668" i="1"/>
  <c r="K668" i="1" s="1"/>
  <c r="H668" i="1"/>
  <c r="M668" i="1" s="1"/>
  <c r="G668" i="1"/>
  <c r="J667" i="1"/>
  <c r="I667" i="1"/>
  <c r="K667" i="1" s="1"/>
  <c r="H667" i="1"/>
  <c r="M667" i="1" s="1"/>
  <c r="G667" i="1"/>
  <c r="J666" i="1"/>
  <c r="I666" i="1"/>
  <c r="K666" i="1" s="1"/>
  <c r="H666" i="1"/>
  <c r="M666" i="1" s="1"/>
  <c r="G666" i="1"/>
  <c r="J665" i="1"/>
  <c r="I665" i="1"/>
  <c r="K665" i="1" s="1"/>
  <c r="H665" i="1"/>
  <c r="M665" i="1" s="1"/>
  <c r="G665" i="1"/>
  <c r="J664" i="1"/>
  <c r="I664" i="1"/>
  <c r="K664" i="1" s="1"/>
  <c r="H664" i="1"/>
  <c r="M664" i="1" s="1"/>
  <c r="G664" i="1"/>
  <c r="J663" i="1"/>
  <c r="I663" i="1"/>
  <c r="K663" i="1" s="1"/>
  <c r="H663" i="1"/>
  <c r="M663" i="1" s="1"/>
  <c r="G663" i="1"/>
  <c r="J662" i="1"/>
  <c r="I662" i="1"/>
  <c r="K662" i="1" s="1"/>
  <c r="H662" i="1"/>
  <c r="M662" i="1" s="1"/>
  <c r="G662" i="1"/>
  <c r="J661" i="1"/>
  <c r="I661" i="1"/>
  <c r="K661" i="1" s="1"/>
  <c r="H661" i="1"/>
  <c r="M661" i="1" s="1"/>
  <c r="G661" i="1"/>
  <c r="J660" i="1"/>
  <c r="I660" i="1"/>
  <c r="K660" i="1" s="1"/>
  <c r="H660" i="1"/>
  <c r="M660" i="1" s="1"/>
  <c r="G660" i="1"/>
  <c r="J659" i="1"/>
  <c r="I659" i="1"/>
  <c r="K659" i="1" s="1"/>
  <c r="H659" i="1"/>
  <c r="M659" i="1" s="1"/>
  <c r="G659" i="1"/>
  <c r="J658" i="1"/>
  <c r="I658" i="1"/>
  <c r="K658" i="1" s="1"/>
  <c r="H658" i="1"/>
  <c r="M658" i="1" s="1"/>
  <c r="G658" i="1"/>
  <c r="J657" i="1"/>
  <c r="I657" i="1"/>
  <c r="K657" i="1" s="1"/>
  <c r="H657" i="1"/>
  <c r="M657" i="1" s="1"/>
  <c r="G657" i="1"/>
  <c r="J656" i="1"/>
  <c r="I656" i="1"/>
  <c r="K656" i="1" s="1"/>
  <c r="H656" i="1"/>
  <c r="M656" i="1" s="1"/>
  <c r="G656" i="1"/>
  <c r="J655" i="1"/>
  <c r="I655" i="1"/>
  <c r="K655" i="1" s="1"/>
  <c r="H655" i="1"/>
  <c r="M655" i="1" s="1"/>
  <c r="G655" i="1"/>
  <c r="J654" i="1"/>
  <c r="I654" i="1"/>
  <c r="K654" i="1" s="1"/>
  <c r="H654" i="1"/>
  <c r="M654" i="1" s="1"/>
  <c r="G654" i="1"/>
  <c r="J653" i="1"/>
  <c r="I653" i="1"/>
  <c r="K653" i="1" s="1"/>
  <c r="H653" i="1"/>
  <c r="M653" i="1" s="1"/>
  <c r="G653" i="1"/>
  <c r="J652" i="1"/>
  <c r="I652" i="1"/>
  <c r="K652" i="1" s="1"/>
  <c r="H652" i="1"/>
  <c r="M652" i="1" s="1"/>
  <c r="G652" i="1"/>
  <c r="J651" i="1"/>
  <c r="I651" i="1"/>
  <c r="K651" i="1" s="1"/>
  <c r="H651" i="1"/>
  <c r="M651" i="1" s="1"/>
  <c r="G651" i="1"/>
  <c r="J650" i="1"/>
  <c r="I650" i="1"/>
  <c r="K650" i="1" s="1"/>
  <c r="H650" i="1"/>
  <c r="M650" i="1" s="1"/>
  <c r="G650" i="1"/>
  <c r="J649" i="1"/>
  <c r="I649" i="1"/>
  <c r="K649" i="1" s="1"/>
  <c r="H649" i="1"/>
  <c r="M649" i="1" s="1"/>
  <c r="G649" i="1"/>
  <c r="J648" i="1"/>
  <c r="I648" i="1"/>
  <c r="K648" i="1" s="1"/>
  <c r="H648" i="1"/>
  <c r="M648" i="1" s="1"/>
  <c r="G648" i="1"/>
  <c r="J647" i="1"/>
  <c r="I647" i="1"/>
  <c r="K647" i="1" s="1"/>
  <c r="H647" i="1"/>
  <c r="M647" i="1" s="1"/>
  <c r="G647" i="1"/>
  <c r="J646" i="1"/>
  <c r="I646" i="1"/>
  <c r="K646" i="1" s="1"/>
  <c r="H646" i="1"/>
  <c r="M646" i="1" s="1"/>
  <c r="G646" i="1"/>
  <c r="J645" i="1"/>
  <c r="I645" i="1"/>
  <c r="K645" i="1" s="1"/>
  <c r="H645" i="1"/>
  <c r="M645" i="1" s="1"/>
  <c r="G645" i="1"/>
  <c r="J644" i="1"/>
  <c r="I644" i="1"/>
  <c r="K644" i="1" s="1"/>
  <c r="H644" i="1"/>
  <c r="M644" i="1" s="1"/>
  <c r="G644" i="1"/>
  <c r="J643" i="1"/>
  <c r="I643" i="1"/>
  <c r="K643" i="1" s="1"/>
  <c r="H643" i="1"/>
  <c r="M643" i="1" s="1"/>
  <c r="G643" i="1"/>
  <c r="J642" i="1"/>
  <c r="I642" i="1"/>
  <c r="K642" i="1" s="1"/>
  <c r="H642" i="1"/>
  <c r="M642" i="1" s="1"/>
  <c r="G642" i="1"/>
  <c r="J641" i="1"/>
  <c r="I641" i="1"/>
  <c r="K641" i="1" s="1"/>
  <c r="H641" i="1"/>
  <c r="M641" i="1" s="1"/>
  <c r="G641" i="1"/>
  <c r="J640" i="1"/>
  <c r="I640" i="1"/>
  <c r="K640" i="1" s="1"/>
  <c r="H640" i="1"/>
  <c r="M640" i="1" s="1"/>
  <c r="G640" i="1"/>
  <c r="J639" i="1"/>
  <c r="I639" i="1"/>
  <c r="K639" i="1" s="1"/>
  <c r="H639" i="1"/>
  <c r="M639" i="1" s="1"/>
  <c r="G639" i="1"/>
  <c r="J638" i="1"/>
  <c r="I638" i="1"/>
  <c r="K638" i="1" s="1"/>
  <c r="H638" i="1"/>
  <c r="M638" i="1" s="1"/>
  <c r="G638" i="1"/>
  <c r="J637" i="1"/>
  <c r="I637" i="1"/>
  <c r="K637" i="1" s="1"/>
  <c r="H637" i="1"/>
  <c r="M637" i="1" s="1"/>
  <c r="G637" i="1"/>
  <c r="J636" i="1"/>
  <c r="I636" i="1"/>
  <c r="K636" i="1" s="1"/>
  <c r="H636" i="1"/>
  <c r="M636" i="1" s="1"/>
  <c r="G636" i="1"/>
  <c r="J635" i="1"/>
  <c r="I635" i="1"/>
  <c r="K635" i="1" s="1"/>
  <c r="H635" i="1"/>
  <c r="M635" i="1" s="1"/>
  <c r="G635" i="1"/>
  <c r="J634" i="1"/>
  <c r="I634" i="1"/>
  <c r="K634" i="1" s="1"/>
  <c r="H634" i="1"/>
  <c r="M634" i="1" s="1"/>
  <c r="G634" i="1"/>
  <c r="J633" i="1"/>
  <c r="I633" i="1"/>
  <c r="K633" i="1" s="1"/>
  <c r="H633" i="1"/>
  <c r="M633" i="1" s="1"/>
  <c r="G633" i="1"/>
  <c r="J632" i="1"/>
  <c r="I632" i="1"/>
  <c r="K632" i="1" s="1"/>
  <c r="H632" i="1"/>
  <c r="M632" i="1" s="1"/>
  <c r="G632" i="1"/>
  <c r="J631" i="1"/>
  <c r="I631" i="1"/>
  <c r="K631" i="1" s="1"/>
  <c r="H631" i="1"/>
  <c r="M631" i="1" s="1"/>
  <c r="G631" i="1"/>
  <c r="J630" i="1"/>
  <c r="I630" i="1"/>
  <c r="K630" i="1" s="1"/>
  <c r="H630" i="1"/>
  <c r="M630" i="1" s="1"/>
  <c r="G630" i="1"/>
  <c r="J629" i="1"/>
  <c r="I629" i="1"/>
  <c r="K629" i="1" s="1"/>
  <c r="H629" i="1"/>
  <c r="M629" i="1" s="1"/>
  <c r="G629" i="1"/>
  <c r="J628" i="1"/>
  <c r="I628" i="1"/>
  <c r="K628" i="1" s="1"/>
  <c r="H628" i="1"/>
  <c r="M628" i="1" s="1"/>
  <c r="G628" i="1"/>
  <c r="J627" i="1"/>
  <c r="I627" i="1"/>
  <c r="K627" i="1" s="1"/>
  <c r="H627" i="1"/>
  <c r="M627" i="1" s="1"/>
  <c r="G627" i="1"/>
  <c r="J626" i="1"/>
  <c r="I626" i="1"/>
  <c r="K626" i="1" s="1"/>
  <c r="H626" i="1"/>
  <c r="M626" i="1" s="1"/>
  <c r="G626" i="1"/>
  <c r="J625" i="1"/>
  <c r="I625" i="1"/>
  <c r="K625" i="1" s="1"/>
  <c r="H625" i="1"/>
  <c r="M625" i="1" s="1"/>
  <c r="G625" i="1"/>
  <c r="J624" i="1"/>
  <c r="I624" i="1"/>
  <c r="K624" i="1" s="1"/>
  <c r="H624" i="1"/>
  <c r="M624" i="1" s="1"/>
  <c r="G624" i="1"/>
  <c r="J623" i="1"/>
  <c r="I623" i="1"/>
  <c r="K623" i="1" s="1"/>
  <c r="H623" i="1"/>
  <c r="M623" i="1" s="1"/>
  <c r="G623" i="1"/>
  <c r="J622" i="1"/>
  <c r="I622" i="1"/>
  <c r="K622" i="1" s="1"/>
  <c r="H622" i="1"/>
  <c r="M622" i="1" s="1"/>
  <c r="G622" i="1"/>
  <c r="J621" i="1"/>
  <c r="I621" i="1"/>
  <c r="K621" i="1" s="1"/>
  <c r="H621" i="1"/>
  <c r="M621" i="1" s="1"/>
  <c r="G621" i="1"/>
  <c r="J620" i="1"/>
  <c r="I620" i="1"/>
  <c r="K620" i="1" s="1"/>
  <c r="H620" i="1"/>
  <c r="M620" i="1" s="1"/>
  <c r="G620" i="1"/>
  <c r="J619" i="1"/>
  <c r="I619" i="1"/>
  <c r="K619" i="1" s="1"/>
  <c r="H619" i="1"/>
  <c r="M619" i="1" s="1"/>
  <c r="G619" i="1"/>
  <c r="J618" i="1"/>
  <c r="I618" i="1"/>
  <c r="K618" i="1" s="1"/>
  <c r="H618" i="1"/>
  <c r="M618" i="1" s="1"/>
  <c r="G618" i="1"/>
  <c r="J617" i="1"/>
  <c r="I617" i="1"/>
  <c r="K617" i="1" s="1"/>
  <c r="H617" i="1"/>
  <c r="M617" i="1" s="1"/>
  <c r="G617" i="1"/>
  <c r="J616" i="1"/>
  <c r="I616" i="1"/>
  <c r="K616" i="1" s="1"/>
  <c r="H616" i="1"/>
  <c r="M616" i="1" s="1"/>
  <c r="G616" i="1"/>
  <c r="J615" i="1"/>
  <c r="I615" i="1"/>
  <c r="K615" i="1" s="1"/>
  <c r="H615" i="1"/>
  <c r="M615" i="1" s="1"/>
  <c r="G615" i="1"/>
  <c r="J614" i="1"/>
  <c r="I614" i="1"/>
  <c r="K614" i="1" s="1"/>
  <c r="H614" i="1"/>
  <c r="M614" i="1" s="1"/>
  <c r="G614" i="1"/>
  <c r="J613" i="1"/>
  <c r="I613" i="1"/>
  <c r="K613" i="1" s="1"/>
  <c r="H613" i="1"/>
  <c r="M613" i="1" s="1"/>
  <c r="G613" i="1"/>
  <c r="J612" i="1"/>
  <c r="I612" i="1"/>
  <c r="K612" i="1" s="1"/>
  <c r="H612" i="1"/>
  <c r="M612" i="1" s="1"/>
  <c r="G612" i="1"/>
  <c r="J611" i="1"/>
  <c r="I611" i="1"/>
  <c r="K611" i="1" s="1"/>
  <c r="H611" i="1"/>
  <c r="M611" i="1" s="1"/>
  <c r="G611" i="1"/>
  <c r="J610" i="1"/>
  <c r="I610" i="1"/>
  <c r="K610" i="1" s="1"/>
  <c r="H610" i="1"/>
  <c r="M610" i="1" s="1"/>
  <c r="G610" i="1"/>
  <c r="J609" i="1"/>
  <c r="I609" i="1"/>
  <c r="K609" i="1" s="1"/>
  <c r="H609" i="1"/>
  <c r="M609" i="1" s="1"/>
  <c r="G609" i="1"/>
  <c r="J608" i="1"/>
  <c r="I608" i="1"/>
  <c r="K608" i="1" s="1"/>
  <c r="H608" i="1"/>
  <c r="M608" i="1" s="1"/>
  <c r="G608" i="1"/>
  <c r="J607" i="1"/>
  <c r="I607" i="1"/>
  <c r="K607" i="1" s="1"/>
  <c r="H607" i="1"/>
  <c r="M607" i="1" s="1"/>
  <c r="G607" i="1"/>
  <c r="J606" i="1"/>
  <c r="I606" i="1"/>
  <c r="K606" i="1" s="1"/>
  <c r="H606" i="1"/>
  <c r="M606" i="1" s="1"/>
  <c r="G606" i="1"/>
  <c r="J605" i="1"/>
  <c r="I605" i="1"/>
  <c r="K605" i="1" s="1"/>
  <c r="H605" i="1"/>
  <c r="M605" i="1" s="1"/>
  <c r="G605" i="1"/>
  <c r="J604" i="1"/>
  <c r="I604" i="1"/>
  <c r="K604" i="1" s="1"/>
  <c r="H604" i="1"/>
  <c r="M604" i="1" s="1"/>
  <c r="G604" i="1"/>
  <c r="J603" i="1"/>
  <c r="I603" i="1"/>
  <c r="K603" i="1" s="1"/>
  <c r="H603" i="1"/>
  <c r="M603" i="1" s="1"/>
  <c r="G603" i="1"/>
  <c r="J602" i="1"/>
  <c r="I602" i="1"/>
  <c r="K602" i="1" s="1"/>
  <c r="H602" i="1"/>
  <c r="M602" i="1" s="1"/>
  <c r="G602" i="1"/>
  <c r="J601" i="1"/>
  <c r="I601" i="1"/>
  <c r="K601" i="1" s="1"/>
  <c r="H601" i="1"/>
  <c r="M601" i="1" s="1"/>
  <c r="G601" i="1"/>
  <c r="J600" i="1"/>
  <c r="I600" i="1"/>
  <c r="K600" i="1" s="1"/>
  <c r="H600" i="1"/>
  <c r="M600" i="1" s="1"/>
  <c r="G600" i="1"/>
  <c r="J599" i="1"/>
  <c r="I599" i="1"/>
  <c r="K599" i="1" s="1"/>
  <c r="H599" i="1"/>
  <c r="M599" i="1" s="1"/>
  <c r="G599" i="1"/>
  <c r="J598" i="1"/>
  <c r="I598" i="1"/>
  <c r="K598" i="1" s="1"/>
  <c r="H598" i="1"/>
  <c r="M598" i="1" s="1"/>
  <c r="G598" i="1"/>
  <c r="J597" i="1"/>
  <c r="I597" i="1"/>
  <c r="K597" i="1" s="1"/>
  <c r="H597" i="1"/>
  <c r="M597" i="1" s="1"/>
  <c r="G597" i="1"/>
  <c r="J596" i="1"/>
  <c r="I596" i="1"/>
  <c r="K596" i="1" s="1"/>
  <c r="H596" i="1"/>
  <c r="M596" i="1" s="1"/>
  <c r="G596" i="1"/>
  <c r="J595" i="1"/>
  <c r="I595" i="1"/>
  <c r="K595" i="1" s="1"/>
  <c r="H595" i="1"/>
  <c r="M595" i="1" s="1"/>
  <c r="G595" i="1"/>
  <c r="J594" i="1"/>
  <c r="I594" i="1"/>
  <c r="K594" i="1" s="1"/>
  <c r="H594" i="1"/>
  <c r="M594" i="1" s="1"/>
  <c r="G594" i="1"/>
  <c r="J593" i="1"/>
  <c r="I593" i="1"/>
  <c r="K593" i="1" s="1"/>
  <c r="H593" i="1"/>
  <c r="M593" i="1" s="1"/>
  <c r="G593" i="1"/>
  <c r="J592" i="1"/>
  <c r="I592" i="1"/>
  <c r="K592" i="1" s="1"/>
  <c r="H592" i="1"/>
  <c r="M592" i="1" s="1"/>
  <c r="G592" i="1"/>
  <c r="J591" i="1"/>
  <c r="I591" i="1"/>
  <c r="K591" i="1" s="1"/>
  <c r="H591" i="1"/>
  <c r="M591" i="1" s="1"/>
  <c r="G591" i="1"/>
  <c r="J590" i="1"/>
  <c r="I590" i="1"/>
  <c r="K590" i="1" s="1"/>
  <c r="H590" i="1"/>
  <c r="M590" i="1" s="1"/>
  <c r="G590" i="1"/>
  <c r="J589" i="1"/>
  <c r="I589" i="1"/>
  <c r="K589" i="1" s="1"/>
  <c r="H589" i="1"/>
  <c r="M589" i="1" s="1"/>
  <c r="G589" i="1"/>
  <c r="J588" i="1"/>
  <c r="I588" i="1"/>
  <c r="K588" i="1" s="1"/>
  <c r="H588" i="1"/>
  <c r="M588" i="1" s="1"/>
  <c r="G588" i="1"/>
  <c r="J587" i="1"/>
  <c r="I587" i="1"/>
  <c r="K587" i="1" s="1"/>
  <c r="H587" i="1"/>
  <c r="M587" i="1" s="1"/>
  <c r="G587" i="1"/>
  <c r="J586" i="1"/>
  <c r="I586" i="1"/>
  <c r="K586" i="1" s="1"/>
  <c r="H586" i="1"/>
  <c r="M586" i="1" s="1"/>
  <c r="G586" i="1"/>
  <c r="J585" i="1"/>
  <c r="I585" i="1"/>
  <c r="K585" i="1" s="1"/>
  <c r="H585" i="1"/>
  <c r="M585" i="1" s="1"/>
  <c r="G585" i="1"/>
  <c r="J584" i="1"/>
  <c r="I584" i="1"/>
  <c r="K584" i="1" s="1"/>
  <c r="H584" i="1"/>
  <c r="M584" i="1" s="1"/>
  <c r="G584" i="1"/>
  <c r="J583" i="1"/>
  <c r="I583" i="1"/>
  <c r="K583" i="1" s="1"/>
  <c r="H583" i="1"/>
  <c r="M583" i="1" s="1"/>
  <c r="G583" i="1"/>
  <c r="J582" i="1"/>
  <c r="I582" i="1"/>
  <c r="K582" i="1" s="1"/>
  <c r="H582" i="1"/>
  <c r="M582" i="1" s="1"/>
  <c r="G582" i="1"/>
  <c r="J581" i="1"/>
  <c r="I581" i="1"/>
  <c r="K581" i="1" s="1"/>
  <c r="H581" i="1"/>
  <c r="M581" i="1" s="1"/>
  <c r="G581" i="1"/>
  <c r="J580" i="1"/>
  <c r="I580" i="1"/>
  <c r="K580" i="1" s="1"/>
  <c r="H580" i="1"/>
  <c r="M580" i="1" s="1"/>
  <c r="G580" i="1"/>
  <c r="J579" i="1"/>
  <c r="I579" i="1"/>
  <c r="K579" i="1" s="1"/>
  <c r="H579" i="1"/>
  <c r="M579" i="1" s="1"/>
  <c r="G579" i="1"/>
  <c r="J578" i="1"/>
  <c r="I578" i="1"/>
  <c r="K578" i="1" s="1"/>
  <c r="H578" i="1"/>
  <c r="M578" i="1" s="1"/>
  <c r="G578" i="1"/>
  <c r="J577" i="1"/>
  <c r="I577" i="1"/>
  <c r="K577" i="1" s="1"/>
  <c r="H577" i="1"/>
  <c r="M577" i="1" s="1"/>
  <c r="G577" i="1"/>
  <c r="J576" i="1"/>
  <c r="I576" i="1"/>
  <c r="K576" i="1" s="1"/>
  <c r="H576" i="1"/>
  <c r="M576" i="1" s="1"/>
  <c r="G576" i="1"/>
  <c r="J575" i="1"/>
  <c r="I575" i="1"/>
  <c r="K575" i="1" s="1"/>
  <c r="H575" i="1"/>
  <c r="M575" i="1" s="1"/>
  <c r="G575" i="1"/>
  <c r="J574" i="1"/>
  <c r="I574" i="1"/>
  <c r="K574" i="1" s="1"/>
  <c r="H574" i="1"/>
  <c r="M574" i="1" s="1"/>
  <c r="G574" i="1"/>
  <c r="J573" i="1"/>
  <c r="I573" i="1"/>
  <c r="K573" i="1" s="1"/>
  <c r="H573" i="1"/>
  <c r="M573" i="1" s="1"/>
  <c r="G573" i="1"/>
  <c r="J572" i="1"/>
  <c r="I572" i="1"/>
  <c r="K572" i="1" s="1"/>
  <c r="H572" i="1"/>
  <c r="M572" i="1" s="1"/>
  <c r="G572" i="1"/>
  <c r="J571" i="1"/>
  <c r="I571" i="1"/>
  <c r="K571" i="1" s="1"/>
  <c r="H571" i="1"/>
  <c r="M571" i="1" s="1"/>
  <c r="G571" i="1"/>
  <c r="J570" i="1"/>
  <c r="I570" i="1"/>
  <c r="K570" i="1" s="1"/>
  <c r="H570" i="1"/>
  <c r="M570" i="1" s="1"/>
  <c r="G570" i="1"/>
  <c r="J569" i="1"/>
  <c r="I569" i="1"/>
  <c r="K569" i="1" s="1"/>
  <c r="H569" i="1"/>
  <c r="M569" i="1" s="1"/>
  <c r="G569" i="1"/>
  <c r="J568" i="1"/>
  <c r="I568" i="1"/>
  <c r="K568" i="1" s="1"/>
  <c r="H568" i="1"/>
  <c r="M568" i="1" s="1"/>
  <c r="G568" i="1"/>
  <c r="J567" i="1"/>
  <c r="I567" i="1"/>
  <c r="K567" i="1" s="1"/>
  <c r="H567" i="1"/>
  <c r="M567" i="1" s="1"/>
  <c r="G567" i="1"/>
  <c r="J566" i="1"/>
  <c r="I566" i="1"/>
  <c r="K566" i="1" s="1"/>
  <c r="H566" i="1"/>
  <c r="M566" i="1" s="1"/>
  <c r="G566" i="1"/>
  <c r="J565" i="1"/>
  <c r="I565" i="1"/>
  <c r="K565" i="1" s="1"/>
  <c r="H565" i="1"/>
  <c r="M565" i="1" s="1"/>
  <c r="G565" i="1"/>
  <c r="J564" i="1"/>
  <c r="I564" i="1"/>
  <c r="K564" i="1" s="1"/>
  <c r="H564" i="1"/>
  <c r="M564" i="1" s="1"/>
  <c r="G564" i="1"/>
  <c r="J563" i="1"/>
  <c r="I563" i="1"/>
  <c r="K563" i="1" s="1"/>
  <c r="H563" i="1"/>
  <c r="M563" i="1" s="1"/>
  <c r="G563" i="1"/>
  <c r="J562" i="1"/>
  <c r="I562" i="1"/>
  <c r="K562" i="1" s="1"/>
  <c r="H562" i="1"/>
  <c r="M562" i="1" s="1"/>
  <c r="G562" i="1"/>
  <c r="J561" i="1"/>
  <c r="I561" i="1"/>
  <c r="K561" i="1" s="1"/>
  <c r="H561" i="1"/>
  <c r="M561" i="1" s="1"/>
  <c r="G561" i="1"/>
  <c r="J560" i="1"/>
  <c r="I560" i="1"/>
  <c r="K560" i="1" s="1"/>
  <c r="H560" i="1"/>
  <c r="M560" i="1" s="1"/>
  <c r="G560" i="1"/>
  <c r="J559" i="1"/>
  <c r="I559" i="1"/>
  <c r="K559" i="1" s="1"/>
  <c r="H559" i="1"/>
  <c r="M559" i="1" s="1"/>
  <c r="G559" i="1"/>
  <c r="J558" i="1"/>
  <c r="I558" i="1"/>
  <c r="K558" i="1" s="1"/>
  <c r="H558" i="1"/>
  <c r="M558" i="1" s="1"/>
  <c r="G558" i="1"/>
  <c r="J557" i="1"/>
  <c r="I557" i="1"/>
  <c r="K557" i="1" s="1"/>
  <c r="H557" i="1"/>
  <c r="M557" i="1" s="1"/>
  <c r="G557" i="1"/>
  <c r="J556" i="1"/>
  <c r="I556" i="1"/>
  <c r="K556" i="1" s="1"/>
  <c r="H556" i="1"/>
  <c r="M556" i="1" s="1"/>
  <c r="G556" i="1"/>
  <c r="J555" i="1"/>
  <c r="I555" i="1"/>
  <c r="K555" i="1" s="1"/>
  <c r="H555" i="1"/>
  <c r="M555" i="1" s="1"/>
  <c r="G555" i="1"/>
  <c r="J554" i="1"/>
  <c r="I554" i="1"/>
  <c r="K554" i="1" s="1"/>
  <c r="H554" i="1"/>
  <c r="M554" i="1" s="1"/>
  <c r="G554" i="1"/>
  <c r="J553" i="1"/>
  <c r="I553" i="1"/>
  <c r="K553" i="1" s="1"/>
  <c r="H553" i="1"/>
  <c r="M553" i="1" s="1"/>
  <c r="G553" i="1"/>
  <c r="J552" i="1"/>
  <c r="I552" i="1"/>
  <c r="K552" i="1" s="1"/>
  <c r="H552" i="1"/>
  <c r="M552" i="1" s="1"/>
  <c r="G552" i="1"/>
  <c r="J551" i="1"/>
  <c r="I551" i="1"/>
  <c r="K551" i="1" s="1"/>
  <c r="H551" i="1"/>
  <c r="M551" i="1" s="1"/>
  <c r="G551" i="1"/>
  <c r="J550" i="1"/>
  <c r="I550" i="1"/>
  <c r="K550" i="1" s="1"/>
  <c r="H550" i="1"/>
  <c r="M550" i="1" s="1"/>
  <c r="G550" i="1"/>
  <c r="J549" i="1"/>
  <c r="I549" i="1"/>
  <c r="K549" i="1" s="1"/>
  <c r="H549" i="1"/>
  <c r="M549" i="1" s="1"/>
  <c r="G549" i="1"/>
  <c r="J548" i="1"/>
  <c r="I548" i="1"/>
  <c r="K548" i="1" s="1"/>
  <c r="H548" i="1"/>
  <c r="M548" i="1" s="1"/>
  <c r="G548" i="1"/>
  <c r="J547" i="1"/>
  <c r="I547" i="1"/>
  <c r="K547" i="1" s="1"/>
  <c r="H547" i="1"/>
  <c r="M547" i="1" s="1"/>
  <c r="G547" i="1"/>
  <c r="J546" i="1"/>
  <c r="I546" i="1"/>
  <c r="K546" i="1" s="1"/>
  <c r="H546" i="1"/>
  <c r="M546" i="1" s="1"/>
  <c r="G546" i="1"/>
  <c r="J545" i="1"/>
  <c r="I545" i="1"/>
  <c r="K545" i="1" s="1"/>
  <c r="H545" i="1"/>
  <c r="M545" i="1" s="1"/>
  <c r="G545" i="1"/>
  <c r="J544" i="1"/>
  <c r="I544" i="1"/>
  <c r="K544" i="1" s="1"/>
  <c r="H544" i="1"/>
  <c r="M544" i="1" s="1"/>
  <c r="G544" i="1"/>
  <c r="J543" i="1"/>
  <c r="I543" i="1"/>
  <c r="K543" i="1" s="1"/>
  <c r="H543" i="1"/>
  <c r="M543" i="1" s="1"/>
  <c r="G543" i="1"/>
  <c r="J542" i="1"/>
  <c r="I542" i="1"/>
  <c r="K542" i="1" s="1"/>
  <c r="H542" i="1"/>
  <c r="M542" i="1" s="1"/>
  <c r="G542" i="1"/>
  <c r="J541" i="1"/>
  <c r="I541" i="1"/>
  <c r="K541" i="1" s="1"/>
  <c r="H541" i="1"/>
  <c r="M541" i="1" s="1"/>
  <c r="G541" i="1"/>
  <c r="J540" i="1"/>
  <c r="I540" i="1"/>
  <c r="K540" i="1" s="1"/>
  <c r="H540" i="1"/>
  <c r="M540" i="1" s="1"/>
  <c r="G540" i="1"/>
  <c r="J539" i="1"/>
  <c r="I539" i="1"/>
  <c r="K539" i="1" s="1"/>
  <c r="H539" i="1"/>
  <c r="M539" i="1" s="1"/>
  <c r="G539" i="1"/>
  <c r="J538" i="1"/>
  <c r="I538" i="1"/>
  <c r="K538" i="1" s="1"/>
  <c r="H538" i="1"/>
  <c r="M538" i="1" s="1"/>
  <c r="G538" i="1"/>
  <c r="J537" i="1"/>
  <c r="I537" i="1"/>
  <c r="K537" i="1" s="1"/>
  <c r="H537" i="1"/>
  <c r="M537" i="1" s="1"/>
  <c r="G537" i="1"/>
  <c r="J536" i="1"/>
  <c r="I536" i="1"/>
  <c r="K536" i="1" s="1"/>
  <c r="H536" i="1"/>
  <c r="M536" i="1" s="1"/>
  <c r="G536" i="1"/>
  <c r="J535" i="1"/>
  <c r="I535" i="1"/>
  <c r="K535" i="1" s="1"/>
  <c r="H535" i="1"/>
  <c r="M535" i="1" s="1"/>
  <c r="G535" i="1"/>
  <c r="J534" i="1"/>
  <c r="I534" i="1"/>
  <c r="K534" i="1" s="1"/>
  <c r="H534" i="1"/>
  <c r="M534" i="1" s="1"/>
  <c r="G534" i="1"/>
  <c r="J533" i="1"/>
  <c r="I533" i="1"/>
  <c r="K533" i="1" s="1"/>
  <c r="H533" i="1"/>
  <c r="M533" i="1" s="1"/>
  <c r="G533" i="1"/>
  <c r="J532" i="1"/>
  <c r="I532" i="1"/>
  <c r="K532" i="1" s="1"/>
  <c r="H532" i="1"/>
  <c r="M532" i="1" s="1"/>
  <c r="G532" i="1"/>
  <c r="J531" i="1"/>
  <c r="I531" i="1"/>
  <c r="K531" i="1" s="1"/>
  <c r="H531" i="1"/>
  <c r="M531" i="1" s="1"/>
  <c r="G531" i="1"/>
  <c r="J530" i="1"/>
  <c r="I530" i="1"/>
  <c r="K530" i="1" s="1"/>
  <c r="H530" i="1"/>
  <c r="M530" i="1" s="1"/>
  <c r="G530" i="1"/>
  <c r="J529" i="1"/>
  <c r="I529" i="1"/>
  <c r="K529" i="1" s="1"/>
  <c r="H529" i="1"/>
  <c r="M529" i="1" s="1"/>
  <c r="G529" i="1"/>
  <c r="J528" i="1"/>
  <c r="I528" i="1"/>
  <c r="K528" i="1" s="1"/>
  <c r="H528" i="1"/>
  <c r="M528" i="1" s="1"/>
  <c r="G528" i="1"/>
  <c r="J527" i="1"/>
  <c r="I527" i="1"/>
  <c r="K527" i="1" s="1"/>
  <c r="H527" i="1"/>
  <c r="M527" i="1" s="1"/>
  <c r="G527" i="1"/>
  <c r="J526" i="1"/>
  <c r="I526" i="1"/>
  <c r="K526" i="1" s="1"/>
  <c r="H526" i="1"/>
  <c r="M526" i="1" s="1"/>
  <c r="G526" i="1"/>
  <c r="J525" i="1"/>
  <c r="I525" i="1"/>
  <c r="K525" i="1" s="1"/>
  <c r="H525" i="1"/>
  <c r="M525" i="1" s="1"/>
  <c r="G525" i="1"/>
  <c r="J524" i="1"/>
  <c r="I524" i="1"/>
  <c r="K524" i="1" s="1"/>
  <c r="H524" i="1"/>
  <c r="M524" i="1" s="1"/>
  <c r="G524" i="1"/>
  <c r="J523" i="1"/>
  <c r="I523" i="1"/>
  <c r="K523" i="1" s="1"/>
  <c r="H523" i="1"/>
  <c r="M523" i="1" s="1"/>
  <c r="G523" i="1"/>
  <c r="J522" i="1"/>
  <c r="I522" i="1"/>
  <c r="K522" i="1" s="1"/>
  <c r="H522" i="1"/>
  <c r="M522" i="1" s="1"/>
  <c r="G522" i="1"/>
  <c r="J521" i="1"/>
  <c r="I521" i="1"/>
  <c r="K521" i="1" s="1"/>
  <c r="H521" i="1"/>
  <c r="M521" i="1" s="1"/>
  <c r="G521" i="1"/>
  <c r="J520" i="1"/>
  <c r="I520" i="1"/>
  <c r="K520" i="1" s="1"/>
  <c r="H520" i="1"/>
  <c r="M520" i="1" s="1"/>
  <c r="G520" i="1"/>
  <c r="J519" i="1"/>
  <c r="I519" i="1"/>
  <c r="K519" i="1" s="1"/>
  <c r="H519" i="1"/>
  <c r="M519" i="1" s="1"/>
  <c r="G519" i="1"/>
  <c r="J518" i="1"/>
  <c r="I518" i="1"/>
  <c r="K518" i="1" s="1"/>
  <c r="H518" i="1"/>
  <c r="M518" i="1" s="1"/>
  <c r="G518" i="1"/>
  <c r="J517" i="1"/>
  <c r="I517" i="1"/>
  <c r="K517" i="1" s="1"/>
  <c r="H517" i="1"/>
  <c r="M517" i="1" s="1"/>
  <c r="G517" i="1"/>
  <c r="J516" i="1"/>
  <c r="I516" i="1"/>
  <c r="K516" i="1" s="1"/>
  <c r="H516" i="1"/>
  <c r="M516" i="1" s="1"/>
  <c r="G516" i="1"/>
  <c r="J515" i="1"/>
  <c r="I515" i="1"/>
  <c r="K515" i="1" s="1"/>
  <c r="H515" i="1"/>
  <c r="M515" i="1" s="1"/>
  <c r="G515" i="1"/>
  <c r="J514" i="1"/>
  <c r="I514" i="1"/>
  <c r="K514" i="1" s="1"/>
  <c r="H514" i="1"/>
  <c r="M514" i="1" s="1"/>
  <c r="G514" i="1"/>
  <c r="J513" i="1"/>
  <c r="I513" i="1"/>
  <c r="K513" i="1" s="1"/>
  <c r="H513" i="1"/>
  <c r="M513" i="1" s="1"/>
  <c r="G513" i="1"/>
  <c r="J512" i="1"/>
  <c r="I512" i="1"/>
  <c r="K512" i="1" s="1"/>
  <c r="H512" i="1"/>
  <c r="M512" i="1" s="1"/>
  <c r="G512" i="1"/>
  <c r="J511" i="1"/>
  <c r="I511" i="1"/>
  <c r="K511" i="1" s="1"/>
  <c r="H511" i="1"/>
  <c r="M511" i="1" s="1"/>
  <c r="G511" i="1"/>
  <c r="J510" i="1"/>
  <c r="I510" i="1"/>
  <c r="K510" i="1" s="1"/>
  <c r="H510" i="1"/>
  <c r="M510" i="1" s="1"/>
  <c r="G510" i="1"/>
  <c r="J509" i="1"/>
  <c r="I509" i="1"/>
  <c r="K509" i="1" s="1"/>
  <c r="H509" i="1"/>
  <c r="M509" i="1" s="1"/>
  <c r="G509" i="1"/>
  <c r="J508" i="1"/>
  <c r="I508" i="1"/>
  <c r="K508" i="1" s="1"/>
  <c r="H508" i="1"/>
  <c r="M508" i="1" s="1"/>
  <c r="G508" i="1"/>
  <c r="J507" i="1"/>
  <c r="I507" i="1"/>
  <c r="K507" i="1" s="1"/>
  <c r="H507" i="1"/>
  <c r="M507" i="1" s="1"/>
  <c r="G507" i="1"/>
  <c r="J506" i="1"/>
  <c r="I506" i="1"/>
  <c r="K506" i="1" s="1"/>
  <c r="H506" i="1"/>
  <c r="M506" i="1" s="1"/>
  <c r="G506" i="1"/>
  <c r="J505" i="1"/>
  <c r="I505" i="1"/>
  <c r="K505" i="1" s="1"/>
  <c r="H505" i="1"/>
  <c r="M505" i="1" s="1"/>
  <c r="G505" i="1"/>
  <c r="J504" i="1"/>
  <c r="I504" i="1"/>
  <c r="K504" i="1" s="1"/>
  <c r="H504" i="1"/>
  <c r="M504" i="1" s="1"/>
  <c r="G504" i="1"/>
  <c r="J503" i="1"/>
  <c r="I503" i="1"/>
  <c r="K503" i="1" s="1"/>
  <c r="H503" i="1"/>
  <c r="M503" i="1" s="1"/>
  <c r="G503" i="1"/>
  <c r="J502" i="1"/>
  <c r="I502" i="1"/>
  <c r="K502" i="1" s="1"/>
  <c r="H502" i="1"/>
  <c r="M502" i="1" s="1"/>
  <c r="G502" i="1"/>
  <c r="J501" i="1"/>
  <c r="I501" i="1"/>
  <c r="K501" i="1" s="1"/>
  <c r="H501" i="1"/>
  <c r="M501" i="1" s="1"/>
  <c r="G501" i="1"/>
  <c r="J500" i="1"/>
  <c r="I500" i="1"/>
  <c r="K500" i="1" s="1"/>
  <c r="H500" i="1"/>
  <c r="M500" i="1" s="1"/>
  <c r="G500" i="1"/>
  <c r="J499" i="1"/>
  <c r="I499" i="1"/>
  <c r="K499" i="1" s="1"/>
  <c r="H499" i="1"/>
  <c r="M499" i="1" s="1"/>
  <c r="G499" i="1"/>
  <c r="J498" i="1"/>
  <c r="I498" i="1"/>
  <c r="K498" i="1" s="1"/>
  <c r="H498" i="1"/>
  <c r="M498" i="1" s="1"/>
  <c r="G498" i="1"/>
  <c r="J497" i="1"/>
  <c r="I497" i="1"/>
  <c r="K497" i="1" s="1"/>
  <c r="H497" i="1"/>
  <c r="M497" i="1" s="1"/>
  <c r="G497" i="1"/>
  <c r="J496" i="1"/>
  <c r="I496" i="1"/>
  <c r="K496" i="1" s="1"/>
  <c r="H496" i="1"/>
  <c r="M496" i="1" s="1"/>
  <c r="G496" i="1"/>
  <c r="J495" i="1"/>
  <c r="I495" i="1"/>
  <c r="K495" i="1" s="1"/>
  <c r="H495" i="1"/>
  <c r="M495" i="1" s="1"/>
  <c r="G495" i="1"/>
  <c r="J494" i="1"/>
  <c r="I494" i="1"/>
  <c r="K494" i="1" s="1"/>
  <c r="H494" i="1"/>
  <c r="M494" i="1" s="1"/>
  <c r="G494" i="1"/>
  <c r="J493" i="1"/>
  <c r="I493" i="1"/>
  <c r="K493" i="1" s="1"/>
  <c r="H493" i="1"/>
  <c r="M493" i="1" s="1"/>
  <c r="G493" i="1"/>
  <c r="J492" i="1"/>
  <c r="I492" i="1"/>
  <c r="K492" i="1" s="1"/>
  <c r="H492" i="1"/>
  <c r="M492" i="1" s="1"/>
  <c r="G492" i="1"/>
  <c r="J491" i="1"/>
  <c r="I491" i="1"/>
  <c r="K491" i="1" s="1"/>
  <c r="H491" i="1"/>
  <c r="M491" i="1" s="1"/>
  <c r="G491" i="1"/>
  <c r="J490" i="1"/>
  <c r="I490" i="1"/>
  <c r="K490" i="1" s="1"/>
  <c r="H490" i="1"/>
  <c r="M490" i="1" s="1"/>
  <c r="G490" i="1"/>
  <c r="J489" i="1"/>
  <c r="I489" i="1"/>
  <c r="K489" i="1" s="1"/>
  <c r="H489" i="1"/>
  <c r="M489" i="1" s="1"/>
  <c r="G489" i="1"/>
  <c r="J488" i="1"/>
  <c r="I488" i="1"/>
  <c r="K488" i="1" s="1"/>
  <c r="H488" i="1"/>
  <c r="M488" i="1" s="1"/>
  <c r="G488" i="1"/>
  <c r="J487" i="1"/>
  <c r="I487" i="1"/>
  <c r="K487" i="1" s="1"/>
  <c r="H487" i="1"/>
  <c r="M487" i="1" s="1"/>
  <c r="G487" i="1"/>
  <c r="J486" i="1"/>
  <c r="I486" i="1"/>
  <c r="K486" i="1" s="1"/>
  <c r="H486" i="1"/>
  <c r="M486" i="1" s="1"/>
  <c r="G486" i="1"/>
  <c r="J485" i="1"/>
  <c r="I485" i="1"/>
  <c r="K485" i="1" s="1"/>
  <c r="H485" i="1"/>
  <c r="M485" i="1" s="1"/>
  <c r="G485" i="1"/>
  <c r="J484" i="1"/>
  <c r="I484" i="1"/>
  <c r="K484" i="1" s="1"/>
  <c r="H484" i="1"/>
  <c r="M484" i="1" s="1"/>
  <c r="G484" i="1"/>
  <c r="J483" i="1"/>
  <c r="I483" i="1"/>
  <c r="K483" i="1" s="1"/>
  <c r="H483" i="1"/>
  <c r="M483" i="1" s="1"/>
  <c r="G483" i="1"/>
  <c r="J482" i="1"/>
  <c r="I482" i="1"/>
  <c r="K482" i="1" s="1"/>
  <c r="H482" i="1"/>
  <c r="M482" i="1" s="1"/>
  <c r="G482" i="1"/>
  <c r="J481" i="1"/>
  <c r="I481" i="1"/>
  <c r="K481" i="1" s="1"/>
  <c r="H481" i="1"/>
  <c r="M481" i="1" s="1"/>
  <c r="G481" i="1"/>
  <c r="J480" i="1"/>
  <c r="I480" i="1"/>
  <c r="K480" i="1" s="1"/>
  <c r="H480" i="1"/>
  <c r="M480" i="1" s="1"/>
  <c r="G480" i="1"/>
  <c r="J479" i="1"/>
  <c r="I479" i="1"/>
  <c r="K479" i="1" s="1"/>
  <c r="H479" i="1"/>
  <c r="M479" i="1" s="1"/>
  <c r="G479" i="1"/>
  <c r="J478" i="1"/>
  <c r="I478" i="1"/>
  <c r="K478" i="1" s="1"/>
  <c r="H478" i="1"/>
  <c r="M478" i="1" s="1"/>
  <c r="G478" i="1"/>
  <c r="J477" i="1"/>
  <c r="I477" i="1"/>
  <c r="K477" i="1" s="1"/>
  <c r="H477" i="1"/>
  <c r="M477" i="1" s="1"/>
  <c r="G477" i="1"/>
  <c r="J476" i="1"/>
  <c r="I476" i="1"/>
  <c r="K476" i="1" s="1"/>
  <c r="H476" i="1"/>
  <c r="M476" i="1" s="1"/>
  <c r="G476" i="1"/>
  <c r="J475" i="1"/>
  <c r="I475" i="1"/>
  <c r="K475" i="1" s="1"/>
  <c r="H475" i="1"/>
  <c r="M475" i="1" s="1"/>
  <c r="G475" i="1"/>
  <c r="J474" i="1"/>
  <c r="I474" i="1"/>
  <c r="K474" i="1" s="1"/>
  <c r="H474" i="1"/>
  <c r="M474" i="1" s="1"/>
  <c r="G474" i="1"/>
  <c r="J473" i="1"/>
  <c r="I473" i="1"/>
  <c r="K473" i="1" s="1"/>
  <c r="H473" i="1"/>
  <c r="M473" i="1" s="1"/>
  <c r="G473" i="1"/>
  <c r="J472" i="1"/>
  <c r="I472" i="1"/>
  <c r="K472" i="1" s="1"/>
  <c r="H472" i="1"/>
  <c r="M472" i="1" s="1"/>
  <c r="G472" i="1"/>
  <c r="J471" i="1"/>
  <c r="I471" i="1"/>
  <c r="K471" i="1" s="1"/>
  <c r="H471" i="1"/>
  <c r="M471" i="1" s="1"/>
  <c r="G471" i="1"/>
  <c r="J470" i="1"/>
  <c r="I470" i="1"/>
  <c r="K470" i="1" s="1"/>
  <c r="H470" i="1"/>
  <c r="M470" i="1" s="1"/>
  <c r="G470" i="1"/>
  <c r="J469" i="1"/>
  <c r="I469" i="1"/>
  <c r="K469" i="1" s="1"/>
  <c r="H469" i="1"/>
  <c r="M469" i="1" s="1"/>
  <c r="G469" i="1"/>
  <c r="J468" i="1"/>
  <c r="I468" i="1"/>
  <c r="K468" i="1" s="1"/>
  <c r="H468" i="1"/>
  <c r="M468" i="1" s="1"/>
  <c r="G468" i="1"/>
  <c r="J467" i="1"/>
  <c r="I467" i="1"/>
  <c r="K467" i="1" s="1"/>
  <c r="H467" i="1"/>
  <c r="M467" i="1" s="1"/>
  <c r="G467" i="1"/>
  <c r="J466" i="1"/>
  <c r="I466" i="1"/>
  <c r="K466" i="1" s="1"/>
  <c r="H466" i="1"/>
  <c r="M466" i="1" s="1"/>
  <c r="G466" i="1"/>
  <c r="J465" i="1"/>
  <c r="I465" i="1"/>
  <c r="K465" i="1" s="1"/>
  <c r="H465" i="1"/>
  <c r="M465" i="1" s="1"/>
  <c r="G465" i="1"/>
  <c r="J464" i="1"/>
  <c r="I464" i="1"/>
  <c r="K464" i="1" s="1"/>
  <c r="H464" i="1"/>
  <c r="M464" i="1" s="1"/>
  <c r="G464" i="1"/>
  <c r="J463" i="1"/>
  <c r="I463" i="1"/>
  <c r="K463" i="1" s="1"/>
  <c r="H463" i="1"/>
  <c r="M463" i="1" s="1"/>
  <c r="G463" i="1"/>
  <c r="J462" i="1"/>
  <c r="I462" i="1"/>
  <c r="K462" i="1" s="1"/>
  <c r="H462" i="1"/>
  <c r="M462" i="1" s="1"/>
  <c r="G462" i="1"/>
  <c r="J461" i="1"/>
  <c r="I461" i="1"/>
  <c r="K461" i="1" s="1"/>
  <c r="H461" i="1"/>
  <c r="M461" i="1" s="1"/>
  <c r="G461" i="1"/>
  <c r="J460" i="1"/>
  <c r="I460" i="1"/>
  <c r="K460" i="1" s="1"/>
  <c r="H460" i="1"/>
  <c r="M460" i="1" s="1"/>
  <c r="G460" i="1"/>
  <c r="J459" i="1"/>
  <c r="I459" i="1"/>
  <c r="K459" i="1" s="1"/>
  <c r="H459" i="1"/>
  <c r="M459" i="1" s="1"/>
  <c r="G459" i="1"/>
  <c r="J458" i="1"/>
  <c r="I458" i="1"/>
  <c r="K458" i="1" s="1"/>
  <c r="H458" i="1"/>
  <c r="M458" i="1" s="1"/>
  <c r="G458" i="1"/>
  <c r="J457" i="1"/>
  <c r="I457" i="1"/>
  <c r="K457" i="1" s="1"/>
  <c r="H457" i="1"/>
  <c r="M457" i="1" s="1"/>
  <c r="G457" i="1"/>
  <c r="J456" i="1"/>
  <c r="I456" i="1"/>
  <c r="K456" i="1" s="1"/>
  <c r="H456" i="1"/>
  <c r="M456" i="1" s="1"/>
  <c r="G456" i="1"/>
  <c r="J455" i="1"/>
  <c r="I455" i="1"/>
  <c r="K455" i="1" s="1"/>
  <c r="H455" i="1"/>
  <c r="M455" i="1" s="1"/>
  <c r="G455" i="1"/>
  <c r="J454" i="1"/>
  <c r="I454" i="1"/>
  <c r="K454" i="1" s="1"/>
  <c r="H454" i="1"/>
  <c r="M454" i="1" s="1"/>
  <c r="G454" i="1"/>
  <c r="J453" i="1"/>
  <c r="I453" i="1"/>
  <c r="K453" i="1" s="1"/>
  <c r="H453" i="1"/>
  <c r="M453" i="1" s="1"/>
  <c r="G453" i="1"/>
  <c r="J452" i="1"/>
  <c r="I452" i="1"/>
  <c r="K452" i="1" s="1"/>
  <c r="H452" i="1"/>
  <c r="M452" i="1" s="1"/>
  <c r="G452" i="1"/>
  <c r="J451" i="1"/>
  <c r="I451" i="1"/>
  <c r="K451" i="1" s="1"/>
  <c r="H451" i="1"/>
  <c r="M451" i="1" s="1"/>
  <c r="G451" i="1"/>
  <c r="J450" i="1"/>
  <c r="I450" i="1"/>
  <c r="K450" i="1" s="1"/>
  <c r="H450" i="1"/>
  <c r="M450" i="1" s="1"/>
  <c r="G450" i="1"/>
  <c r="J449" i="1"/>
  <c r="I449" i="1"/>
  <c r="K449" i="1" s="1"/>
  <c r="H449" i="1"/>
  <c r="M449" i="1" s="1"/>
  <c r="G449" i="1"/>
  <c r="J448" i="1"/>
  <c r="I448" i="1"/>
  <c r="K448" i="1" s="1"/>
  <c r="H448" i="1"/>
  <c r="M448" i="1" s="1"/>
  <c r="G448" i="1"/>
  <c r="J447" i="1"/>
  <c r="I447" i="1"/>
  <c r="K447" i="1" s="1"/>
  <c r="H447" i="1"/>
  <c r="M447" i="1" s="1"/>
  <c r="G447" i="1"/>
  <c r="J446" i="1"/>
  <c r="I446" i="1"/>
  <c r="K446" i="1" s="1"/>
  <c r="H446" i="1"/>
  <c r="M446" i="1" s="1"/>
  <c r="G446" i="1"/>
  <c r="J445" i="1"/>
  <c r="I445" i="1"/>
  <c r="K445" i="1" s="1"/>
  <c r="H445" i="1"/>
  <c r="M445" i="1" s="1"/>
  <c r="G445" i="1"/>
  <c r="J444" i="1"/>
  <c r="I444" i="1"/>
  <c r="K444" i="1" s="1"/>
  <c r="H444" i="1"/>
  <c r="M444" i="1" s="1"/>
  <c r="G444" i="1"/>
  <c r="J443" i="1"/>
  <c r="I443" i="1"/>
  <c r="K443" i="1" s="1"/>
  <c r="H443" i="1"/>
  <c r="M443" i="1" s="1"/>
  <c r="G443" i="1"/>
  <c r="J442" i="1"/>
  <c r="I442" i="1"/>
  <c r="K442" i="1" s="1"/>
  <c r="H442" i="1"/>
  <c r="M442" i="1" s="1"/>
  <c r="G442" i="1"/>
  <c r="J441" i="1"/>
  <c r="I441" i="1"/>
  <c r="K441" i="1" s="1"/>
  <c r="H441" i="1"/>
  <c r="M441" i="1" s="1"/>
  <c r="G441" i="1"/>
  <c r="J440" i="1"/>
  <c r="I440" i="1"/>
  <c r="K440" i="1" s="1"/>
  <c r="H440" i="1"/>
  <c r="M440" i="1" s="1"/>
  <c r="G440" i="1"/>
  <c r="J439" i="1"/>
  <c r="I439" i="1"/>
  <c r="K439" i="1" s="1"/>
  <c r="H439" i="1"/>
  <c r="M439" i="1" s="1"/>
  <c r="G439" i="1"/>
  <c r="J438" i="1"/>
  <c r="I438" i="1"/>
  <c r="K438" i="1" s="1"/>
  <c r="H438" i="1"/>
  <c r="M438" i="1" s="1"/>
  <c r="G438" i="1"/>
  <c r="J437" i="1"/>
  <c r="I437" i="1"/>
  <c r="K437" i="1" s="1"/>
  <c r="H437" i="1"/>
  <c r="M437" i="1" s="1"/>
  <c r="G437" i="1"/>
  <c r="J436" i="1"/>
  <c r="I436" i="1"/>
  <c r="K436" i="1" s="1"/>
  <c r="H436" i="1"/>
  <c r="M436" i="1" s="1"/>
  <c r="G436" i="1"/>
  <c r="J435" i="1"/>
  <c r="I435" i="1"/>
  <c r="K435" i="1" s="1"/>
  <c r="H435" i="1"/>
  <c r="M435" i="1" s="1"/>
  <c r="G435" i="1"/>
  <c r="J434" i="1"/>
  <c r="I434" i="1"/>
  <c r="K434" i="1" s="1"/>
  <c r="H434" i="1"/>
  <c r="M434" i="1" s="1"/>
  <c r="G434" i="1"/>
  <c r="J433" i="1"/>
  <c r="I433" i="1"/>
  <c r="K433" i="1" s="1"/>
  <c r="H433" i="1"/>
  <c r="M433" i="1" s="1"/>
  <c r="G433" i="1"/>
  <c r="J432" i="1"/>
  <c r="I432" i="1"/>
  <c r="K432" i="1" s="1"/>
  <c r="H432" i="1"/>
  <c r="M432" i="1" s="1"/>
  <c r="G432" i="1"/>
  <c r="J431" i="1"/>
  <c r="I431" i="1"/>
  <c r="K431" i="1" s="1"/>
  <c r="H431" i="1"/>
  <c r="M431" i="1" s="1"/>
  <c r="G431" i="1"/>
  <c r="J430" i="1"/>
  <c r="I430" i="1"/>
  <c r="K430" i="1" s="1"/>
  <c r="H430" i="1"/>
  <c r="M430" i="1" s="1"/>
  <c r="G430" i="1"/>
  <c r="J429" i="1"/>
  <c r="I429" i="1"/>
  <c r="K429" i="1" s="1"/>
  <c r="H429" i="1"/>
  <c r="M429" i="1" s="1"/>
  <c r="G429" i="1"/>
  <c r="J428" i="1"/>
  <c r="I428" i="1"/>
  <c r="K428" i="1" s="1"/>
  <c r="H428" i="1"/>
  <c r="M428" i="1" s="1"/>
  <c r="G428" i="1"/>
  <c r="J427" i="1"/>
  <c r="I427" i="1"/>
  <c r="K427" i="1" s="1"/>
  <c r="H427" i="1"/>
  <c r="M427" i="1" s="1"/>
  <c r="G427" i="1"/>
  <c r="J426" i="1"/>
  <c r="I426" i="1"/>
  <c r="K426" i="1" s="1"/>
  <c r="H426" i="1"/>
  <c r="M426" i="1" s="1"/>
  <c r="G426" i="1"/>
  <c r="J425" i="1"/>
  <c r="I425" i="1"/>
  <c r="K425" i="1" s="1"/>
  <c r="H425" i="1"/>
  <c r="M425" i="1" s="1"/>
  <c r="G425" i="1"/>
  <c r="J424" i="1"/>
  <c r="I424" i="1"/>
  <c r="K424" i="1" s="1"/>
  <c r="H424" i="1"/>
  <c r="M424" i="1" s="1"/>
  <c r="G424" i="1"/>
  <c r="J423" i="1"/>
  <c r="I423" i="1"/>
  <c r="K423" i="1" s="1"/>
  <c r="H423" i="1"/>
  <c r="M423" i="1" s="1"/>
  <c r="G423" i="1"/>
  <c r="J422" i="1"/>
  <c r="I422" i="1"/>
  <c r="K422" i="1" s="1"/>
  <c r="H422" i="1"/>
  <c r="M422" i="1" s="1"/>
  <c r="G422" i="1"/>
  <c r="J421" i="1"/>
  <c r="I421" i="1"/>
  <c r="K421" i="1" s="1"/>
  <c r="H421" i="1"/>
  <c r="M421" i="1" s="1"/>
  <c r="G421" i="1"/>
  <c r="J420" i="1"/>
  <c r="I420" i="1"/>
  <c r="K420" i="1" s="1"/>
  <c r="H420" i="1"/>
  <c r="M420" i="1" s="1"/>
  <c r="G420" i="1"/>
  <c r="J419" i="1"/>
  <c r="I419" i="1"/>
  <c r="K419" i="1" s="1"/>
  <c r="H419" i="1"/>
  <c r="M419" i="1" s="1"/>
  <c r="G419" i="1"/>
  <c r="J418" i="1"/>
  <c r="I418" i="1"/>
  <c r="K418" i="1" s="1"/>
  <c r="H418" i="1"/>
  <c r="M418" i="1" s="1"/>
  <c r="G418" i="1"/>
  <c r="J417" i="1"/>
  <c r="I417" i="1"/>
  <c r="K417" i="1" s="1"/>
  <c r="H417" i="1"/>
  <c r="M417" i="1" s="1"/>
  <c r="G417" i="1"/>
  <c r="J416" i="1"/>
  <c r="I416" i="1"/>
  <c r="K416" i="1" s="1"/>
  <c r="H416" i="1"/>
  <c r="M416" i="1" s="1"/>
  <c r="G416" i="1"/>
  <c r="J415" i="1"/>
  <c r="I415" i="1"/>
  <c r="K415" i="1" s="1"/>
  <c r="H415" i="1"/>
  <c r="M415" i="1" s="1"/>
  <c r="G415" i="1"/>
  <c r="J414" i="1"/>
  <c r="I414" i="1"/>
  <c r="K414" i="1" s="1"/>
  <c r="H414" i="1"/>
  <c r="M414" i="1" s="1"/>
  <c r="G414" i="1"/>
  <c r="J413" i="1"/>
  <c r="I413" i="1"/>
  <c r="K413" i="1" s="1"/>
  <c r="H413" i="1"/>
  <c r="M413" i="1" s="1"/>
  <c r="G413" i="1"/>
  <c r="J412" i="1"/>
  <c r="I412" i="1"/>
  <c r="K412" i="1" s="1"/>
  <c r="H412" i="1"/>
  <c r="M412" i="1" s="1"/>
  <c r="G412" i="1"/>
  <c r="J411" i="1"/>
  <c r="I411" i="1"/>
  <c r="K411" i="1" s="1"/>
  <c r="H411" i="1"/>
  <c r="M411" i="1" s="1"/>
  <c r="G411" i="1"/>
  <c r="J410" i="1"/>
  <c r="I410" i="1"/>
  <c r="K410" i="1" s="1"/>
  <c r="H410" i="1"/>
  <c r="M410" i="1" s="1"/>
  <c r="G410" i="1"/>
  <c r="J409" i="1"/>
  <c r="I409" i="1"/>
  <c r="K409" i="1" s="1"/>
  <c r="H409" i="1"/>
  <c r="M409" i="1" s="1"/>
  <c r="G409" i="1"/>
  <c r="J408" i="1"/>
  <c r="I408" i="1"/>
  <c r="K408" i="1" s="1"/>
  <c r="H408" i="1"/>
  <c r="M408" i="1" s="1"/>
  <c r="G408" i="1"/>
  <c r="J407" i="1"/>
  <c r="I407" i="1"/>
  <c r="K407" i="1" s="1"/>
  <c r="H407" i="1"/>
  <c r="M407" i="1" s="1"/>
  <c r="G407" i="1"/>
  <c r="J406" i="1"/>
  <c r="I406" i="1"/>
  <c r="K406" i="1" s="1"/>
  <c r="H406" i="1"/>
  <c r="M406" i="1" s="1"/>
  <c r="G406" i="1"/>
  <c r="J405" i="1"/>
  <c r="I405" i="1"/>
  <c r="K405" i="1" s="1"/>
  <c r="H405" i="1"/>
  <c r="M405" i="1" s="1"/>
  <c r="G405" i="1"/>
  <c r="J404" i="1"/>
  <c r="I404" i="1"/>
  <c r="K404" i="1" s="1"/>
  <c r="H404" i="1"/>
  <c r="M404" i="1" s="1"/>
  <c r="G404" i="1"/>
  <c r="J403" i="1"/>
  <c r="I403" i="1"/>
  <c r="K403" i="1" s="1"/>
  <c r="H403" i="1"/>
  <c r="M403" i="1" s="1"/>
  <c r="G403" i="1"/>
  <c r="J402" i="1"/>
  <c r="I402" i="1"/>
  <c r="K402" i="1" s="1"/>
  <c r="H402" i="1"/>
  <c r="M402" i="1" s="1"/>
  <c r="G402" i="1"/>
  <c r="J401" i="1"/>
  <c r="I401" i="1"/>
  <c r="K401" i="1" s="1"/>
  <c r="H401" i="1"/>
  <c r="M401" i="1" s="1"/>
  <c r="G401" i="1"/>
  <c r="J400" i="1"/>
  <c r="I400" i="1"/>
  <c r="K400" i="1" s="1"/>
  <c r="H400" i="1"/>
  <c r="M400" i="1" s="1"/>
  <c r="G400" i="1"/>
  <c r="J399" i="1"/>
  <c r="I399" i="1"/>
  <c r="K399" i="1" s="1"/>
  <c r="H399" i="1"/>
  <c r="M399" i="1" s="1"/>
  <c r="G399" i="1"/>
  <c r="J398" i="1"/>
  <c r="I398" i="1"/>
  <c r="K398" i="1" s="1"/>
  <c r="H398" i="1"/>
  <c r="M398" i="1" s="1"/>
  <c r="G398" i="1"/>
  <c r="J397" i="1"/>
  <c r="I397" i="1"/>
  <c r="K397" i="1" s="1"/>
  <c r="H397" i="1"/>
  <c r="M397" i="1" s="1"/>
  <c r="G397" i="1"/>
  <c r="J396" i="1"/>
  <c r="I396" i="1"/>
  <c r="K396" i="1" s="1"/>
  <c r="H396" i="1"/>
  <c r="M396" i="1" s="1"/>
  <c r="G396" i="1"/>
  <c r="J395" i="1"/>
  <c r="I395" i="1"/>
  <c r="K395" i="1" s="1"/>
  <c r="H395" i="1"/>
  <c r="M395" i="1" s="1"/>
  <c r="G395" i="1"/>
  <c r="J394" i="1"/>
  <c r="I394" i="1"/>
  <c r="K394" i="1" s="1"/>
  <c r="H394" i="1"/>
  <c r="M394" i="1" s="1"/>
  <c r="G394" i="1"/>
  <c r="J393" i="1"/>
  <c r="I393" i="1"/>
  <c r="K393" i="1" s="1"/>
  <c r="H393" i="1"/>
  <c r="M393" i="1" s="1"/>
  <c r="G393" i="1"/>
  <c r="J392" i="1"/>
  <c r="I392" i="1"/>
  <c r="K392" i="1" s="1"/>
  <c r="H392" i="1"/>
  <c r="M392" i="1" s="1"/>
  <c r="G392" i="1"/>
  <c r="J391" i="1"/>
  <c r="I391" i="1"/>
  <c r="K391" i="1" s="1"/>
  <c r="H391" i="1"/>
  <c r="M391" i="1" s="1"/>
  <c r="G391" i="1"/>
  <c r="J390" i="1"/>
  <c r="I390" i="1"/>
  <c r="K390" i="1" s="1"/>
  <c r="H390" i="1"/>
  <c r="M390" i="1" s="1"/>
  <c r="G390" i="1"/>
  <c r="J389" i="1"/>
  <c r="I389" i="1"/>
  <c r="K389" i="1" s="1"/>
  <c r="H389" i="1"/>
  <c r="M389" i="1" s="1"/>
  <c r="G389" i="1"/>
  <c r="J388" i="1"/>
  <c r="I388" i="1"/>
  <c r="K388" i="1" s="1"/>
  <c r="H388" i="1"/>
  <c r="M388" i="1" s="1"/>
  <c r="G388" i="1"/>
  <c r="J387" i="1"/>
  <c r="I387" i="1"/>
  <c r="K387" i="1" s="1"/>
  <c r="H387" i="1"/>
  <c r="M387" i="1" s="1"/>
  <c r="G387" i="1"/>
  <c r="J386" i="1"/>
  <c r="I386" i="1"/>
  <c r="K386" i="1" s="1"/>
  <c r="H386" i="1"/>
  <c r="M386" i="1" s="1"/>
  <c r="G386" i="1"/>
  <c r="J385" i="1"/>
  <c r="I385" i="1"/>
  <c r="K385" i="1" s="1"/>
  <c r="H385" i="1"/>
  <c r="M385" i="1" s="1"/>
  <c r="G385" i="1"/>
  <c r="J384" i="1"/>
  <c r="I384" i="1"/>
  <c r="K384" i="1" s="1"/>
  <c r="H384" i="1"/>
  <c r="M384" i="1" s="1"/>
  <c r="G384" i="1"/>
  <c r="J383" i="1"/>
  <c r="I383" i="1"/>
  <c r="K383" i="1" s="1"/>
  <c r="H383" i="1"/>
  <c r="M383" i="1" s="1"/>
  <c r="G383" i="1"/>
  <c r="J382" i="1"/>
  <c r="I382" i="1"/>
  <c r="K382" i="1" s="1"/>
  <c r="H382" i="1"/>
  <c r="M382" i="1" s="1"/>
  <c r="G382" i="1"/>
  <c r="J381" i="1"/>
  <c r="I381" i="1"/>
  <c r="K381" i="1" s="1"/>
  <c r="H381" i="1"/>
  <c r="M381" i="1" s="1"/>
  <c r="G381" i="1"/>
  <c r="J380" i="1"/>
  <c r="I380" i="1"/>
  <c r="K380" i="1" s="1"/>
  <c r="H380" i="1"/>
  <c r="M380" i="1" s="1"/>
  <c r="G380" i="1"/>
  <c r="J379" i="1"/>
  <c r="I379" i="1"/>
  <c r="K379" i="1" s="1"/>
  <c r="H379" i="1"/>
  <c r="M379" i="1" s="1"/>
  <c r="G379" i="1"/>
  <c r="J378" i="1"/>
  <c r="I378" i="1"/>
  <c r="K378" i="1" s="1"/>
  <c r="H378" i="1"/>
  <c r="M378" i="1" s="1"/>
  <c r="G378" i="1"/>
  <c r="J377" i="1"/>
  <c r="I377" i="1"/>
  <c r="K377" i="1" s="1"/>
  <c r="H377" i="1"/>
  <c r="M377" i="1" s="1"/>
  <c r="G377" i="1"/>
  <c r="J376" i="1"/>
  <c r="I376" i="1"/>
  <c r="K376" i="1" s="1"/>
  <c r="H376" i="1"/>
  <c r="M376" i="1" s="1"/>
  <c r="G376" i="1"/>
  <c r="J375" i="1"/>
  <c r="I375" i="1"/>
  <c r="K375" i="1" s="1"/>
  <c r="H375" i="1"/>
  <c r="M375" i="1" s="1"/>
  <c r="G375" i="1"/>
  <c r="J374" i="1"/>
  <c r="I374" i="1"/>
  <c r="K374" i="1" s="1"/>
  <c r="H374" i="1"/>
  <c r="M374" i="1" s="1"/>
  <c r="G374" i="1"/>
  <c r="J373" i="1"/>
  <c r="I373" i="1"/>
  <c r="K373" i="1" s="1"/>
  <c r="H373" i="1"/>
  <c r="M373" i="1" s="1"/>
  <c r="G373" i="1"/>
  <c r="J372" i="1"/>
  <c r="I372" i="1"/>
  <c r="K372" i="1" s="1"/>
  <c r="H372" i="1"/>
  <c r="M372" i="1" s="1"/>
  <c r="G372" i="1"/>
  <c r="J371" i="1"/>
  <c r="I371" i="1"/>
  <c r="K371" i="1" s="1"/>
  <c r="H371" i="1"/>
  <c r="M371" i="1" s="1"/>
  <c r="G371" i="1"/>
  <c r="J370" i="1"/>
  <c r="I370" i="1"/>
  <c r="K370" i="1" s="1"/>
  <c r="H370" i="1"/>
  <c r="M370" i="1" s="1"/>
  <c r="G370" i="1"/>
  <c r="J369" i="1"/>
  <c r="I369" i="1"/>
  <c r="K369" i="1" s="1"/>
  <c r="H369" i="1"/>
  <c r="M369" i="1" s="1"/>
  <c r="G369" i="1"/>
  <c r="J368" i="1"/>
  <c r="I368" i="1"/>
  <c r="K368" i="1" s="1"/>
  <c r="H368" i="1"/>
  <c r="M368" i="1" s="1"/>
  <c r="G368" i="1"/>
  <c r="J367" i="1"/>
  <c r="I367" i="1"/>
  <c r="K367" i="1" s="1"/>
  <c r="H367" i="1"/>
  <c r="M367" i="1" s="1"/>
  <c r="G367" i="1"/>
  <c r="J366" i="1"/>
  <c r="I366" i="1"/>
  <c r="K366" i="1" s="1"/>
  <c r="H366" i="1"/>
  <c r="M366" i="1" s="1"/>
  <c r="G366" i="1"/>
  <c r="J365" i="1"/>
  <c r="I365" i="1"/>
  <c r="K365" i="1" s="1"/>
  <c r="H365" i="1"/>
  <c r="M365" i="1" s="1"/>
  <c r="G365" i="1"/>
  <c r="J364" i="1"/>
  <c r="I364" i="1"/>
  <c r="K364" i="1" s="1"/>
  <c r="H364" i="1"/>
  <c r="M364" i="1" s="1"/>
  <c r="G364" i="1"/>
  <c r="J363" i="1"/>
  <c r="I363" i="1"/>
  <c r="K363" i="1" s="1"/>
  <c r="H363" i="1"/>
  <c r="M363" i="1" s="1"/>
  <c r="G363" i="1"/>
  <c r="J362" i="1"/>
  <c r="I362" i="1"/>
  <c r="K362" i="1" s="1"/>
  <c r="H362" i="1"/>
  <c r="M362" i="1" s="1"/>
  <c r="G362" i="1"/>
  <c r="J361" i="1"/>
  <c r="I361" i="1"/>
  <c r="K361" i="1" s="1"/>
  <c r="H361" i="1"/>
  <c r="M361" i="1" s="1"/>
  <c r="G361" i="1"/>
  <c r="J360" i="1"/>
  <c r="I360" i="1"/>
  <c r="K360" i="1" s="1"/>
  <c r="H360" i="1"/>
  <c r="M360" i="1" s="1"/>
  <c r="G360" i="1"/>
  <c r="J359" i="1"/>
  <c r="I359" i="1"/>
  <c r="K359" i="1" s="1"/>
  <c r="H359" i="1"/>
  <c r="M359" i="1" s="1"/>
  <c r="G359" i="1"/>
  <c r="J358" i="1"/>
  <c r="I358" i="1"/>
  <c r="K358" i="1" s="1"/>
  <c r="H358" i="1"/>
  <c r="M358" i="1" s="1"/>
  <c r="G358" i="1"/>
  <c r="J357" i="1"/>
  <c r="I357" i="1"/>
  <c r="K357" i="1" s="1"/>
  <c r="H357" i="1"/>
  <c r="M357" i="1" s="1"/>
  <c r="G357" i="1"/>
  <c r="J356" i="1"/>
  <c r="I356" i="1"/>
  <c r="K356" i="1" s="1"/>
  <c r="H356" i="1"/>
  <c r="M356" i="1" s="1"/>
  <c r="G356" i="1"/>
  <c r="J355" i="1"/>
  <c r="I355" i="1"/>
  <c r="K355" i="1" s="1"/>
  <c r="H355" i="1"/>
  <c r="M355" i="1" s="1"/>
  <c r="G355" i="1"/>
  <c r="J354" i="1"/>
  <c r="I354" i="1"/>
  <c r="K354" i="1" s="1"/>
  <c r="H354" i="1"/>
  <c r="M354" i="1" s="1"/>
  <c r="G354" i="1"/>
  <c r="J353" i="1"/>
  <c r="I353" i="1"/>
  <c r="K353" i="1" s="1"/>
  <c r="H353" i="1"/>
  <c r="M353" i="1" s="1"/>
  <c r="G353" i="1"/>
  <c r="J352" i="1"/>
  <c r="I352" i="1"/>
  <c r="K352" i="1" s="1"/>
  <c r="H352" i="1"/>
  <c r="M352" i="1" s="1"/>
  <c r="G352" i="1"/>
  <c r="J351" i="1"/>
  <c r="I351" i="1"/>
  <c r="K351" i="1" s="1"/>
  <c r="H351" i="1"/>
  <c r="M351" i="1" s="1"/>
  <c r="G351" i="1"/>
  <c r="J350" i="1"/>
  <c r="I350" i="1"/>
  <c r="K350" i="1" s="1"/>
  <c r="H350" i="1"/>
  <c r="M350" i="1" s="1"/>
  <c r="G350" i="1"/>
  <c r="J349" i="1"/>
  <c r="I349" i="1"/>
  <c r="K349" i="1" s="1"/>
  <c r="H349" i="1"/>
  <c r="M349" i="1" s="1"/>
  <c r="G349" i="1"/>
  <c r="J348" i="1"/>
  <c r="I348" i="1"/>
  <c r="K348" i="1" s="1"/>
  <c r="H348" i="1"/>
  <c r="M348" i="1" s="1"/>
  <c r="G348" i="1"/>
  <c r="J347" i="1"/>
  <c r="I347" i="1"/>
  <c r="K347" i="1" s="1"/>
  <c r="H347" i="1"/>
  <c r="M347" i="1" s="1"/>
  <c r="G347" i="1"/>
  <c r="J346" i="1"/>
  <c r="I346" i="1"/>
  <c r="K346" i="1" s="1"/>
  <c r="H346" i="1"/>
  <c r="M346" i="1" s="1"/>
  <c r="G346" i="1"/>
  <c r="J345" i="1"/>
  <c r="I345" i="1"/>
  <c r="K345" i="1" s="1"/>
  <c r="H345" i="1"/>
  <c r="M345" i="1" s="1"/>
  <c r="G345" i="1"/>
  <c r="J344" i="1"/>
  <c r="I344" i="1"/>
  <c r="K344" i="1" s="1"/>
  <c r="H344" i="1"/>
  <c r="M344" i="1" s="1"/>
  <c r="G344" i="1"/>
  <c r="J343" i="1"/>
  <c r="I343" i="1"/>
  <c r="K343" i="1" s="1"/>
  <c r="H343" i="1"/>
  <c r="M343" i="1" s="1"/>
  <c r="G343" i="1"/>
  <c r="J342" i="1"/>
  <c r="I342" i="1"/>
  <c r="K342" i="1" s="1"/>
  <c r="H342" i="1"/>
  <c r="M342" i="1" s="1"/>
  <c r="G342" i="1"/>
  <c r="J341" i="1"/>
  <c r="I341" i="1"/>
  <c r="K341" i="1" s="1"/>
  <c r="H341" i="1"/>
  <c r="M341" i="1" s="1"/>
  <c r="G341" i="1"/>
  <c r="J340" i="1"/>
  <c r="I340" i="1"/>
  <c r="K340" i="1" s="1"/>
  <c r="H340" i="1"/>
  <c r="M340" i="1" s="1"/>
  <c r="G340" i="1"/>
  <c r="J339" i="1"/>
  <c r="I339" i="1"/>
  <c r="K339" i="1" s="1"/>
  <c r="H339" i="1"/>
  <c r="M339" i="1" s="1"/>
  <c r="G339" i="1"/>
  <c r="J338" i="1"/>
  <c r="I338" i="1"/>
  <c r="K338" i="1" s="1"/>
  <c r="H338" i="1"/>
  <c r="M338" i="1" s="1"/>
  <c r="G338" i="1"/>
  <c r="J337" i="1"/>
  <c r="I337" i="1"/>
  <c r="K337" i="1" s="1"/>
  <c r="H337" i="1"/>
  <c r="M337" i="1" s="1"/>
  <c r="G337" i="1"/>
  <c r="J336" i="1"/>
  <c r="I336" i="1"/>
  <c r="K336" i="1" s="1"/>
  <c r="H336" i="1"/>
  <c r="M336" i="1" s="1"/>
  <c r="G336" i="1"/>
  <c r="J335" i="1"/>
  <c r="I335" i="1"/>
  <c r="K335" i="1" s="1"/>
  <c r="H335" i="1"/>
  <c r="M335" i="1" s="1"/>
  <c r="G335" i="1"/>
  <c r="J334" i="1"/>
  <c r="I334" i="1"/>
  <c r="K334" i="1" s="1"/>
  <c r="H334" i="1"/>
  <c r="M334" i="1" s="1"/>
  <c r="G334" i="1"/>
  <c r="J333" i="1"/>
  <c r="I333" i="1"/>
  <c r="K333" i="1" s="1"/>
  <c r="H333" i="1"/>
  <c r="M333" i="1" s="1"/>
  <c r="G333" i="1"/>
  <c r="J332" i="1"/>
  <c r="I332" i="1"/>
  <c r="K332" i="1" s="1"/>
  <c r="H332" i="1"/>
  <c r="M332" i="1" s="1"/>
  <c r="G332" i="1"/>
  <c r="J331" i="1"/>
  <c r="I331" i="1"/>
  <c r="K331" i="1" s="1"/>
  <c r="H331" i="1"/>
  <c r="M331" i="1" s="1"/>
  <c r="G331" i="1"/>
  <c r="J330" i="1"/>
  <c r="I330" i="1"/>
  <c r="K330" i="1" s="1"/>
  <c r="H330" i="1"/>
  <c r="M330" i="1" s="1"/>
  <c r="G330" i="1"/>
  <c r="J329" i="1"/>
  <c r="I329" i="1"/>
  <c r="K329" i="1" s="1"/>
  <c r="H329" i="1"/>
  <c r="M329" i="1" s="1"/>
  <c r="G329" i="1"/>
  <c r="J328" i="1"/>
  <c r="I328" i="1"/>
  <c r="K328" i="1" s="1"/>
  <c r="H328" i="1"/>
  <c r="M328" i="1" s="1"/>
  <c r="G328" i="1"/>
  <c r="J327" i="1"/>
  <c r="I327" i="1"/>
  <c r="K327" i="1" s="1"/>
  <c r="H327" i="1"/>
  <c r="M327" i="1" s="1"/>
  <c r="G327" i="1"/>
  <c r="J326" i="1"/>
  <c r="I326" i="1"/>
  <c r="K326" i="1" s="1"/>
  <c r="H326" i="1"/>
  <c r="M326" i="1" s="1"/>
  <c r="G326" i="1"/>
  <c r="J325" i="1"/>
  <c r="I325" i="1"/>
  <c r="K325" i="1" s="1"/>
  <c r="H325" i="1"/>
  <c r="M325" i="1" s="1"/>
  <c r="G325" i="1"/>
  <c r="J324" i="1"/>
  <c r="I324" i="1"/>
  <c r="K324" i="1" s="1"/>
  <c r="H324" i="1"/>
  <c r="M324" i="1" s="1"/>
  <c r="G324" i="1"/>
  <c r="J323" i="1"/>
  <c r="I323" i="1"/>
  <c r="K323" i="1" s="1"/>
  <c r="H323" i="1"/>
  <c r="M323" i="1" s="1"/>
  <c r="G323" i="1"/>
  <c r="J322" i="1"/>
  <c r="I322" i="1"/>
  <c r="K322" i="1" s="1"/>
  <c r="H322" i="1"/>
  <c r="M322" i="1" s="1"/>
  <c r="G322" i="1"/>
  <c r="J321" i="1"/>
  <c r="I321" i="1"/>
  <c r="K321" i="1" s="1"/>
  <c r="H321" i="1"/>
  <c r="M321" i="1" s="1"/>
  <c r="G321" i="1"/>
  <c r="J320" i="1"/>
  <c r="I320" i="1"/>
  <c r="K320" i="1" s="1"/>
  <c r="H320" i="1"/>
  <c r="M320" i="1" s="1"/>
  <c r="G320" i="1"/>
  <c r="J319" i="1"/>
  <c r="I319" i="1"/>
  <c r="K319" i="1" s="1"/>
  <c r="H319" i="1"/>
  <c r="M319" i="1" s="1"/>
  <c r="G319" i="1"/>
  <c r="J318" i="1"/>
  <c r="I318" i="1"/>
  <c r="K318" i="1" s="1"/>
  <c r="H318" i="1"/>
  <c r="M318" i="1" s="1"/>
  <c r="G318" i="1"/>
  <c r="J317" i="1"/>
  <c r="I317" i="1"/>
  <c r="K317" i="1" s="1"/>
  <c r="H317" i="1"/>
  <c r="M317" i="1" s="1"/>
  <c r="G317" i="1"/>
  <c r="J316" i="1"/>
  <c r="I316" i="1"/>
  <c r="K316" i="1" s="1"/>
  <c r="H316" i="1"/>
  <c r="M316" i="1" s="1"/>
  <c r="G316" i="1"/>
  <c r="J315" i="1"/>
  <c r="I315" i="1"/>
  <c r="K315" i="1" s="1"/>
  <c r="H315" i="1"/>
  <c r="M315" i="1" s="1"/>
  <c r="G315" i="1"/>
  <c r="J314" i="1"/>
  <c r="I314" i="1"/>
  <c r="K314" i="1" s="1"/>
  <c r="H314" i="1"/>
  <c r="M314" i="1" s="1"/>
  <c r="G314" i="1"/>
  <c r="J313" i="1"/>
  <c r="I313" i="1"/>
  <c r="K313" i="1" s="1"/>
  <c r="H313" i="1"/>
  <c r="M313" i="1" s="1"/>
  <c r="G313" i="1"/>
  <c r="J312" i="1"/>
  <c r="I312" i="1"/>
  <c r="K312" i="1" s="1"/>
  <c r="H312" i="1"/>
  <c r="M312" i="1" s="1"/>
  <c r="G312" i="1"/>
  <c r="J311" i="1"/>
  <c r="I311" i="1"/>
  <c r="K311" i="1" s="1"/>
  <c r="H311" i="1"/>
  <c r="M311" i="1" s="1"/>
  <c r="G311" i="1"/>
  <c r="J310" i="1"/>
  <c r="I310" i="1"/>
  <c r="K310" i="1" s="1"/>
  <c r="H310" i="1"/>
  <c r="M310" i="1" s="1"/>
  <c r="G310" i="1"/>
  <c r="J309" i="1"/>
  <c r="I309" i="1"/>
  <c r="K309" i="1" s="1"/>
  <c r="H309" i="1"/>
  <c r="M309" i="1" s="1"/>
  <c r="G309" i="1"/>
  <c r="J308" i="1"/>
  <c r="I308" i="1"/>
  <c r="K308" i="1" s="1"/>
  <c r="H308" i="1"/>
  <c r="M308" i="1" s="1"/>
  <c r="G308" i="1"/>
  <c r="J307" i="1"/>
  <c r="I307" i="1"/>
  <c r="K307" i="1" s="1"/>
  <c r="H307" i="1"/>
  <c r="M307" i="1" s="1"/>
  <c r="G307" i="1"/>
  <c r="J306" i="1"/>
  <c r="I306" i="1"/>
  <c r="K306" i="1" s="1"/>
  <c r="H306" i="1"/>
  <c r="M306" i="1" s="1"/>
  <c r="G306" i="1"/>
  <c r="J305" i="1"/>
  <c r="I305" i="1"/>
  <c r="K305" i="1" s="1"/>
  <c r="H305" i="1"/>
  <c r="M305" i="1" s="1"/>
  <c r="G305" i="1"/>
  <c r="J304" i="1"/>
  <c r="I304" i="1"/>
  <c r="K304" i="1" s="1"/>
  <c r="H304" i="1"/>
  <c r="M304" i="1" s="1"/>
  <c r="G304" i="1"/>
  <c r="J303" i="1"/>
  <c r="I303" i="1"/>
  <c r="K303" i="1" s="1"/>
  <c r="H303" i="1"/>
  <c r="M303" i="1" s="1"/>
  <c r="G303" i="1"/>
  <c r="J302" i="1"/>
  <c r="I302" i="1"/>
  <c r="K302" i="1" s="1"/>
  <c r="H302" i="1"/>
  <c r="M302" i="1" s="1"/>
  <c r="G302" i="1"/>
  <c r="J301" i="1"/>
  <c r="I301" i="1"/>
  <c r="K301" i="1" s="1"/>
  <c r="H301" i="1"/>
  <c r="M301" i="1" s="1"/>
  <c r="G301" i="1"/>
  <c r="J300" i="1"/>
  <c r="I300" i="1"/>
  <c r="K300" i="1" s="1"/>
  <c r="H300" i="1"/>
  <c r="M300" i="1" s="1"/>
  <c r="G300" i="1"/>
  <c r="J299" i="1"/>
  <c r="I299" i="1"/>
  <c r="K299" i="1" s="1"/>
  <c r="H299" i="1"/>
  <c r="M299" i="1" s="1"/>
  <c r="G299" i="1"/>
  <c r="J298" i="1"/>
  <c r="I298" i="1"/>
  <c r="K298" i="1" s="1"/>
  <c r="H298" i="1"/>
  <c r="M298" i="1" s="1"/>
  <c r="G298" i="1"/>
  <c r="J297" i="1"/>
  <c r="I297" i="1"/>
  <c r="K297" i="1" s="1"/>
  <c r="H297" i="1"/>
  <c r="M297" i="1" s="1"/>
  <c r="G297" i="1"/>
  <c r="J296" i="1"/>
  <c r="I296" i="1"/>
  <c r="K296" i="1" s="1"/>
  <c r="H296" i="1"/>
  <c r="M296" i="1" s="1"/>
  <c r="G296" i="1"/>
  <c r="J295" i="1"/>
  <c r="I295" i="1"/>
  <c r="K295" i="1" s="1"/>
  <c r="H295" i="1"/>
  <c r="M295" i="1" s="1"/>
  <c r="G295" i="1"/>
  <c r="J294" i="1"/>
  <c r="I294" i="1"/>
  <c r="K294" i="1" s="1"/>
  <c r="H294" i="1"/>
  <c r="M294" i="1" s="1"/>
  <c r="G294" i="1"/>
  <c r="J293" i="1"/>
  <c r="I293" i="1"/>
  <c r="K293" i="1" s="1"/>
  <c r="H293" i="1"/>
  <c r="M293" i="1" s="1"/>
  <c r="G293" i="1"/>
  <c r="J292" i="1"/>
  <c r="I292" i="1"/>
  <c r="K292" i="1" s="1"/>
  <c r="H292" i="1"/>
  <c r="M292" i="1" s="1"/>
  <c r="G292" i="1"/>
  <c r="J291" i="1"/>
  <c r="I291" i="1"/>
  <c r="K291" i="1" s="1"/>
  <c r="H291" i="1"/>
  <c r="M291" i="1" s="1"/>
  <c r="G291" i="1"/>
  <c r="J290" i="1"/>
  <c r="I290" i="1"/>
  <c r="K290" i="1" s="1"/>
  <c r="H290" i="1"/>
  <c r="M290" i="1" s="1"/>
  <c r="G290" i="1"/>
  <c r="J289" i="1"/>
  <c r="I289" i="1"/>
  <c r="K289" i="1" s="1"/>
  <c r="H289" i="1"/>
  <c r="M289" i="1" s="1"/>
  <c r="G289" i="1"/>
  <c r="J288" i="1"/>
  <c r="I288" i="1"/>
  <c r="K288" i="1" s="1"/>
  <c r="H288" i="1"/>
  <c r="M288" i="1" s="1"/>
  <c r="G288" i="1"/>
  <c r="J287" i="1"/>
  <c r="I287" i="1"/>
  <c r="K287" i="1" s="1"/>
  <c r="H287" i="1"/>
  <c r="M287" i="1" s="1"/>
  <c r="G287" i="1"/>
  <c r="J286" i="1"/>
  <c r="I286" i="1"/>
  <c r="K286" i="1" s="1"/>
  <c r="H286" i="1"/>
  <c r="M286" i="1" s="1"/>
  <c r="G286" i="1"/>
  <c r="J285" i="1"/>
  <c r="I285" i="1"/>
  <c r="K285" i="1" s="1"/>
  <c r="H285" i="1"/>
  <c r="M285" i="1" s="1"/>
  <c r="G285" i="1"/>
  <c r="J284" i="1"/>
  <c r="I284" i="1"/>
  <c r="K284" i="1" s="1"/>
  <c r="H284" i="1"/>
  <c r="M284" i="1" s="1"/>
  <c r="G284" i="1"/>
  <c r="J283" i="1"/>
  <c r="I283" i="1"/>
  <c r="K283" i="1" s="1"/>
  <c r="H283" i="1"/>
  <c r="M283" i="1" s="1"/>
  <c r="G283" i="1"/>
  <c r="J282" i="1"/>
  <c r="I282" i="1"/>
  <c r="K282" i="1" s="1"/>
  <c r="H282" i="1"/>
  <c r="M282" i="1" s="1"/>
  <c r="G282" i="1"/>
  <c r="J281" i="1"/>
  <c r="I281" i="1"/>
  <c r="K281" i="1" s="1"/>
  <c r="H281" i="1"/>
  <c r="M281" i="1" s="1"/>
  <c r="G281" i="1"/>
  <c r="J280" i="1"/>
  <c r="I280" i="1"/>
  <c r="K280" i="1" s="1"/>
  <c r="H280" i="1"/>
  <c r="M280" i="1" s="1"/>
  <c r="G280" i="1"/>
  <c r="J279" i="1"/>
  <c r="I279" i="1"/>
  <c r="K279" i="1" s="1"/>
  <c r="H279" i="1"/>
  <c r="M279" i="1" s="1"/>
  <c r="G279" i="1"/>
  <c r="J278" i="1"/>
  <c r="I278" i="1"/>
  <c r="K278" i="1" s="1"/>
  <c r="H278" i="1"/>
  <c r="M278" i="1" s="1"/>
  <c r="G278" i="1"/>
  <c r="J277" i="1"/>
  <c r="I277" i="1"/>
  <c r="K277" i="1" s="1"/>
  <c r="H277" i="1"/>
  <c r="M277" i="1" s="1"/>
  <c r="G277" i="1"/>
  <c r="J276" i="1"/>
  <c r="I276" i="1"/>
  <c r="K276" i="1" s="1"/>
  <c r="H276" i="1"/>
  <c r="M276" i="1" s="1"/>
  <c r="G276" i="1"/>
  <c r="J275" i="1"/>
  <c r="I275" i="1"/>
  <c r="K275" i="1" s="1"/>
  <c r="H275" i="1"/>
  <c r="M275" i="1" s="1"/>
  <c r="G275" i="1"/>
  <c r="J274" i="1"/>
  <c r="I274" i="1"/>
  <c r="K274" i="1" s="1"/>
  <c r="H274" i="1"/>
  <c r="M274" i="1" s="1"/>
  <c r="G274" i="1"/>
  <c r="J273" i="1"/>
  <c r="I273" i="1"/>
  <c r="K273" i="1" s="1"/>
  <c r="H273" i="1"/>
  <c r="M273" i="1" s="1"/>
  <c r="G273" i="1"/>
  <c r="J272" i="1"/>
  <c r="I272" i="1"/>
  <c r="K272" i="1" s="1"/>
  <c r="H272" i="1"/>
  <c r="M272" i="1" s="1"/>
  <c r="G272" i="1"/>
  <c r="J271" i="1"/>
  <c r="I271" i="1"/>
  <c r="K271" i="1" s="1"/>
  <c r="H271" i="1"/>
  <c r="M271" i="1" s="1"/>
  <c r="G271" i="1"/>
  <c r="J270" i="1"/>
  <c r="I270" i="1"/>
  <c r="K270" i="1" s="1"/>
  <c r="H270" i="1"/>
  <c r="M270" i="1" s="1"/>
  <c r="G270" i="1"/>
  <c r="J269" i="1"/>
  <c r="I269" i="1"/>
  <c r="K269" i="1" s="1"/>
  <c r="H269" i="1"/>
  <c r="M269" i="1" s="1"/>
  <c r="G269" i="1"/>
  <c r="J268" i="1"/>
  <c r="I268" i="1"/>
  <c r="K268" i="1" s="1"/>
  <c r="H268" i="1"/>
  <c r="M268" i="1" s="1"/>
  <c r="G268" i="1"/>
  <c r="J267" i="1"/>
  <c r="I267" i="1"/>
  <c r="K267" i="1" s="1"/>
  <c r="H267" i="1"/>
  <c r="M267" i="1" s="1"/>
  <c r="G267" i="1"/>
  <c r="J266" i="1"/>
  <c r="I266" i="1"/>
  <c r="K266" i="1" s="1"/>
  <c r="H266" i="1"/>
  <c r="M266" i="1" s="1"/>
  <c r="G266" i="1"/>
  <c r="J265" i="1"/>
  <c r="I265" i="1"/>
  <c r="K265" i="1" s="1"/>
  <c r="H265" i="1"/>
  <c r="M265" i="1" s="1"/>
  <c r="G265" i="1"/>
  <c r="J264" i="1"/>
  <c r="I264" i="1"/>
  <c r="K264" i="1" s="1"/>
  <c r="H264" i="1"/>
  <c r="M264" i="1" s="1"/>
  <c r="G264" i="1"/>
  <c r="J263" i="1"/>
  <c r="I263" i="1"/>
  <c r="K263" i="1" s="1"/>
  <c r="H263" i="1"/>
  <c r="M263" i="1" s="1"/>
  <c r="G263" i="1"/>
  <c r="J262" i="1"/>
  <c r="I262" i="1"/>
  <c r="K262" i="1" s="1"/>
  <c r="H262" i="1"/>
  <c r="M262" i="1" s="1"/>
  <c r="G262" i="1"/>
  <c r="J261" i="1"/>
  <c r="I261" i="1"/>
  <c r="K261" i="1" s="1"/>
  <c r="H261" i="1"/>
  <c r="M261" i="1" s="1"/>
  <c r="G261" i="1"/>
  <c r="J260" i="1"/>
  <c r="I260" i="1"/>
  <c r="K260" i="1" s="1"/>
  <c r="H260" i="1"/>
  <c r="M260" i="1" s="1"/>
  <c r="G260" i="1"/>
  <c r="J259" i="1"/>
  <c r="I259" i="1"/>
  <c r="K259" i="1" s="1"/>
  <c r="H259" i="1"/>
  <c r="M259" i="1" s="1"/>
  <c r="G259" i="1"/>
  <c r="J258" i="1"/>
  <c r="I258" i="1"/>
  <c r="K258" i="1" s="1"/>
  <c r="H258" i="1"/>
  <c r="M258" i="1" s="1"/>
  <c r="G258" i="1"/>
  <c r="J257" i="1"/>
  <c r="I257" i="1"/>
  <c r="K257" i="1" s="1"/>
  <c r="H257" i="1"/>
  <c r="M257" i="1" s="1"/>
  <c r="G257" i="1"/>
  <c r="J256" i="1"/>
  <c r="I256" i="1"/>
  <c r="K256" i="1" s="1"/>
  <c r="H256" i="1"/>
  <c r="M256" i="1" s="1"/>
  <c r="G256" i="1"/>
  <c r="J255" i="1"/>
  <c r="I255" i="1"/>
  <c r="K255" i="1" s="1"/>
  <c r="H255" i="1"/>
  <c r="M255" i="1" s="1"/>
  <c r="G255" i="1"/>
  <c r="J254" i="1"/>
  <c r="I254" i="1"/>
  <c r="K254" i="1" s="1"/>
  <c r="H254" i="1"/>
  <c r="M254" i="1" s="1"/>
  <c r="G254" i="1"/>
  <c r="J253" i="1"/>
  <c r="I253" i="1"/>
  <c r="K253" i="1" s="1"/>
  <c r="H253" i="1"/>
  <c r="M253" i="1" s="1"/>
  <c r="G253" i="1"/>
  <c r="J252" i="1"/>
  <c r="I252" i="1"/>
  <c r="K252" i="1" s="1"/>
  <c r="H252" i="1"/>
  <c r="M252" i="1" s="1"/>
  <c r="G252" i="1"/>
  <c r="J251" i="1"/>
  <c r="I251" i="1"/>
  <c r="K251" i="1" s="1"/>
  <c r="H251" i="1"/>
  <c r="M251" i="1" s="1"/>
  <c r="G251" i="1"/>
  <c r="J250" i="1"/>
  <c r="I250" i="1"/>
  <c r="K250" i="1" s="1"/>
  <c r="H250" i="1"/>
  <c r="M250" i="1" s="1"/>
  <c r="G250" i="1"/>
  <c r="J249" i="1"/>
  <c r="I249" i="1"/>
  <c r="K249" i="1" s="1"/>
  <c r="H249" i="1"/>
  <c r="M249" i="1" s="1"/>
  <c r="G249" i="1"/>
  <c r="J248" i="1"/>
  <c r="I248" i="1"/>
  <c r="K248" i="1" s="1"/>
  <c r="H248" i="1"/>
  <c r="M248" i="1" s="1"/>
  <c r="G248" i="1"/>
  <c r="J247" i="1"/>
  <c r="I247" i="1"/>
  <c r="K247" i="1" s="1"/>
  <c r="H247" i="1"/>
  <c r="M247" i="1" s="1"/>
  <c r="G247" i="1"/>
  <c r="J246" i="1"/>
  <c r="I246" i="1"/>
  <c r="K246" i="1" s="1"/>
  <c r="H246" i="1"/>
  <c r="M246" i="1" s="1"/>
  <c r="G246" i="1"/>
  <c r="J245" i="1"/>
  <c r="I245" i="1"/>
  <c r="K245" i="1" s="1"/>
  <c r="H245" i="1"/>
  <c r="M245" i="1" s="1"/>
  <c r="G245" i="1"/>
  <c r="J244" i="1"/>
  <c r="I244" i="1"/>
  <c r="K244" i="1" s="1"/>
  <c r="H244" i="1"/>
  <c r="M244" i="1" s="1"/>
  <c r="G244" i="1"/>
  <c r="J243" i="1"/>
  <c r="I243" i="1"/>
  <c r="K243" i="1" s="1"/>
  <c r="H243" i="1"/>
  <c r="M243" i="1" s="1"/>
  <c r="G243" i="1"/>
  <c r="J242" i="1"/>
  <c r="I242" i="1"/>
  <c r="K242" i="1" s="1"/>
  <c r="H242" i="1"/>
  <c r="M242" i="1" s="1"/>
  <c r="G242" i="1"/>
  <c r="J241" i="1"/>
  <c r="I241" i="1"/>
  <c r="K241" i="1" s="1"/>
  <c r="H241" i="1"/>
  <c r="M241" i="1" s="1"/>
  <c r="G241" i="1"/>
  <c r="J240" i="1"/>
  <c r="I240" i="1"/>
  <c r="K240" i="1" s="1"/>
  <c r="H240" i="1"/>
  <c r="M240" i="1" s="1"/>
  <c r="G240" i="1"/>
  <c r="J239" i="1"/>
  <c r="I239" i="1"/>
  <c r="K239" i="1" s="1"/>
  <c r="H239" i="1"/>
  <c r="M239" i="1" s="1"/>
  <c r="G239" i="1"/>
  <c r="J238" i="1"/>
  <c r="I238" i="1"/>
  <c r="K238" i="1" s="1"/>
  <c r="H238" i="1"/>
  <c r="M238" i="1" s="1"/>
  <c r="G238" i="1"/>
  <c r="J237" i="1"/>
  <c r="I237" i="1"/>
  <c r="K237" i="1" s="1"/>
  <c r="H237" i="1"/>
  <c r="M237" i="1" s="1"/>
  <c r="G237" i="1"/>
  <c r="J236" i="1"/>
  <c r="I236" i="1"/>
  <c r="K236" i="1" s="1"/>
  <c r="H236" i="1"/>
  <c r="M236" i="1" s="1"/>
  <c r="G236" i="1"/>
  <c r="J235" i="1"/>
  <c r="I235" i="1"/>
  <c r="K235" i="1" s="1"/>
  <c r="H235" i="1"/>
  <c r="M235" i="1" s="1"/>
  <c r="G235" i="1"/>
  <c r="J234" i="1"/>
  <c r="I234" i="1"/>
  <c r="K234" i="1" s="1"/>
  <c r="H234" i="1"/>
  <c r="M234" i="1" s="1"/>
  <c r="G234" i="1"/>
  <c r="J233" i="1"/>
  <c r="I233" i="1"/>
  <c r="K233" i="1" s="1"/>
  <c r="H233" i="1"/>
  <c r="M233" i="1" s="1"/>
  <c r="G233" i="1"/>
  <c r="J232" i="1"/>
  <c r="I232" i="1"/>
  <c r="K232" i="1" s="1"/>
  <c r="H232" i="1"/>
  <c r="M232" i="1" s="1"/>
  <c r="G232" i="1"/>
  <c r="J231" i="1"/>
  <c r="I231" i="1"/>
  <c r="K231" i="1" s="1"/>
  <c r="H231" i="1"/>
  <c r="M231" i="1" s="1"/>
  <c r="G231" i="1"/>
  <c r="J230" i="1"/>
  <c r="I230" i="1"/>
  <c r="K230" i="1" s="1"/>
  <c r="H230" i="1"/>
  <c r="M230" i="1" s="1"/>
  <c r="G230" i="1"/>
  <c r="J229" i="1"/>
  <c r="I229" i="1"/>
  <c r="K229" i="1" s="1"/>
  <c r="H229" i="1"/>
  <c r="M229" i="1" s="1"/>
  <c r="G229" i="1"/>
  <c r="J228" i="1"/>
  <c r="I228" i="1"/>
  <c r="K228" i="1" s="1"/>
  <c r="H228" i="1"/>
  <c r="M228" i="1" s="1"/>
  <c r="G228" i="1"/>
  <c r="J227" i="1"/>
  <c r="I227" i="1"/>
  <c r="K227" i="1" s="1"/>
  <c r="H227" i="1"/>
  <c r="M227" i="1" s="1"/>
  <c r="G227" i="1"/>
  <c r="J226" i="1"/>
  <c r="I226" i="1"/>
  <c r="K226" i="1" s="1"/>
  <c r="H226" i="1"/>
  <c r="M226" i="1" s="1"/>
  <c r="G226" i="1"/>
  <c r="J225" i="1"/>
  <c r="I225" i="1"/>
  <c r="K225" i="1" s="1"/>
  <c r="H225" i="1"/>
  <c r="M225" i="1" s="1"/>
  <c r="G225" i="1"/>
  <c r="J224" i="1"/>
  <c r="I224" i="1"/>
  <c r="K224" i="1" s="1"/>
  <c r="H224" i="1"/>
  <c r="M224" i="1" s="1"/>
  <c r="G224" i="1"/>
  <c r="J223" i="1"/>
  <c r="I223" i="1"/>
  <c r="K223" i="1" s="1"/>
  <c r="H223" i="1"/>
  <c r="M223" i="1" s="1"/>
  <c r="G223" i="1"/>
  <c r="J222" i="1"/>
  <c r="I222" i="1"/>
  <c r="K222" i="1" s="1"/>
  <c r="H222" i="1"/>
  <c r="M222" i="1" s="1"/>
  <c r="G222" i="1"/>
  <c r="J221" i="1"/>
  <c r="I221" i="1"/>
  <c r="K221" i="1" s="1"/>
  <c r="H221" i="1"/>
  <c r="M221" i="1" s="1"/>
  <c r="G221" i="1"/>
  <c r="J220" i="1"/>
  <c r="I220" i="1"/>
  <c r="K220" i="1" s="1"/>
  <c r="H220" i="1"/>
  <c r="M220" i="1" s="1"/>
  <c r="G220" i="1"/>
  <c r="J219" i="1"/>
  <c r="I219" i="1"/>
  <c r="K219" i="1" s="1"/>
  <c r="H219" i="1"/>
  <c r="M219" i="1" s="1"/>
  <c r="G219" i="1"/>
  <c r="J218" i="1"/>
  <c r="I218" i="1"/>
  <c r="K218" i="1" s="1"/>
  <c r="H218" i="1"/>
  <c r="M218" i="1" s="1"/>
  <c r="G218" i="1"/>
  <c r="J217" i="1"/>
  <c r="I217" i="1"/>
  <c r="K217" i="1" s="1"/>
  <c r="H217" i="1"/>
  <c r="M217" i="1" s="1"/>
  <c r="G217" i="1"/>
  <c r="J216" i="1"/>
  <c r="I216" i="1"/>
  <c r="K216" i="1" s="1"/>
  <c r="H216" i="1"/>
  <c r="M216" i="1" s="1"/>
  <c r="G216" i="1"/>
  <c r="J215" i="1"/>
  <c r="I215" i="1"/>
  <c r="K215" i="1" s="1"/>
  <c r="H215" i="1"/>
  <c r="M215" i="1" s="1"/>
  <c r="G215" i="1"/>
  <c r="J214" i="1"/>
  <c r="I214" i="1"/>
  <c r="K214" i="1" s="1"/>
  <c r="H214" i="1"/>
  <c r="M214" i="1" s="1"/>
  <c r="G214" i="1"/>
  <c r="J213" i="1"/>
  <c r="I213" i="1"/>
  <c r="K213" i="1" s="1"/>
  <c r="H213" i="1"/>
  <c r="M213" i="1" s="1"/>
  <c r="G213" i="1"/>
  <c r="J212" i="1"/>
  <c r="I212" i="1"/>
  <c r="K212" i="1" s="1"/>
  <c r="H212" i="1"/>
  <c r="M212" i="1" s="1"/>
  <c r="G212" i="1"/>
  <c r="J211" i="1"/>
  <c r="I211" i="1"/>
  <c r="K211" i="1" s="1"/>
  <c r="H211" i="1"/>
  <c r="M211" i="1" s="1"/>
  <c r="G211" i="1"/>
  <c r="J210" i="1"/>
  <c r="I210" i="1"/>
  <c r="K210" i="1" s="1"/>
  <c r="H210" i="1"/>
  <c r="M210" i="1" s="1"/>
  <c r="G210" i="1"/>
  <c r="J209" i="1"/>
  <c r="I209" i="1"/>
  <c r="K209" i="1" s="1"/>
  <c r="H209" i="1"/>
  <c r="M209" i="1" s="1"/>
  <c r="G209" i="1"/>
  <c r="J208" i="1"/>
  <c r="I208" i="1"/>
  <c r="K208" i="1" s="1"/>
  <c r="H208" i="1"/>
  <c r="M208" i="1" s="1"/>
  <c r="G208" i="1"/>
  <c r="J207" i="1"/>
  <c r="I207" i="1"/>
  <c r="K207" i="1" s="1"/>
  <c r="H207" i="1"/>
  <c r="M207" i="1" s="1"/>
  <c r="G207" i="1"/>
  <c r="J206" i="1"/>
  <c r="I206" i="1"/>
  <c r="K206" i="1" s="1"/>
  <c r="H206" i="1"/>
  <c r="M206" i="1" s="1"/>
  <c r="G206" i="1"/>
  <c r="J205" i="1"/>
  <c r="I205" i="1"/>
  <c r="K205" i="1" s="1"/>
  <c r="H205" i="1"/>
  <c r="M205" i="1" s="1"/>
  <c r="G205" i="1"/>
  <c r="J204" i="1"/>
  <c r="I204" i="1"/>
  <c r="K204" i="1" s="1"/>
  <c r="H204" i="1"/>
  <c r="M204" i="1" s="1"/>
  <c r="G204" i="1"/>
  <c r="J203" i="1"/>
  <c r="I203" i="1"/>
  <c r="K203" i="1" s="1"/>
  <c r="H203" i="1"/>
  <c r="M203" i="1" s="1"/>
  <c r="G203" i="1"/>
  <c r="J202" i="1"/>
  <c r="I202" i="1"/>
  <c r="K202" i="1" s="1"/>
  <c r="H202" i="1"/>
  <c r="M202" i="1" s="1"/>
  <c r="G202" i="1"/>
  <c r="J201" i="1"/>
  <c r="I201" i="1"/>
  <c r="K201" i="1" s="1"/>
  <c r="H201" i="1"/>
  <c r="M201" i="1" s="1"/>
  <c r="G201" i="1"/>
  <c r="J200" i="1"/>
  <c r="I200" i="1"/>
  <c r="K200" i="1" s="1"/>
  <c r="H200" i="1"/>
  <c r="M200" i="1" s="1"/>
  <c r="G200" i="1"/>
  <c r="J199" i="1"/>
  <c r="I199" i="1"/>
  <c r="K199" i="1" s="1"/>
  <c r="H199" i="1"/>
  <c r="M199" i="1" s="1"/>
  <c r="G199" i="1"/>
  <c r="J198" i="1"/>
  <c r="I198" i="1"/>
  <c r="K198" i="1" s="1"/>
  <c r="H198" i="1"/>
  <c r="M198" i="1" s="1"/>
  <c r="G198" i="1"/>
  <c r="J197" i="1"/>
  <c r="I197" i="1"/>
  <c r="K197" i="1" s="1"/>
  <c r="H197" i="1"/>
  <c r="M197" i="1" s="1"/>
  <c r="G197" i="1"/>
  <c r="J196" i="1"/>
  <c r="I196" i="1"/>
  <c r="K196" i="1" s="1"/>
  <c r="H196" i="1"/>
  <c r="M196" i="1" s="1"/>
  <c r="G196" i="1"/>
  <c r="J195" i="1"/>
  <c r="I195" i="1"/>
  <c r="K195" i="1" s="1"/>
  <c r="H195" i="1"/>
  <c r="M195" i="1" s="1"/>
  <c r="G195" i="1"/>
  <c r="J194" i="1"/>
  <c r="I194" i="1"/>
  <c r="K194" i="1" s="1"/>
  <c r="H194" i="1"/>
  <c r="M194" i="1" s="1"/>
  <c r="G194" i="1"/>
  <c r="J193" i="1"/>
  <c r="I193" i="1"/>
  <c r="K193" i="1" s="1"/>
  <c r="H193" i="1"/>
  <c r="M193" i="1" s="1"/>
  <c r="G193" i="1"/>
  <c r="J192" i="1"/>
  <c r="I192" i="1"/>
  <c r="K192" i="1" s="1"/>
  <c r="H192" i="1"/>
  <c r="M192" i="1" s="1"/>
  <c r="G192" i="1"/>
  <c r="J191" i="1"/>
  <c r="I191" i="1"/>
  <c r="K191" i="1" s="1"/>
  <c r="H191" i="1"/>
  <c r="M191" i="1" s="1"/>
  <c r="G191" i="1"/>
  <c r="J190" i="1"/>
  <c r="I190" i="1"/>
  <c r="K190" i="1" s="1"/>
  <c r="H190" i="1"/>
  <c r="M190" i="1" s="1"/>
  <c r="G190" i="1"/>
  <c r="J189" i="1"/>
  <c r="I189" i="1"/>
  <c r="K189" i="1" s="1"/>
  <c r="H189" i="1"/>
  <c r="M189" i="1" s="1"/>
  <c r="G189" i="1"/>
  <c r="J188" i="1"/>
  <c r="I188" i="1"/>
  <c r="K188" i="1" s="1"/>
  <c r="H188" i="1"/>
  <c r="M188" i="1" s="1"/>
  <c r="G188" i="1"/>
  <c r="J187" i="1"/>
  <c r="I187" i="1"/>
  <c r="K187" i="1" s="1"/>
  <c r="H187" i="1"/>
  <c r="M187" i="1" s="1"/>
  <c r="G187" i="1"/>
  <c r="J186" i="1"/>
  <c r="I186" i="1"/>
  <c r="K186" i="1" s="1"/>
  <c r="H186" i="1"/>
  <c r="M186" i="1" s="1"/>
  <c r="G186" i="1"/>
  <c r="J185" i="1"/>
  <c r="I185" i="1"/>
  <c r="K185" i="1" s="1"/>
  <c r="H185" i="1"/>
  <c r="M185" i="1" s="1"/>
  <c r="G185" i="1"/>
  <c r="J184" i="1"/>
  <c r="I184" i="1"/>
  <c r="K184" i="1" s="1"/>
  <c r="H184" i="1"/>
  <c r="M184" i="1" s="1"/>
  <c r="G184" i="1"/>
  <c r="J183" i="1"/>
  <c r="I183" i="1"/>
  <c r="K183" i="1" s="1"/>
  <c r="H183" i="1"/>
  <c r="M183" i="1" s="1"/>
  <c r="G183" i="1"/>
  <c r="J182" i="1"/>
  <c r="I182" i="1"/>
  <c r="K182" i="1" s="1"/>
  <c r="H182" i="1"/>
  <c r="M182" i="1" s="1"/>
  <c r="G182" i="1"/>
  <c r="J181" i="1"/>
  <c r="I181" i="1"/>
  <c r="K181" i="1" s="1"/>
  <c r="H181" i="1"/>
  <c r="M181" i="1" s="1"/>
  <c r="G181" i="1"/>
  <c r="J180" i="1"/>
  <c r="I180" i="1"/>
  <c r="K180" i="1" s="1"/>
  <c r="H180" i="1"/>
  <c r="M180" i="1" s="1"/>
  <c r="G180" i="1"/>
  <c r="J179" i="1"/>
  <c r="I179" i="1"/>
  <c r="K179" i="1" s="1"/>
  <c r="H179" i="1"/>
  <c r="M179" i="1" s="1"/>
  <c r="G179" i="1"/>
  <c r="J178" i="1"/>
  <c r="I178" i="1"/>
  <c r="K178" i="1" s="1"/>
  <c r="H178" i="1"/>
  <c r="M178" i="1" s="1"/>
  <c r="G178" i="1"/>
  <c r="J177" i="1"/>
  <c r="I177" i="1"/>
  <c r="K177" i="1" s="1"/>
  <c r="H177" i="1"/>
  <c r="M177" i="1" s="1"/>
  <c r="G177" i="1"/>
  <c r="J176" i="1"/>
  <c r="I176" i="1"/>
  <c r="K176" i="1" s="1"/>
  <c r="H176" i="1"/>
  <c r="M176" i="1" s="1"/>
  <c r="G176" i="1"/>
  <c r="J175" i="1"/>
  <c r="I175" i="1"/>
  <c r="K175" i="1" s="1"/>
  <c r="H175" i="1"/>
  <c r="M175" i="1" s="1"/>
  <c r="G175" i="1"/>
  <c r="J174" i="1"/>
  <c r="I174" i="1"/>
  <c r="K174" i="1" s="1"/>
  <c r="H174" i="1"/>
  <c r="M174" i="1" s="1"/>
  <c r="G174" i="1"/>
  <c r="J173" i="1"/>
  <c r="I173" i="1"/>
  <c r="K173" i="1" s="1"/>
  <c r="H173" i="1"/>
  <c r="M173" i="1" s="1"/>
  <c r="G173" i="1"/>
  <c r="J172" i="1"/>
  <c r="I172" i="1"/>
  <c r="K172" i="1" s="1"/>
  <c r="H172" i="1"/>
  <c r="M172" i="1" s="1"/>
  <c r="G172" i="1"/>
  <c r="J171" i="1"/>
  <c r="I171" i="1"/>
  <c r="K171" i="1" s="1"/>
  <c r="H171" i="1"/>
  <c r="M171" i="1" s="1"/>
  <c r="G171" i="1"/>
  <c r="J170" i="1"/>
  <c r="I170" i="1"/>
  <c r="K170" i="1" s="1"/>
  <c r="H170" i="1"/>
  <c r="M170" i="1" s="1"/>
  <c r="G170" i="1"/>
  <c r="J169" i="1"/>
  <c r="I169" i="1"/>
  <c r="K169" i="1" s="1"/>
  <c r="H169" i="1"/>
  <c r="M169" i="1" s="1"/>
  <c r="G169" i="1"/>
  <c r="J168" i="1"/>
  <c r="I168" i="1"/>
  <c r="K168" i="1" s="1"/>
  <c r="H168" i="1"/>
  <c r="M168" i="1" s="1"/>
  <c r="G168" i="1"/>
  <c r="J167" i="1"/>
  <c r="I167" i="1"/>
  <c r="K167" i="1" s="1"/>
  <c r="H167" i="1"/>
  <c r="M167" i="1" s="1"/>
  <c r="G167" i="1"/>
  <c r="J166" i="1"/>
  <c r="I166" i="1"/>
  <c r="K166" i="1" s="1"/>
  <c r="H166" i="1"/>
  <c r="M166" i="1" s="1"/>
  <c r="G166" i="1"/>
  <c r="J165" i="1"/>
  <c r="I165" i="1"/>
  <c r="K165" i="1" s="1"/>
  <c r="H165" i="1"/>
  <c r="M165" i="1" s="1"/>
  <c r="G165" i="1"/>
  <c r="J164" i="1"/>
  <c r="I164" i="1"/>
  <c r="K164" i="1" s="1"/>
  <c r="H164" i="1"/>
  <c r="M164" i="1" s="1"/>
  <c r="G164" i="1"/>
  <c r="J163" i="1"/>
  <c r="I163" i="1"/>
  <c r="K163" i="1" s="1"/>
  <c r="H163" i="1"/>
  <c r="M163" i="1" s="1"/>
  <c r="G163" i="1"/>
  <c r="J162" i="1"/>
  <c r="I162" i="1"/>
  <c r="K162" i="1" s="1"/>
  <c r="H162" i="1"/>
  <c r="M162" i="1" s="1"/>
  <c r="G162" i="1"/>
  <c r="J161" i="1"/>
  <c r="I161" i="1"/>
  <c r="K161" i="1" s="1"/>
  <c r="H161" i="1"/>
  <c r="M161" i="1" s="1"/>
  <c r="G161" i="1"/>
  <c r="J160" i="1"/>
  <c r="I160" i="1"/>
  <c r="K160" i="1" s="1"/>
  <c r="H160" i="1"/>
  <c r="M160" i="1" s="1"/>
  <c r="G160" i="1"/>
  <c r="J159" i="1"/>
  <c r="I159" i="1"/>
  <c r="K159" i="1" s="1"/>
  <c r="H159" i="1"/>
  <c r="M159" i="1" s="1"/>
  <c r="G159" i="1"/>
  <c r="J158" i="1"/>
  <c r="I158" i="1"/>
  <c r="K158" i="1" s="1"/>
  <c r="H158" i="1"/>
  <c r="M158" i="1" s="1"/>
  <c r="G158" i="1"/>
  <c r="J157" i="1"/>
  <c r="I157" i="1"/>
  <c r="K157" i="1" s="1"/>
  <c r="H157" i="1"/>
  <c r="M157" i="1" s="1"/>
  <c r="G157" i="1"/>
  <c r="J156" i="1"/>
  <c r="I156" i="1"/>
  <c r="K156" i="1" s="1"/>
  <c r="H156" i="1"/>
  <c r="M156" i="1" s="1"/>
  <c r="G156" i="1"/>
  <c r="J155" i="1"/>
  <c r="I155" i="1"/>
  <c r="K155" i="1" s="1"/>
  <c r="H155" i="1"/>
  <c r="M155" i="1" s="1"/>
  <c r="G155" i="1"/>
  <c r="J154" i="1"/>
  <c r="I154" i="1"/>
  <c r="K154" i="1" s="1"/>
  <c r="H154" i="1"/>
  <c r="M154" i="1" s="1"/>
  <c r="G154" i="1"/>
  <c r="J153" i="1"/>
  <c r="I153" i="1"/>
  <c r="K153" i="1" s="1"/>
  <c r="H153" i="1"/>
  <c r="M153" i="1" s="1"/>
  <c r="G153" i="1"/>
  <c r="J152" i="1"/>
  <c r="I152" i="1"/>
  <c r="K152" i="1" s="1"/>
  <c r="H152" i="1"/>
  <c r="M152" i="1" s="1"/>
  <c r="G152" i="1"/>
  <c r="J151" i="1"/>
  <c r="I151" i="1"/>
  <c r="K151" i="1" s="1"/>
  <c r="H151" i="1"/>
  <c r="M151" i="1" s="1"/>
  <c r="G151" i="1"/>
  <c r="J150" i="1"/>
  <c r="I150" i="1"/>
  <c r="K150" i="1" s="1"/>
  <c r="H150" i="1"/>
  <c r="M150" i="1" s="1"/>
  <c r="G150" i="1"/>
  <c r="J149" i="1"/>
  <c r="I149" i="1"/>
  <c r="K149" i="1" s="1"/>
  <c r="H149" i="1"/>
  <c r="M149" i="1" s="1"/>
  <c r="G149" i="1"/>
  <c r="J148" i="1"/>
  <c r="I148" i="1"/>
  <c r="K148" i="1" s="1"/>
  <c r="H148" i="1"/>
  <c r="M148" i="1" s="1"/>
  <c r="G148" i="1"/>
  <c r="J147" i="1"/>
  <c r="I147" i="1"/>
  <c r="K147" i="1" s="1"/>
  <c r="H147" i="1"/>
  <c r="M147" i="1" s="1"/>
  <c r="G147" i="1"/>
  <c r="J146" i="1"/>
  <c r="I146" i="1"/>
  <c r="K146" i="1" s="1"/>
  <c r="H146" i="1"/>
  <c r="M146" i="1" s="1"/>
  <c r="G146" i="1"/>
  <c r="J145" i="1"/>
  <c r="I145" i="1"/>
  <c r="K145" i="1" s="1"/>
  <c r="H145" i="1"/>
  <c r="M145" i="1" s="1"/>
  <c r="G145" i="1"/>
  <c r="J144" i="1"/>
  <c r="I144" i="1"/>
  <c r="K144" i="1" s="1"/>
  <c r="H144" i="1"/>
  <c r="M144" i="1" s="1"/>
  <c r="G144" i="1"/>
  <c r="J143" i="1"/>
  <c r="I143" i="1"/>
  <c r="K143" i="1" s="1"/>
  <c r="H143" i="1"/>
  <c r="M143" i="1" s="1"/>
  <c r="G143" i="1"/>
  <c r="J142" i="1"/>
  <c r="I142" i="1"/>
  <c r="K142" i="1" s="1"/>
  <c r="H142" i="1"/>
  <c r="M142" i="1" s="1"/>
  <c r="G142" i="1"/>
  <c r="J141" i="1"/>
  <c r="I141" i="1"/>
  <c r="K141" i="1" s="1"/>
  <c r="H141" i="1"/>
  <c r="M141" i="1" s="1"/>
  <c r="G141" i="1"/>
  <c r="J140" i="1"/>
  <c r="I140" i="1"/>
  <c r="K140" i="1" s="1"/>
  <c r="H140" i="1"/>
  <c r="M140" i="1" s="1"/>
  <c r="G140" i="1"/>
  <c r="J139" i="1"/>
  <c r="I139" i="1"/>
  <c r="K139" i="1" s="1"/>
  <c r="H139" i="1"/>
  <c r="M139" i="1" s="1"/>
  <c r="G139" i="1"/>
  <c r="J138" i="1"/>
  <c r="I138" i="1"/>
  <c r="K138" i="1" s="1"/>
  <c r="H138" i="1"/>
  <c r="M138" i="1" s="1"/>
  <c r="G138" i="1"/>
  <c r="J137" i="1"/>
  <c r="I137" i="1"/>
  <c r="K137" i="1" s="1"/>
  <c r="H137" i="1"/>
  <c r="M137" i="1" s="1"/>
  <c r="G137" i="1"/>
  <c r="J136" i="1"/>
  <c r="I136" i="1"/>
  <c r="K136" i="1" s="1"/>
  <c r="H136" i="1"/>
  <c r="M136" i="1" s="1"/>
  <c r="G136" i="1"/>
  <c r="J135" i="1"/>
  <c r="I135" i="1"/>
  <c r="K135" i="1" s="1"/>
  <c r="H135" i="1"/>
  <c r="M135" i="1" s="1"/>
  <c r="G135" i="1"/>
  <c r="J134" i="1"/>
  <c r="I134" i="1"/>
  <c r="K134" i="1" s="1"/>
  <c r="H134" i="1"/>
  <c r="M134" i="1" s="1"/>
  <c r="G134" i="1"/>
  <c r="J133" i="1"/>
  <c r="I133" i="1"/>
  <c r="K133" i="1" s="1"/>
  <c r="H133" i="1"/>
  <c r="M133" i="1" s="1"/>
  <c r="G133" i="1"/>
  <c r="J132" i="1"/>
  <c r="I132" i="1"/>
  <c r="K132" i="1" s="1"/>
  <c r="H132" i="1"/>
  <c r="M132" i="1" s="1"/>
  <c r="G132" i="1"/>
  <c r="J131" i="1"/>
  <c r="I131" i="1"/>
  <c r="K131" i="1" s="1"/>
  <c r="H131" i="1"/>
  <c r="M131" i="1" s="1"/>
  <c r="G131" i="1"/>
  <c r="J130" i="1"/>
  <c r="I130" i="1"/>
  <c r="K130" i="1" s="1"/>
  <c r="H130" i="1"/>
  <c r="M130" i="1" s="1"/>
  <c r="G130" i="1"/>
  <c r="J129" i="1"/>
  <c r="I129" i="1"/>
  <c r="K129" i="1" s="1"/>
  <c r="H129" i="1"/>
  <c r="M129" i="1" s="1"/>
  <c r="G129" i="1"/>
  <c r="J128" i="1"/>
  <c r="I128" i="1"/>
  <c r="K128" i="1" s="1"/>
  <c r="H128" i="1"/>
  <c r="M128" i="1" s="1"/>
  <c r="G128" i="1"/>
  <c r="J127" i="1"/>
  <c r="I127" i="1"/>
  <c r="K127" i="1" s="1"/>
  <c r="H127" i="1"/>
  <c r="M127" i="1" s="1"/>
  <c r="G127" i="1"/>
  <c r="J126" i="1"/>
  <c r="I126" i="1"/>
  <c r="K126" i="1" s="1"/>
  <c r="H126" i="1"/>
  <c r="M126" i="1" s="1"/>
  <c r="G126" i="1"/>
  <c r="J125" i="1"/>
  <c r="I125" i="1"/>
  <c r="K125" i="1" s="1"/>
  <c r="H125" i="1"/>
  <c r="M125" i="1" s="1"/>
  <c r="G125" i="1"/>
  <c r="J124" i="1"/>
  <c r="I124" i="1"/>
  <c r="K124" i="1" s="1"/>
  <c r="H124" i="1"/>
  <c r="M124" i="1" s="1"/>
  <c r="G124" i="1"/>
  <c r="J123" i="1"/>
  <c r="I123" i="1"/>
  <c r="K123" i="1" s="1"/>
  <c r="H123" i="1"/>
  <c r="M123" i="1" s="1"/>
  <c r="G123" i="1"/>
  <c r="J122" i="1"/>
  <c r="I122" i="1"/>
  <c r="K122" i="1" s="1"/>
  <c r="H122" i="1"/>
  <c r="M122" i="1" s="1"/>
  <c r="G122" i="1"/>
  <c r="J121" i="1"/>
  <c r="I121" i="1"/>
  <c r="K121" i="1" s="1"/>
  <c r="H121" i="1"/>
  <c r="M121" i="1" s="1"/>
  <c r="G121" i="1"/>
  <c r="J120" i="1"/>
  <c r="I120" i="1"/>
  <c r="K120" i="1" s="1"/>
  <c r="H120" i="1"/>
  <c r="M120" i="1" s="1"/>
  <c r="G120" i="1"/>
  <c r="J119" i="1"/>
  <c r="I119" i="1"/>
  <c r="K119" i="1" s="1"/>
  <c r="H119" i="1"/>
  <c r="M119" i="1" s="1"/>
  <c r="G119" i="1"/>
  <c r="J118" i="1"/>
  <c r="I118" i="1"/>
  <c r="K118" i="1" s="1"/>
  <c r="H118" i="1"/>
  <c r="M118" i="1" s="1"/>
  <c r="G118" i="1"/>
  <c r="J117" i="1"/>
  <c r="I117" i="1"/>
  <c r="K117" i="1" s="1"/>
  <c r="H117" i="1"/>
  <c r="M117" i="1" s="1"/>
  <c r="G117" i="1"/>
  <c r="J116" i="1"/>
  <c r="I116" i="1"/>
  <c r="K116" i="1" s="1"/>
  <c r="H116" i="1"/>
  <c r="M116" i="1" s="1"/>
  <c r="G116" i="1"/>
  <c r="J115" i="1"/>
  <c r="I115" i="1"/>
  <c r="K115" i="1" s="1"/>
  <c r="H115" i="1"/>
  <c r="M115" i="1" s="1"/>
  <c r="G115" i="1"/>
  <c r="J114" i="1"/>
  <c r="I114" i="1"/>
  <c r="K114" i="1" s="1"/>
  <c r="H114" i="1"/>
  <c r="M114" i="1" s="1"/>
  <c r="G114" i="1"/>
  <c r="J113" i="1"/>
  <c r="I113" i="1"/>
  <c r="K113" i="1" s="1"/>
  <c r="H113" i="1"/>
  <c r="M113" i="1" s="1"/>
  <c r="G113" i="1"/>
  <c r="J112" i="1"/>
  <c r="I112" i="1"/>
  <c r="K112" i="1" s="1"/>
  <c r="H112" i="1"/>
  <c r="M112" i="1" s="1"/>
  <c r="G112" i="1"/>
  <c r="J111" i="1"/>
  <c r="I111" i="1"/>
  <c r="K111" i="1" s="1"/>
  <c r="H111" i="1"/>
  <c r="M111" i="1" s="1"/>
  <c r="G111" i="1"/>
  <c r="J110" i="1"/>
  <c r="I110" i="1"/>
  <c r="K110" i="1" s="1"/>
  <c r="H110" i="1"/>
  <c r="M110" i="1" s="1"/>
  <c r="G110" i="1"/>
  <c r="J109" i="1"/>
  <c r="I109" i="1"/>
  <c r="K109" i="1" s="1"/>
  <c r="H109" i="1"/>
  <c r="M109" i="1" s="1"/>
  <c r="G109" i="1"/>
  <c r="J108" i="1"/>
  <c r="I108" i="1"/>
  <c r="K108" i="1" s="1"/>
  <c r="H108" i="1"/>
  <c r="M108" i="1" s="1"/>
  <c r="G108" i="1"/>
  <c r="J107" i="1"/>
  <c r="I107" i="1"/>
  <c r="K107" i="1" s="1"/>
  <c r="H107" i="1"/>
  <c r="M107" i="1" s="1"/>
  <c r="G107" i="1"/>
  <c r="J106" i="1"/>
  <c r="I106" i="1"/>
  <c r="K106" i="1" s="1"/>
  <c r="H106" i="1"/>
  <c r="M106" i="1" s="1"/>
  <c r="G106" i="1"/>
  <c r="J105" i="1"/>
  <c r="I105" i="1"/>
  <c r="K105" i="1" s="1"/>
  <c r="H105" i="1"/>
  <c r="M105" i="1" s="1"/>
  <c r="G105" i="1"/>
  <c r="J104" i="1"/>
  <c r="I104" i="1"/>
  <c r="K104" i="1" s="1"/>
  <c r="H104" i="1"/>
  <c r="M104" i="1" s="1"/>
  <c r="G104" i="1"/>
  <c r="J103" i="1"/>
  <c r="I103" i="1"/>
  <c r="K103" i="1" s="1"/>
  <c r="H103" i="1"/>
  <c r="M103" i="1" s="1"/>
  <c r="G103" i="1"/>
  <c r="J102" i="1"/>
  <c r="I102" i="1"/>
  <c r="K102" i="1" s="1"/>
  <c r="H102" i="1"/>
  <c r="M102" i="1" s="1"/>
  <c r="G102" i="1"/>
  <c r="J101" i="1"/>
  <c r="I101" i="1"/>
  <c r="K101" i="1" s="1"/>
  <c r="H101" i="1"/>
  <c r="M101" i="1" s="1"/>
  <c r="G101" i="1"/>
  <c r="J100" i="1"/>
  <c r="I100" i="1"/>
  <c r="K100" i="1" s="1"/>
  <c r="H100" i="1"/>
  <c r="M100" i="1" s="1"/>
  <c r="G100" i="1"/>
  <c r="J99" i="1"/>
  <c r="I99" i="1"/>
  <c r="K99" i="1" s="1"/>
  <c r="H99" i="1"/>
  <c r="M99" i="1" s="1"/>
  <c r="G99" i="1"/>
  <c r="J98" i="1"/>
  <c r="I98" i="1"/>
  <c r="K98" i="1" s="1"/>
  <c r="H98" i="1"/>
  <c r="M98" i="1" s="1"/>
  <c r="G98" i="1"/>
  <c r="J97" i="1"/>
  <c r="I97" i="1"/>
  <c r="K97" i="1" s="1"/>
  <c r="H97" i="1"/>
  <c r="M97" i="1" s="1"/>
  <c r="G97" i="1"/>
  <c r="J96" i="1"/>
  <c r="I96" i="1"/>
  <c r="K96" i="1" s="1"/>
  <c r="H96" i="1"/>
  <c r="M96" i="1" s="1"/>
  <c r="G96" i="1"/>
  <c r="J95" i="1"/>
  <c r="I95" i="1"/>
  <c r="K95" i="1" s="1"/>
  <c r="H95" i="1"/>
  <c r="M95" i="1" s="1"/>
  <c r="G95" i="1"/>
  <c r="J94" i="1"/>
  <c r="I94" i="1"/>
  <c r="K94" i="1" s="1"/>
  <c r="H94" i="1"/>
  <c r="M94" i="1" s="1"/>
  <c r="G94" i="1"/>
  <c r="J93" i="1"/>
  <c r="I93" i="1"/>
  <c r="K93" i="1" s="1"/>
  <c r="H93" i="1"/>
  <c r="M93" i="1" s="1"/>
  <c r="G93" i="1"/>
  <c r="J92" i="1"/>
  <c r="I92" i="1"/>
  <c r="K92" i="1" s="1"/>
  <c r="H92" i="1"/>
  <c r="M92" i="1" s="1"/>
  <c r="G92" i="1"/>
  <c r="J91" i="1"/>
  <c r="I91" i="1"/>
  <c r="K91" i="1" s="1"/>
  <c r="H91" i="1"/>
  <c r="M91" i="1" s="1"/>
  <c r="G91" i="1"/>
  <c r="J90" i="1"/>
  <c r="I90" i="1"/>
  <c r="K90" i="1" s="1"/>
  <c r="H90" i="1"/>
  <c r="M90" i="1" s="1"/>
  <c r="G90" i="1"/>
  <c r="J89" i="1"/>
  <c r="I89" i="1"/>
  <c r="K89" i="1" s="1"/>
  <c r="H89" i="1"/>
  <c r="M89" i="1" s="1"/>
  <c r="G89" i="1"/>
  <c r="J88" i="1"/>
  <c r="I88" i="1"/>
  <c r="K88" i="1" s="1"/>
  <c r="H88" i="1"/>
  <c r="M88" i="1" s="1"/>
  <c r="G88" i="1"/>
  <c r="J87" i="1"/>
  <c r="I87" i="1"/>
  <c r="K87" i="1" s="1"/>
  <c r="H87" i="1"/>
  <c r="M87" i="1" s="1"/>
  <c r="G87" i="1"/>
  <c r="J86" i="1"/>
  <c r="I86" i="1"/>
  <c r="K86" i="1" s="1"/>
  <c r="H86" i="1"/>
  <c r="M86" i="1" s="1"/>
  <c r="G86" i="1"/>
  <c r="J85" i="1"/>
  <c r="I85" i="1"/>
  <c r="K85" i="1" s="1"/>
  <c r="H85" i="1"/>
  <c r="M85" i="1" s="1"/>
  <c r="G85" i="1"/>
  <c r="J84" i="1"/>
  <c r="I84" i="1"/>
  <c r="K84" i="1" s="1"/>
  <c r="H84" i="1"/>
  <c r="M84" i="1" s="1"/>
  <c r="G84" i="1"/>
  <c r="J83" i="1"/>
  <c r="I83" i="1"/>
  <c r="K83" i="1" s="1"/>
  <c r="H83" i="1"/>
  <c r="M83" i="1" s="1"/>
  <c r="G83" i="1"/>
  <c r="J82" i="1"/>
  <c r="I82" i="1"/>
  <c r="K82" i="1" s="1"/>
  <c r="H82" i="1"/>
  <c r="M82" i="1" s="1"/>
  <c r="G82" i="1"/>
  <c r="J81" i="1"/>
  <c r="I81" i="1"/>
  <c r="K81" i="1" s="1"/>
  <c r="H81" i="1"/>
  <c r="M81" i="1" s="1"/>
  <c r="G81" i="1"/>
  <c r="J80" i="1"/>
  <c r="I80" i="1"/>
  <c r="K80" i="1" s="1"/>
  <c r="H80" i="1"/>
  <c r="M80" i="1" s="1"/>
  <c r="G80" i="1"/>
  <c r="J79" i="1"/>
  <c r="I79" i="1"/>
  <c r="K79" i="1" s="1"/>
  <c r="H79" i="1"/>
  <c r="M79" i="1" s="1"/>
  <c r="G79" i="1"/>
  <c r="J78" i="1"/>
  <c r="I78" i="1"/>
  <c r="K78" i="1" s="1"/>
  <c r="H78" i="1"/>
  <c r="M78" i="1" s="1"/>
  <c r="G78" i="1"/>
  <c r="J77" i="1"/>
  <c r="I77" i="1"/>
  <c r="K77" i="1" s="1"/>
  <c r="H77" i="1"/>
  <c r="M77" i="1" s="1"/>
  <c r="G77" i="1"/>
  <c r="J76" i="1"/>
  <c r="I76" i="1"/>
  <c r="K76" i="1" s="1"/>
  <c r="H76" i="1"/>
  <c r="M76" i="1" s="1"/>
  <c r="G76" i="1"/>
  <c r="J75" i="1"/>
  <c r="I75" i="1"/>
  <c r="K75" i="1" s="1"/>
  <c r="H75" i="1"/>
  <c r="M75" i="1" s="1"/>
  <c r="G75" i="1"/>
  <c r="J74" i="1"/>
  <c r="I74" i="1"/>
  <c r="K74" i="1" s="1"/>
  <c r="H74" i="1"/>
  <c r="M74" i="1" s="1"/>
  <c r="G74" i="1"/>
  <c r="J73" i="1"/>
  <c r="I73" i="1"/>
  <c r="K73" i="1" s="1"/>
  <c r="H73" i="1"/>
  <c r="M73" i="1" s="1"/>
  <c r="G73" i="1"/>
  <c r="J72" i="1"/>
  <c r="I72" i="1"/>
  <c r="K72" i="1" s="1"/>
  <c r="H72" i="1"/>
  <c r="M72" i="1" s="1"/>
  <c r="G72" i="1"/>
  <c r="J71" i="1"/>
  <c r="I71" i="1"/>
  <c r="K71" i="1" s="1"/>
  <c r="H71" i="1"/>
  <c r="M71" i="1" s="1"/>
  <c r="G71" i="1"/>
  <c r="J70" i="1"/>
  <c r="I70" i="1"/>
  <c r="K70" i="1" s="1"/>
  <c r="H70" i="1"/>
  <c r="M70" i="1" s="1"/>
  <c r="G70" i="1"/>
  <c r="J69" i="1"/>
  <c r="I69" i="1"/>
  <c r="K69" i="1" s="1"/>
  <c r="H69" i="1"/>
  <c r="M69" i="1" s="1"/>
  <c r="G69" i="1"/>
  <c r="J68" i="1"/>
  <c r="I68" i="1"/>
  <c r="K68" i="1" s="1"/>
  <c r="H68" i="1"/>
  <c r="M68" i="1" s="1"/>
  <c r="G68" i="1"/>
  <c r="J67" i="1"/>
  <c r="I67" i="1"/>
  <c r="K67" i="1" s="1"/>
  <c r="H67" i="1"/>
  <c r="M67" i="1" s="1"/>
  <c r="G67" i="1"/>
  <c r="J66" i="1"/>
  <c r="I66" i="1"/>
  <c r="K66" i="1" s="1"/>
  <c r="H66" i="1"/>
  <c r="M66" i="1" s="1"/>
  <c r="G66" i="1"/>
  <c r="J65" i="1"/>
  <c r="I65" i="1"/>
  <c r="K65" i="1" s="1"/>
  <c r="H65" i="1"/>
  <c r="M65" i="1" s="1"/>
  <c r="G65" i="1"/>
  <c r="J64" i="1"/>
  <c r="I64" i="1"/>
  <c r="K64" i="1" s="1"/>
  <c r="H64" i="1"/>
  <c r="M64" i="1" s="1"/>
  <c r="G64" i="1"/>
  <c r="J63" i="1"/>
  <c r="I63" i="1"/>
  <c r="K63" i="1" s="1"/>
  <c r="H63" i="1"/>
  <c r="M63" i="1" s="1"/>
  <c r="G63" i="1"/>
  <c r="J62" i="1"/>
  <c r="I62" i="1"/>
  <c r="K62" i="1" s="1"/>
  <c r="H62" i="1"/>
  <c r="M62" i="1" s="1"/>
  <c r="G62" i="1"/>
  <c r="J61" i="1"/>
  <c r="I61" i="1"/>
  <c r="K61" i="1" s="1"/>
  <c r="H61" i="1"/>
  <c r="M61" i="1" s="1"/>
  <c r="G61" i="1"/>
  <c r="J60" i="1"/>
  <c r="I60" i="1"/>
  <c r="K60" i="1" s="1"/>
  <c r="H60" i="1"/>
  <c r="M60" i="1" s="1"/>
  <c r="G60" i="1"/>
  <c r="J59" i="1"/>
  <c r="I59" i="1"/>
  <c r="K59" i="1" s="1"/>
  <c r="H59" i="1"/>
  <c r="M59" i="1" s="1"/>
  <c r="G59" i="1"/>
  <c r="J58" i="1"/>
  <c r="I58" i="1"/>
  <c r="K58" i="1" s="1"/>
  <c r="H58" i="1"/>
  <c r="M58" i="1" s="1"/>
  <c r="G58" i="1"/>
  <c r="J57" i="1"/>
  <c r="I57" i="1"/>
  <c r="K57" i="1" s="1"/>
  <c r="H57" i="1"/>
  <c r="M57" i="1" s="1"/>
  <c r="G57" i="1"/>
  <c r="J56" i="1"/>
  <c r="I56" i="1"/>
  <c r="K56" i="1" s="1"/>
  <c r="H56" i="1"/>
  <c r="M56" i="1" s="1"/>
  <c r="G56" i="1"/>
  <c r="J55" i="1"/>
  <c r="I55" i="1"/>
  <c r="K55" i="1" s="1"/>
  <c r="H55" i="1"/>
  <c r="M55" i="1" s="1"/>
  <c r="G55" i="1"/>
  <c r="J54" i="1"/>
  <c r="I54" i="1"/>
  <c r="K54" i="1" s="1"/>
  <c r="H54" i="1"/>
  <c r="M54" i="1" s="1"/>
  <c r="G54" i="1"/>
  <c r="J53" i="1"/>
  <c r="I53" i="1"/>
  <c r="K53" i="1" s="1"/>
  <c r="H53" i="1"/>
  <c r="M53" i="1" s="1"/>
  <c r="G53" i="1"/>
  <c r="J52" i="1"/>
  <c r="I52" i="1"/>
  <c r="K52" i="1" s="1"/>
  <c r="H52" i="1"/>
  <c r="M52" i="1" s="1"/>
  <c r="G52" i="1"/>
  <c r="J51" i="1"/>
  <c r="I51" i="1"/>
  <c r="K51" i="1" s="1"/>
  <c r="H51" i="1"/>
  <c r="M51" i="1" s="1"/>
  <c r="G51" i="1"/>
  <c r="J50" i="1"/>
  <c r="I50" i="1"/>
  <c r="K50" i="1" s="1"/>
  <c r="H50" i="1"/>
  <c r="M50" i="1" s="1"/>
  <c r="G50" i="1"/>
  <c r="J49" i="1"/>
  <c r="I49" i="1"/>
  <c r="K49" i="1" s="1"/>
  <c r="H49" i="1"/>
  <c r="M49" i="1" s="1"/>
  <c r="G49" i="1"/>
  <c r="J48" i="1"/>
  <c r="I48" i="1"/>
  <c r="K48" i="1" s="1"/>
  <c r="H48" i="1"/>
  <c r="M48" i="1" s="1"/>
  <c r="G48" i="1"/>
  <c r="J47" i="1"/>
  <c r="I47" i="1"/>
  <c r="K47" i="1" s="1"/>
  <c r="H47" i="1"/>
  <c r="M47" i="1" s="1"/>
  <c r="G47" i="1"/>
  <c r="J46" i="1"/>
  <c r="I46" i="1"/>
  <c r="K46" i="1" s="1"/>
  <c r="H46" i="1"/>
  <c r="M46" i="1" s="1"/>
  <c r="G46" i="1"/>
  <c r="J45" i="1"/>
  <c r="I45" i="1"/>
  <c r="K45" i="1" s="1"/>
  <c r="H45" i="1"/>
  <c r="M45" i="1" s="1"/>
  <c r="G45" i="1"/>
  <c r="J44" i="1"/>
  <c r="I44" i="1"/>
  <c r="K44" i="1" s="1"/>
  <c r="H44" i="1"/>
  <c r="M44" i="1" s="1"/>
  <c r="G44" i="1"/>
  <c r="J43" i="1"/>
  <c r="I43" i="1"/>
  <c r="K43" i="1" s="1"/>
  <c r="H43" i="1"/>
  <c r="M43" i="1" s="1"/>
  <c r="G43" i="1"/>
  <c r="J42" i="1"/>
  <c r="I42" i="1"/>
  <c r="K42" i="1" s="1"/>
  <c r="H42" i="1"/>
  <c r="M42" i="1" s="1"/>
  <c r="G42" i="1"/>
  <c r="J41" i="1"/>
  <c r="I41" i="1"/>
  <c r="K41" i="1" s="1"/>
  <c r="H41" i="1"/>
  <c r="M41" i="1" s="1"/>
  <c r="G41" i="1"/>
  <c r="J40" i="1"/>
  <c r="I40" i="1"/>
  <c r="K40" i="1" s="1"/>
  <c r="H40" i="1"/>
  <c r="M40" i="1" s="1"/>
  <c r="G40" i="1"/>
  <c r="J39" i="1"/>
  <c r="I39" i="1"/>
  <c r="K39" i="1" s="1"/>
  <c r="H39" i="1"/>
  <c r="M39" i="1" s="1"/>
  <c r="G39" i="1"/>
  <c r="J38" i="1"/>
  <c r="I38" i="1"/>
  <c r="K38" i="1" s="1"/>
  <c r="H38" i="1"/>
  <c r="M38" i="1" s="1"/>
  <c r="G38" i="1"/>
  <c r="J37" i="1"/>
  <c r="I37" i="1"/>
  <c r="K37" i="1" s="1"/>
  <c r="H37" i="1"/>
  <c r="M37" i="1" s="1"/>
  <c r="G37" i="1"/>
  <c r="J36" i="1"/>
  <c r="I36" i="1"/>
  <c r="K36" i="1" s="1"/>
  <c r="H36" i="1"/>
  <c r="M36" i="1" s="1"/>
  <c r="G36" i="1"/>
  <c r="J35" i="1"/>
  <c r="I35" i="1"/>
  <c r="K35" i="1" s="1"/>
  <c r="H35" i="1"/>
  <c r="M35" i="1" s="1"/>
  <c r="G35" i="1"/>
  <c r="J34" i="1"/>
  <c r="I34" i="1"/>
  <c r="K34" i="1" s="1"/>
  <c r="H34" i="1"/>
  <c r="M34" i="1" s="1"/>
  <c r="G34" i="1"/>
  <c r="J33" i="1"/>
  <c r="I33" i="1"/>
  <c r="K33" i="1" s="1"/>
  <c r="H33" i="1"/>
  <c r="M33" i="1" s="1"/>
  <c r="G33" i="1"/>
  <c r="J32" i="1"/>
  <c r="I32" i="1"/>
  <c r="K32" i="1" s="1"/>
  <c r="H32" i="1"/>
  <c r="M32" i="1" s="1"/>
  <c r="G32" i="1"/>
  <c r="J31" i="1"/>
  <c r="I31" i="1"/>
  <c r="K31" i="1" s="1"/>
  <c r="H31" i="1"/>
  <c r="M31" i="1" s="1"/>
  <c r="G31" i="1"/>
  <c r="J30" i="1"/>
  <c r="I30" i="1"/>
  <c r="K30" i="1" s="1"/>
  <c r="H30" i="1"/>
  <c r="M30" i="1" s="1"/>
  <c r="G30" i="1"/>
  <c r="J29" i="1"/>
  <c r="I29" i="1"/>
  <c r="K29" i="1" s="1"/>
  <c r="H29" i="1"/>
  <c r="M29" i="1" s="1"/>
  <c r="G29" i="1"/>
  <c r="J28" i="1"/>
  <c r="I28" i="1"/>
  <c r="K28" i="1" s="1"/>
  <c r="H28" i="1"/>
  <c r="M28" i="1" s="1"/>
  <c r="G28" i="1"/>
  <c r="J27" i="1"/>
  <c r="I27" i="1"/>
  <c r="K27" i="1" s="1"/>
  <c r="H27" i="1"/>
  <c r="M27" i="1" s="1"/>
  <c r="G27" i="1"/>
  <c r="J26" i="1"/>
  <c r="I26" i="1"/>
  <c r="K26" i="1" s="1"/>
  <c r="H26" i="1"/>
  <c r="M26" i="1" s="1"/>
  <c r="G26" i="1"/>
  <c r="J25" i="1"/>
  <c r="I25" i="1"/>
  <c r="K25" i="1" s="1"/>
  <c r="H25" i="1"/>
  <c r="M25" i="1" s="1"/>
  <c r="G25" i="1"/>
  <c r="J24" i="1"/>
  <c r="I24" i="1"/>
  <c r="K24" i="1" s="1"/>
  <c r="H24" i="1"/>
  <c r="M24" i="1" s="1"/>
  <c r="G24" i="1"/>
  <c r="J23" i="1"/>
  <c r="I23" i="1"/>
  <c r="K23" i="1" s="1"/>
  <c r="H23" i="1"/>
  <c r="M23" i="1" s="1"/>
  <c r="G23" i="1"/>
  <c r="J22" i="1"/>
  <c r="I22" i="1"/>
  <c r="K22" i="1" s="1"/>
  <c r="H22" i="1"/>
  <c r="M22" i="1" s="1"/>
  <c r="G22" i="1"/>
  <c r="J21" i="1"/>
  <c r="I21" i="1"/>
  <c r="K21" i="1" s="1"/>
  <c r="H21" i="1"/>
  <c r="M21" i="1" s="1"/>
  <c r="G21" i="1"/>
  <c r="J20" i="1"/>
  <c r="I20" i="1"/>
  <c r="K20" i="1" s="1"/>
  <c r="H20" i="1"/>
  <c r="M20" i="1" s="1"/>
  <c r="G20" i="1"/>
  <c r="J19" i="1"/>
  <c r="I19" i="1"/>
  <c r="K19" i="1" s="1"/>
  <c r="H19" i="1"/>
  <c r="M19" i="1" s="1"/>
  <c r="G19" i="1"/>
  <c r="J18" i="1"/>
  <c r="I18" i="1"/>
  <c r="K18" i="1" s="1"/>
  <c r="H18" i="1"/>
  <c r="M18" i="1" s="1"/>
  <c r="G18" i="1"/>
  <c r="J17" i="1"/>
  <c r="I17" i="1"/>
  <c r="K17" i="1" s="1"/>
  <c r="H17" i="1"/>
  <c r="M17" i="1" s="1"/>
  <c r="G17" i="1"/>
  <c r="J16" i="1"/>
  <c r="I16" i="1"/>
  <c r="K16" i="1" s="1"/>
  <c r="H16" i="1"/>
  <c r="M16" i="1" s="1"/>
  <c r="G16" i="1"/>
  <c r="J15" i="1"/>
  <c r="I15" i="1"/>
  <c r="K15" i="1" s="1"/>
  <c r="H15" i="1"/>
  <c r="M15" i="1" s="1"/>
  <c r="G15" i="1"/>
  <c r="J14" i="1"/>
  <c r="I14" i="1"/>
  <c r="K14" i="1" s="1"/>
  <c r="H14" i="1"/>
  <c r="M14" i="1" s="1"/>
  <c r="G14" i="1"/>
  <c r="J13" i="1"/>
  <c r="I13" i="1"/>
  <c r="K13" i="1" s="1"/>
  <c r="H13" i="1"/>
  <c r="M13" i="1" s="1"/>
  <c r="G13" i="1"/>
  <c r="J12" i="1"/>
  <c r="I12" i="1"/>
  <c r="K12" i="1" s="1"/>
  <c r="H12" i="1"/>
  <c r="M12" i="1" s="1"/>
  <c r="G12" i="1"/>
  <c r="J11" i="1"/>
  <c r="I11" i="1"/>
  <c r="K11" i="1" s="1"/>
  <c r="H11" i="1"/>
  <c r="M11" i="1" s="1"/>
  <c r="G11" i="1"/>
  <c r="J10" i="1"/>
  <c r="I10" i="1"/>
  <c r="K10" i="1" s="1"/>
  <c r="H10" i="1"/>
  <c r="M10" i="1" s="1"/>
  <c r="G10" i="1"/>
  <c r="J9" i="1"/>
  <c r="I9" i="1"/>
  <c r="K9" i="1" s="1"/>
  <c r="H9" i="1"/>
  <c r="M9" i="1" s="1"/>
  <c r="G9" i="1"/>
  <c r="J8" i="1"/>
  <c r="I8" i="1"/>
  <c r="K8" i="1" s="1"/>
  <c r="H8" i="1"/>
  <c r="M8" i="1" s="1"/>
  <c r="G8" i="1"/>
</calcChain>
</file>

<file path=xl/sharedStrings.xml><?xml version="1.0" encoding="utf-8"?>
<sst xmlns="http://schemas.openxmlformats.org/spreadsheetml/2006/main" count="5528" uniqueCount="86">
  <si>
    <t>Item</t>
  </si>
  <si>
    <t>Category</t>
  </si>
  <si>
    <t>City</t>
  </si>
  <si>
    <t>Price_per_Kg</t>
  </si>
  <si>
    <t>Month</t>
  </si>
  <si>
    <t>Source</t>
  </si>
  <si>
    <t xml:space="preserve">Status </t>
  </si>
  <si>
    <t>National avg Price per Item</t>
  </si>
  <si>
    <t>Item_Quantity</t>
  </si>
  <si>
    <t>Year(2025)</t>
  </si>
  <si>
    <t>Revenue</t>
  </si>
  <si>
    <t>Std.Dev</t>
  </si>
  <si>
    <t>Z_Score</t>
  </si>
  <si>
    <t>Milk</t>
  </si>
  <si>
    <t>Dairy</t>
  </si>
  <si>
    <t>Lahore</t>
  </si>
  <si>
    <t>June</t>
  </si>
  <si>
    <t>Wholesale Market</t>
  </si>
  <si>
    <t>Beef (Local)</t>
  </si>
  <si>
    <t>Meat</t>
  </si>
  <si>
    <t>Sialkot</t>
  </si>
  <si>
    <t>April</t>
  </si>
  <si>
    <t>Mango</t>
  </si>
  <si>
    <t>Fruit</t>
  </si>
  <si>
    <t>Karachi</t>
  </si>
  <si>
    <t>October</t>
  </si>
  <si>
    <t>Municipal Report</t>
  </si>
  <si>
    <t>Flour (Atta)</t>
  </si>
  <si>
    <t>Grain</t>
  </si>
  <si>
    <t>Quetta</t>
  </si>
  <si>
    <t>Retailer Listing</t>
  </si>
  <si>
    <t>Tomato</t>
  </si>
  <si>
    <t>Vegetable</t>
  </si>
  <si>
    <t>Fish (Pomfret)</t>
  </si>
  <si>
    <t>Rawalpindi</t>
  </si>
  <si>
    <t>May</t>
  </si>
  <si>
    <t>Online Retailer</t>
  </si>
  <si>
    <t>Ghee</t>
  </si>
  <si>
    <t>Oil</t>
  </si>
  <si>
    <t>December</t>
  </si>
  <si>
    <t>Local Market Survey</t>
  </si>
  <si>
    <t>Potato</t>
  </si>
  <si>
    <t>January</t>
  </si>
  <si>
    <t>Hyderabad</t>
  </si>
  <si>
    <t>Apple</t>
  </si>
  <si>
    <t>Peshawar</t>
  </si>
  <si>
    <t>August</t>
  </si>
  <si>
    <t>Chicken Breast</t>
  </si>
  <si>
    <t>Mutton</t>
  </si>
  <si>
    <t>Faisalabad</t>
  </si>
  <si>
    <t>Eggplant</t>
  </si>
  <si>
    <t>Sugar</t>
  </si>
  <si>
    <t>Spinach</t>
  </si>
  <si>
    <t>Spices (Mixed)</t>
  </si>
  <si>
    <t>Condiment</t>
  </si>
  <si>
    <t>November</t>
  </si>
  <si>
    <t>Chicken (Whole)</t>
  </si>
  <si>
    <t>July</t>
  </si>
  <si>
    <t>Banana</t>
  </si>
  <si>
    <t>Chickpeas</t>
  </si>
  <si>
    <t>Pulses</t>
  </si>
  <si>
    <t>Islamabad</t>
  </si>
  <si>
    <t>February</t>
  </si>
  <si>
    <t>March</t>
  </si>
  <si>
    <t>Lentils (Masoor)</t>
  </si>
  <si>
    <t>Oranges</t>
  </si>
  <si>
    <t>Carrot</t>
  </si>
  <si>
    <t>Grapes</t>
  </si>
  <si>
    <t>Maize</t>
  </si>
  <si>
    <t>Multan</t>
  </si>
  <si>
    <t>Tea (Loose)</t>
  </si>
  <si>
    <t>Beverage</t>
  </si>
  <si>
    <t>September</t>
  </si>
  <si>
    <t>Salt</t>
  </si>
  <si>
    <t>Cooking Oil (Sunflower)</t>
  </si>
  <si>
    <t>Wheat</t>
  </si>
  <si>
    <t>Lentils (Moong)</t>
  </si>
  <si>
    <t>Yogurt</t>
  </si>
  <si>
    <t>Rice (Basmati)</t>
  </si>
  <si>
    <t>Onion</t>
  </si>
  <si>
    <t>Fish (Rohu)</t>
  </si>
  <si>
    <t>Rice (Irri)</t>
  </si>
  <si>
    <t>Cheese (Local)</t>
  </si>
  <si>
    <t>Guava</t>
  </si>
  <si>
    <t>Grand Total</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</si>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</sst>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_);_(@_)"/>
    <numFmt numFmtId="165" formatCode="[$Rs-420]\ #,##0"/>
  </numFmts>
  <fonts count="4" x14ac:knownFonts="1">
    <font>
      <sz val="11"/>
      <color theme="1"/>
      <name val="Calibri"/>
      <family val="2"/>
    </font>
    <font>
      <b/>
      <sz val="12"/>
      <color theme="1"/>
      <name val="Calibri"/>
      <family val="2"/>
      <charset val="1"/>
    </font>
    <font>
      <sz val="12"/>
      <color theme="1"/>
      <name val="Calibri"/>
      <family val="2"/>
      <charset val="1"/>
    </font>
    <font>
      <b/>
      <sz val="12"/>
      <color theme="1"/>
      <name val="Calibri"/>
      <family val="2"/>
    </font>
  </fonts>
  <fills count="3">
    <fill>
      <patternFill patternType="none"/>
    </fill>
    <fill>
      <patternFill patternType="gray125"/>
    </fill>
    <fill>
      <patternFill patternType="solid">
        <fgColor theme="4" tint="0.39988402966399123"/>
        <bgColor rgb="FF0F9ED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pivotButton="1"/>
    <xf numFmtId="165" fontId="0" fillId="0" borderId="0" xfId="0" applyNumberFormat="1"/>
    <xf numFmtId="0" fontId="0" fillId="0" borderId="1" xfId="0" applyBorder="1"/>
    <xf numFmtId="0" fontId="1" fillId="2" borderId="1" xfId="0" applyFont="1" applyFill="1" applyBorder="1"/>
    <xf numFmtId="0" fontId="1" fillId="2" borderId="1" xfId="0" applyFont="1" applyFill="1" applyBorder="1" applyAlignment="1">
      <alignment horizontal="center"/>
    </xf>
    <xf numFmtId="164" fontId="1" fillId="2" borderId="1" xfId="0" applyNumberFormat="1" applyFont="1" applyFill="1" applyBorder="1"/>
    <xf numFmtId="0" fontId="3" fillId="2" borderId="1" xfId="0" applyFont="1" applyFill="1" applyBorder="1" applyAlignment="1">
      <alignment horizontal="center"/>
    </xf>
    <xf numFmtId="0" fontId="2" fillId="0" borderId="1" xfId="0" applyFont="1" applyBorder="1"/>
    <xf numFmtId="0" fontId="2" fillId="0" borderId="1" xfId="0" applyFont="1" applyBorder="1" applyAlignment="1">
      <alignment horizontal="center"/>
    </xf>
    <xf numFmtId="164" fontId="2" fillId="0" borderId="1" xfId="0" applyNumberFormat="1" applyFont="1" applyBorder="1"/>
    <xf numFmtId="165" fontId="2" fillId="0" borderId="1" xfId="0" applyNumberFormat="1" applyFont="1" applyBorder="1" applyAlignment="1">
      <alignment horizontal="center"/>
    </xf>
    <xf numFmtId="14" fontId="2" fillId="0" borderId="1" xfId="0" applyNumberFormat="1" applyFont="1" applyBorder="1" applyAlignment="1">
      <alignment horizontal="center"/>
    </xf>
    <xf numFmtId="165" fontId="2" fillId="0" borderId="1" xfId="0" applyNumberFormat="1" applyFont="1" applyBorder="1"/>
    <xf numFmtId="9" fontId="2" fillId="0" borderId="1" xfId="0" applyNumberFormat="1" applyFont="1" applyBorder="1" applyAlignment="1">
      <alignment horizontal="center"/>
    </xf>
  </cellXfs>
  <cellStyles count="1">
    <cellStyle name="Normal"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microsoft.com/office/2011/relationships/timelineCache" Target="timelineCaches/timeline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[PK FOOD PRICE PER_KG-project1.xlsx]Pivot_Table pk 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Total_Revenue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 pk revenue'!$C$2</c:f>
              <c:strCache>
                <c:ptCount val="1"/>
                <c:pt idx="0">
                  <c:v>Total</c:v>
                </c:pt>
              </c:strCache>
            </c:strRef>
          </c:tx>
          <c:spPr>
            <a:solidFill>
              <a:schemeClr val="accent3"/>
            </a:solidFill>
            <a:ln>
              <a:noFill/>
            </a:ln>
            <a:effectLst/>
          </c:spPr>
          <c:invertIfNegative val="0"/>
          <c:cat>
            <c:strRef>
              <c:f>'Pivot_Table pk revenue'!$B$3:$B$15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 pk revenue'!$C$3:$C$15</c:f>
              <c:numCache>
                <c:formatCode>[$Rs-420]\ #,##0</c:formatCode>
                <c:ptCount val="12"/>
                <c:pt idx="0">
                  <c:v>1158351.2700000003</c:v>
                </c:pt>
                <c:pt idx="1">
                  <c:v>1001922.1199999996</c:v>
                </c:pt>
                <c:pt idx="2">
                  <c:v>919488.89</c:v>
                </c:pt>
                <c:pt idx="3">
                  <c:v>1177174.5800000003</c:v>
                </c:pt>
                <c:pt idx="4">
                  <c:v>822854.23999999976</c:v>
                </c:pt>
                <c:pt idx="5">
                  <c:v>1386892.4299999995</c:v>
                </c:pt>
                <c:pt idx="6">
                  <c:v>1228469.1900000002</c:v>
                </c:pt>
                <c:pt idx="7">
                  <c:v>1068701.0300000003</c:v>
                </c:pt>
                <c:pt idx="8">
                  <c:v>1051446.9699999997</c:v>
                </c:pt>
                <c:pt idx="9">
                  <c:v>1052116.2599999995</c:v>
                </c:pt>
                <c:pt idx="10">
                  <c:v>1197932.9300000002</c:v>
                </c:pt>
                <c:pt idx="11">
                  <c:v>1357713.7500000005</c:v>
                </c:pt>
              </c:numCache>
            </c:numRef>
          </c:val>
          <c:extLst>
            <c:ext xmlns:c16="http://schemas.microsoft.com/office/drawing/2014/chart" uri="{C3380CC4-5D6E-409C-BE32-E72D297353CC}">
              <c16:uniqueId val="{00000000-1646-4FF0-8029-60FC8C5DB11B}"/>
            </c:ext>
          </c:extLst>
        </c:ser>
        <c:dLbls>
          <c:showLegendKey val="0"/>
          <c:showVal val="0"/>
          <c:showCatName val="0"/>
          <c:showSerName val="0"/>
          <c:showPercent val="0"/>
          <c:showBubbleSize val="0"/>
        </c:dLbls>
        <c:gapWidth val="182"/>
        <c:axId val="1496914608"/>
        <c:axId val="1496917968"/>
      </c:barChart>
      <c:catAx>
        <c:axId val="149691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917968"/>
        <c:crosses val="autoZero"/>
        <c:auto val="1"/>
        <c:lblAlgn val="ctr"/>
        <c:lblOffset val="100"/>
        <c:noMultiLvlLbl val="0"/>
      </c:catAx>
      <c:valAx>
        <c:axId val="1496917968"/>
        <c:scaling>
          <c:orientation val="minMax"/>
        </c:scaling>
        <c:delete val="0"/>
        <c:axPos val="b"/>
        <c:numFmt formatCode="[$Rs-42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91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19051</xdr:rowOff>
    </xdr:from>
    <xdr:to>
      <xdr:col>4</xdr:col>
      <xdr:colOff>800100</xdr:colOff>
      <xdr:row>5</xdr:row>
      <xdr:rowOff>171450</xdr:rowOff>
    </xdr:to>
    <mc:AlternateContent xmlns:mc="http://schemas.openxmlformats.org/markup-compatibility/2006" xmlns:sle15="http://schemas.microsoft.com/office/drawing/2012/slicer">
      <mc:Choice Requires="sle15">
        <xdr:graphicFrame macro="">
          <xdr:nvGraphicFramePr>
            <xdr:cNvPr id="2" name="City">
              <a:extLst>
                <a:ext uri="{FF2B5EF4-FFF2-40B4-BE49-F238E27FC236}">
                  <a16:creationId xmlns:a16="http://schemas.microsoft.com/office/drawing/2014/main" id="{D3807C3A-4FB5-4CF0-84FD-9F7CB640A69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9051"/>
              <a:ext cx="5200650" cy="10731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6350</xdr:colOff>
      <xdr:row>0</xdr:row>
      <xdr:rowOff>12700</xdr:rowOff>
    </xdr:from>
    <xdr:to>
      <xdr:col>9</xdr:col>
      <xdr:colOff>19050</xdr:colOff>
      <xdr:row>5</xdr:row>
      <xdr:rowOff>158750</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525176E2-DEB1-6AA2-F00C-B1F94010AA5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3350" y="12700"/>
              <a:ext cx="5607050" cy="1066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12700</xdr:colOff>
      <xdr:row>1</xdr:row>
      <xdr:rowOff>25400</xdr:rowOff>
    </xdr:from>
    <xdr:to>
      <xdr:col>10</xdr:col>
      <xdr:colOff>565150</xdr:colOff>
      <xdr:row>8</xdr:row>
      <xdr:rowOff>107950</xdr:rowOff>
    </xdr:to>
    <mc:AlternateContent xmlns:mc="http://schemas.openxmlformats.org/markup-compatibility/2006" xmlns:tsle="http://schemas.microsoft.com/office/drawing/2012/timeslicer">
      <mc:Choice Requires="tsle">
        <xdr:graphicFrame macro="">
          <xdr:nvGraphicFramePr>
            <xdr:cNvPr id="2" name="Year(2025)">
              <a:extLst>
                <a:ext uri="{FF2B5EF4-FFF2-40B4-BE49-F238E27FC236}">
                  <a16:creationId xmlns:a16="http://schemas.microsoft.com/office/drawing/2014/main" id="{8B14EEF9-3AD1-3244-874F-82C03FAB8163}"/>
                </a:ext>
              </a:extLst>
            </xdr:cNvPr>
            <xdr:cNvGraphicFramePr/>
          </xdr:nvGraphicFramePr>
          <xdr:xfrm>
            <a:off x="0" y="0"/>
            <a:ext cx="0" cy="0"/>
          </xdr:xfrm>
          <a:graphic>
            <a:graphicData uri="http://schemas.microsoft.com/office/drawing/2012/timeslicer">
              <tsle:timeslicer name="Year(2025)"/>
            </a:graphicData>
          </a:graphic>
        </xdr:graphicFrame>
      </mc:Choice>
      <mc:Fallback xmlns="">
        <xdr:sp macro="" textlink="">
          <xdr:nvSpPr>
            <xdr:cNvPr id="0" name=""/>
            <xdr:cNvSpPr>
              <a:spLocks noTextEdit="1"/>
            </xdr:cNvSpPr>
          </xdr:nvSpPr>
          <xdr:spPr>
            <a:xfrm>
              <a:off x="2984500" y="209550"/>
              <a:ext cx="42100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542925</xdr:colOff>
      <xdr:row>9</xdr:row>
      <xdr:rowOff>38100</xdr:rowOff>
    </xdr:from>
    <xdr:to>
      <xdr:col>10</xdr:col>
      <xdr:colOff>596900</xdr:colOff>
      <xdr:row>24</xdr:row>
      <xdr:rowOff>19050</xdr:rowOff>
    </xdr:to>
    <xdr:graphicFrame macro="">
      <xdr:nvGraphicFramePr>
        <xdr:cNvPr id="3" name="Chart 2">
          <a:extLst>
            <a:ext uri="{FF2B5EF4-FFF2-40B4-BE49-F238E27FC236}">
              <a16:creationId xmlns:a16="http://schemas.microsoft.com/office/drawing/2014/main" id="{00995F0C-7249-1DAD-8E8C-1D2274F05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6.789812847222" createdVersion="8" refreshedVersion="8" minRefreshableVersion="3" recordCount="1100" xr:uid="{0897DAB3-A47A-4C0B-868F-CD4AD26098DA}">
  <cacheSource type="worksheet">
    <worksheetSource name="Table1"/>
  </cacheSource>
  <cacheFields count="13">
    <cacheField name="Item" numFmtId="0">
      <sharedItems/>
    </cacheField>
    <cacheField name="Category" numFmtId="0">
      <sharedItems/>
    </cacheField>
    <cacheField name="City" numFmtId="0">
      <sharedItems/>
    </cacheField>
    <cacheField name="Price_per_Kg" numFmtId="164">
      <sharedItems containsSemiMixedTypes="0" containsString="0" containsNumber="1" minValue="34.21" maxValue="1406.41"/>
    </cacheField>
    <cacheField name="Month" numFmtId="0">
      <sharedItems count="12">
        <s v="June"/>
        <s v="April"/>
        <s v="October"/>
        <s v="May"/>
        <s v="December"/>
        <s v="January"/>
        <s v="August"/>
        <s v="November"/>
        <s v="July"/>
        <s v="February"/>
        <s v="March"/>
        <s v="September"/>
      </sharedItems>
    </cacheField>
    <cacheField name="Source" numFmtId="0">
      <sharedItems/>
    </cacheField>
    <cacheField name="Status " numFmtId="0">
      <sharedItems/>
    </cacheField>
    <cacheField name="National avg Price per Item" numFmtId="165">
      <sharedItems containsSemiMixedTypes="0" containsString="0" containsNumber="1" minValue="40.881379310344826" maxValue="1235.856"/>
    </cacheField>
    <cacheField name="Item_Quantity" numFmtId="0">
      <sharedItems containsSemiMixedTypes="0" containsString="0" containsNumber="1" containsInteger="1" minValue="22" maxValue="48"/>
    </cacheField>
    <cacheField name="Year(2025)" numFmtId="14">
      <sharedItems containsSemiMixedTypes="0" containsNonDate="0" containsDate="1" containsString="0" minDate="2025-01-01T00:00:00" maxDate="2025-12-02T00:00:00" count="12">
        <d v="2025-06-01T00:00:00"/>
        <d v="2025-04-01T00:00:00"/>
        <d v="2025-10-01T00:00:00"/>
        <d v="2025-05-01T00:00:00"/>
        <d v="2025-12-01T00:00:00"/>
        <d v="2025-01-01T00:00:00"/>
        <d v="2025-08-01T00:00:00"/>
        <d v="2025-11-01T00:00:00"/>
        <d v="2025-07-01T00:00:00"/>
        <d v="2025-02-01T00:00:00"/>
        <d v="2025-03-01T00:00:00"/>
        <d v="2025-09-01T00:00:00"/>
      </sharedItems>
    </cacheField>
    <cacheField name="Revenue" numFmtId="165">
      <sharedItems containsSemiMixedTypes="0" containsString="0" containsNumber="1" minValue="992.09" maxValue="50761.919999999998"/>
    </cacheField>
    <cacheField name="Std.Dev" numFmtId="165">
      <sharedItems containsSemiMixedTypes="0" containsString="0" containsNumber="1" minValue="329.93639282487101" maxValue="708.26643630769297"/>
    </cacheField>
    <cacheField name="Z_Score" numFmtId="9">
      <sharedItems containsSemiMixedTypes="0" containsString="0" containsNumber="1" minValue="-0.64399584331414483" maxValue="0.49481441807625182"/>
    </cacheField>
  </cacheFields>
  <extLst>
    <ext xmlns:x14="http://schemas.microsoft.com/office/spreadsheetml/2009/9/main" uri="{725AE2AE-9491-48be-B2B4-4EB974FC3084}">
      <x14:pivotCacheDefinition pivotCacheId="1306945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
  <r>
    <s v="Milk"/>
    <s v="Dairy"/>
    <s v="Lahore"/>
    <n v="188.93"/>
    <x v="0"/>
    <s v="Wholesale Market"/>
    <s v="Low Averg"/>
    <n v="206.78702702702708"/>
    <n v="37"/>
    <x v="0"/>
    <n v="6990.41"/>
    <n v="347.367617402473"/>
    <n v="-5.140671188799173E-2"/>
  </r>
  <r>
    <s v="Beef (Local)"/>
    <s v="Meat"/>
    <s v="Sialkot"/>
    <n v="866.6"/>
    <x v="1"/>
    <s v="Wholesale Market"/>
    <s v="Above Averg"/>
    <n v="920.12567567567555"/>
    <n v="37"/>
    <x v="1"/>
    <n v="32064.2"/>
    <n v="347.48188451693801"/>
    <n v="-0.15403875154552529"/>
  </r>
  <r>
    <s v="Mango"/>
    <s v="Fruit"/>
    <s v="Karachi"/>
    <n v="243.67"/>
    <x v="2"/>
    <s v="Municipal Report"/>
    <s v="Low Averg"/>
    <n v="257.40029411764709"/>
    <n v="34"/>
    <x v="2"/>
    <n v="8284.7799999999988"/>
    <n v="347.31905691948799"/>
    <n v="-3.9532222157420874E-2"/>
  </r>
  <r>
    <s v="Flour (Atta)"/>
    <s v="Grain"/>
    <s v="Quetta"/>
    <n v="121.4"/>
    <x v="0"/>
    <s v="Retailer Listing"/>
    <s v="Low Averg"/>
    <n v="113.26108695652174"/>
    <n v="46"/>
    <x v="0"/>
    <n v="5584.4000000000005"/>
    <n v="347.45597832769198"/>
    <n v="2.3424299914627786E-2"/>
  </r>
  <r>
    <s v="Tomato"/>
    <s v="Vegetable"/>
    <s v="Karachi"/>
    <n v="127.83"/>
    <x v="0"/>
    <s v="Retailer Listing"/>
    <s v="Low Averg"/>
    <n v="123.43305555555558"/>
    <n v="36"/>
    <x v="0"/>
    <n v="4601.88"/>
    <n v="347.53223801553702"/>
    <n v="1.2651903804814338E-2"/>
  </r>
  <r>
    <s v="Fish (Pomfret)"/>
    <s v="Meat"/>
    <s v="Rawalpindi"/>
    <n v="1109.04"/>
    <x v="3"/>
    <s v="Online Retailer"/>
    <s v="Above Averg"/>
    <n v="1113.4854166666667"/>
    <n v="24"/>
    <x v="3"/>
    <n v="26616.959999999999"/>
    <n v="347.61265471966902"/>
    <n v="-1.2788420117362177E-2"/>
  </r>
  <r>
    <s v="Ghee"/>
    <s v="Oil"/>
    <s v="Quetta"/>
    <n v="1010.15"/>
    <x v="4"/>
    <s v="Local Market Survey"/>
    <s v="Above Averg"/>
    <n v="1024.1451428571424"/>
    <n v="35"/>
    <x v="4"/>
    <n v="35355.25"/>
    <n v="347.05591886939999"/>
    <n v="-4.0325325390600693E-2"/>
  </r>
  <r>
    <s v="Potato"/>
    <s v="Vegetable"/>
    <s v="Quetta"/>
    <n v="65.599999999999994"/>
    <x v="5"/>
    <s v="Retailer Listing"/>
    <s v="Low Averg"/>
    <n v="70.278611111111118"/>
    <n v="36"/>
    <x v="5"/>
    <n v="2361.6"/>
    <n v="346.67592151279803"/>
    <n v="-1.3495633301254256E-2"/>
  </r>
  <r>
    <s v="Mango"/>
    <s v="Fruit"/>
    <s v="Hyderabad"/>
    <n v="281.27"/>
    <x v="5"/>
    <s v="Municipal Report"/>
    <s v="Low Averg"/>
    <n v="257.40029411764709"/>
    <n v="34"/>
    <x v="5"/>
    <n v="9563.18"/>
    <n v="346.71149990669898"/>
    <n v="6.8846017189439321E-2"/>
  </r>
  <r>
    <s v="Apple"/>
    <s v="Fruit"/>
    <s v="Peshawar"/>
    <n v="192.97"/>
    <x v="6"/>
    <s v="Retailer Listing"/>
    <s v="Low Averg"/>
    <n v="206.14838709677423"/>
    <n v="31"/>
    <x v="6"/>
    <n v="5982.07"/>
    <n v="346.859814474735"/>
    <n v="-3.7993409864243967E-2"/>
  </r>
  <r>
    <s v="Beef (Local)"/>
    <s v="Meat"/>
    <s v="Hyderabad"/>
    <n v="1050.9100000000001"/>
    <x v="0"/>
    <s v="Online Retailer"/>
    <s v="Above Averg"/>
    <n v="920.12567567567555"/>
    <n v="37"/>
    <x v="0"/>
    <n v="38883.670000000006"/>
    <n v="346.97695295198702"/>
    <n v="0.37692510471270935"/>
  </r>
  <r>
    <s v="Flour (Atta)"/>
    <s v="Grain"/>
    <s v="Peshawar"/>
    <n v="105.53"/>
    <x v="3"/>
    <s v="Wholesale Market"/>
    <s v="Low Averg"/>
    <n v="113.26108695652174"/>
    <n v="46"/>
    <x v="3"/>
    <n v="4854.38"/>
    <n v="346.52397742451501"/>
    <n v="-2.2310395413275078E-2"/>
  </r>
  <r>
    <s v="Chicken Breast"/>
    <s v="Meat"/>
    <s v="Lahore"/>
    <n v="590.91999999999996"/>
    <x v="5"/>
    <s v="Municipal Report"/>
    <s v="Above Averg"/>
    <n v="673.04079999999988"/>
    <n v="25"/>
    <x v="5"/>
    <n v="14772.999999999998"/>
    <n v="346.589898504421"/>
    <n v="-0.23693939250497922"/>
  </r>
  <r>
    <s v="Flour (Atta)"/>
    <s v="Grain"/>
    <s v="Hyderabad"/>
    <n v="111.74"/>
    <x v="6"/>
    <s v="Wholesale Market"/>
    <s v="Low Averg"/>
    <n v="113.26108695652174"/>
    <n v="46"/>
    <x v="6"/>
    <n v="5140.04"/>
    <n v="346.68515464319199"/>
    <n v="-4.3875168467690613E-3"/>
  </r>
  <r>
    <s v="Mutton"/>
    <s v="Meat"/>
    <s v="Faisalabad"/>
    <n v="1281.94"/>
    <x v="2"/>
    <s v="Wholesale Market"/>
    <s v="Above Averg"/>
    <n v="1235.856"/>
    <n v="25"/>
    <x v="2"/>
    <n v="32048.5"/>
    <n v="346.75561693175098"/>
    <n v="0.13290051479993875"/>
  </r>
  <r>
    <s v="Tomato"/>
    <s v="Vegetable"/>
    <s v="Faisalabad"/>
    <n v="127.77"/>
    <x v="0"/>
    <s v="Retailer Listing"/>
    <s v="Low Averg"/>
    <n v="123.43305555555558"/>
    <n v="36"/>
    <x v="0"/>
    <n v="4599.72"/>
    <n v="345.80953858315797"/>
    <n v="1.2541425150427114E-2"/>
  </r>
  <r>
    <s v="Eggplant"/>
    <s v="Vegetable"/>
    <s v="Quetta"/>
    <n v="84.96"/>
    <x v="6"/>
    <s v="Municipal Report"/>
    <s v="Low Averg"/>
    <n v="81.934666666666672"/>
    <n v="30"/>
    <x v="6"/>
    <n v="2548.7999999999997"/>
    <n v="345.89064302809601"/>
    <n v="8.7465023825104744E-3"/>
  </r>
  <r>
    <s v="Sugar"/>
    <s v="Grain"/>
    <s v="Karachi"/>
    <n v="120.82"/>
    <x v="3"/>
    <s v="Online Retailer"/>
    <s v="Low Averg"/>
    <n v="122.0377142857143"/>
    <n v="35"/>
    <x v="3"/>
    <n v="4228.7"/>
    <n v="345.94150569885602"/>
    <n v="-3.5200005366639504E-3"/>
  </r>
  <r>
    <s v="Spinach"/>
    <s v="Vegetable"/>
    <s v="Sialkot"/>
    <n v="70.290000000000006"/>
    <x v="1"/>
    <s v="Retailer Listing"/>
    <s v="Low Averg"/>
    <n v="62.182121212121217"/>
    <n v="33"/>
    <x v="1"/>
    <n v="2319.5700000000002"/>
    <n v="346.01795230334102"/>
    <n v="2.3431959913949536E-2"/>
  </r>
  <r>
    <s v="Spices (Mixed)"/>
    <s v="Condiment"/>
    <s v="Rawalpindi"/>
    <n v="747.99"/>
    <x v="5"/>
    <s v="Municipal Report"/>
    <s v="Above Averg"/>
    <n v="810.77454545454566"/>
    <n v="33"/>
    <x v="5"/>
    <n v="24683.670000000002"/>
    <n v="346.05710684696697"/>
    <n v="-0.1814282793571125"/>
  </r>
  <r>
    <s v="Spices (Mixed)"/>
    <s v="Condiment"/>
    <s v="Sialkot"/>
    <n v="771.03"/>
    <x v="7"/>
    <s v="Wholesale Market"/>
    <s v="Above Averg"/>
    <n v="810.77454545454566"/>
    <n v="33"/>
    <x v="7"/>
    <n v="25443.989999999998"/>
    <n v="346.02718128450601"/>
    <n v="-0.11485960526860299"/>
  </r>
  <r>
    <s v="Chicken (Whole)"/>
    <s v="Meat"/>
    <s v="Quetta"/>
    <n v="582.55999999999995"/>
    <x v="2"/>
    <s v="Wholesale Market"/>
    <s v="Above Averg"/>
    <n v="533.4588235294118"/>
    <n v="34"/>
    <x v="2"/>
    <n v="19807.039999999997"/>
    <n v="345.972813151325"/>
    <n v="0.14192206613966452"/>
  </r>
  <r>
    <s v="Milk"/>
    <s v="Dairy"/>
    <s v="Peshawar"/>
    <n v="216.45"/>
    <x v="0"/>
    <s v="Local Market Survey"/>
    <s v="Low Averg"/>
    <n v="206.78702702702708"/>
    <n v="37"/>
    <x v="0"/>
    <n v="8008.65"/>
    <n v="346.073006351027"/>
    <n v="2.7921776028875283E-2"/>
  </r>
  <r>
    <s v="Mango"/>
    <s v="Fruit"/>
    <s v="Hyderabad"/>
    <n v="238.43"/>
    <x v="8"/>
    <s v="Wholesale Market"/>
    <s v="Low Averg"/>
    <n v="257.40029411764709"/>
    <n v="34"/>
    <x v="8"/>
    <n v="8106.62"/>
    <n v="346.20199224029102"/>
    <n v="-5.479545046777267E-2"/>
  </r>
  <r>
    <s v="Banana"/>
    <s v="Fruit"/>
    <s v="Rawalpindi"/>
    <n v="131.91"/>
    <x v="1"/>
    <s v="Municipal Report"/>
    <s v="Low Averg"/>
    <n v="121.60903225806452"/>
    <n v="31"/>
    <x v="1"/>
    <n v="4089.21"/>
    <n v="346.33956005383197"/>
    <n v="2.9742394257053363E-2"/>
  </r>
  <r>
    <s v="Chickpeas"/>
    <s v="Pulses"/>
    <s v="Lahore"/>
    <n v="179.05"/>
    <x v="2"/>
    <s v="Retailer Listing"/>
    <s v="Low Averg"/>
    <n v="203.25225806451613"/>
    <n v="31"/>
    <x v="2"/>
    <n v="5550.55"/>
    <n v="346.42416689898198"/>
    <n v="-6.9863076474031172E-2"/>
  </r>
  <r>
    <s v="Fish (Pomfret)"/>
    <s v="Meat"/>
    <s v="Islamabad"/>
    <n v="1194.76"/>
    <x v="9"/>
    <s v="Wholesale Market"/>
    <s v="Above Averg"/>
    <n v="1113.4854166666667"/>
    <n v="24"/>
    <x v="9"/>
    <n v="28674.239999999998"/>
    <n v="346.53608838643601"/>
    <n v="0.23453425503753264"/>
  </r>
  <r>
    <s v="Fish (Pomfret)"/>
    <s v="Meat"/>
    <s v="Quetta"/>
    <n v="1280.22"/>
    <x v="4"/>
    <s v="Wholesale Market"/>
    <s v="Above Averg"/>
    <n v="1113.4854166666667"/>
    <n v="24"/>
    <x v="4"/>
    <n v="30725.279999999999"/>
    <n v="345.78260410489099"/>
    <n v="0.48219482806241892"/>
  </r>
  <r>
    <s v="Spices (Mixed)"/>
    <s v="Condiment"/>
    <s v="Faisalabad"/>
    <n v="814.16"/>
    <x v="10"/>
    <s v="Local Market Survey"/>
    <s v="Above Averg"/>
    <n v="810.77454545454566"/>
    <n v="33"/>
    <x v="10"/>
    <n v="26867.279999999999"/>
    <n v="344.82351768042798"/>
    <n v="9.8179340209383435E-3"/>
  </r>
  <r>
    <s v="Lentils (Masoor)"/>
    <s v="Pulses"/>
    <s v="Hyderabad"/>
    <n v="244.61"/>
    <x v="0"/>
    <s v="Local Market Survey"/>
    <s v="Low Averg"/>
    <n v="249.29749999999999"/>
    <n v="32"/>
    <x v="0"/>
    <n v="7827.52"/>
    <n v="344.716235841497"/>
    <n v="-1.3598141058129091E-2"/>
  </r>
  <r>
    <s v="Beef (Local)"/>
    <s v="Meat"/>
    <s v="Karachi"/>
    <n v="982.68"/>
    <x v="4"/>
    <s v="Municipal Report"/>
    <s v="Above Averg"/>
    <n v="920.12567567567555"/>
    <n v="37"/>
    <x v="4"/>
    <n v="36359.159999999996"/>
    <n v="344.85645454801801"/>
    <n v="0.18139235470106099"/>
  </r>
  <r>
    <s v="Lentils (Masoor)"/>
    <s v="Pulses"/>
    <s v="Islamabad"/>
    <n v="254.18"/>
    <x v="1"/>
    <s v="Municipal Report"/>
    <s v="Low Averg"/>
    <n v="249.29749999999999"/>
    <n v="32"/>
    <x v="1"/>
    <n v="8133.76"/>
    <n v="344.50603988418601"/>
    <n v="1.4172465602174613E-2"/>
  </r>
  <r>
    <s v="Sugar"/>
    <s v="Grain"/>
    <s v="Lahore"/>
    <n v="120.63"/>
    <x v="3"/>
    <s v="Online Retailer"/>
    <s v="Low Averg"/>
    <n v="122.0377142857143"/>
    <n v="35"/>
    <x v="3"/>
    <n v="4222.05"/>
    <n v="344.649666064114"/>
    <n v="-4.0844788906670045E-3"/>
  </r>
  <r>
    <s v="Oranges"/>
    <s v="Fruit"/>
    <s v="Rawalpindi"/>
    <n v="154.55000000000001"/>
    <x v="5"/>
    <s v="Municipal Report"/>
    <s v="Low Averg"/>
    <n v="151.26457142857143"/>
    <n v="35"/>
    <x v="5"/>
    <n v="5409.25"/>
    <n v="344.72757520073299"/>
    <n v="9.5305070083688409E-3"/>
  </r>
  <r>
    <s v="Carrot"/>
    <s v="Vegetable"/>
    <s v="Sialkot"/>
    <n v="163.29"/>
    <x v="1"/>
    <s v="Online Retailer"/>
    <s v="Low Averg"/>
    <n v="141.74161290322584"/>
    <n v="31"/>
    <x v="1"/>
    <n v="5061.99"/>
    <n v="344.82683194716401"/>
    <n v="6.2490459269352608E-2"/>
  </r>
  <r>
    <s v="Chicken Breast"/>
    <s v="Meat"/>
    <s v="Sialkot"/>
    <n v="711"/>
    <x v="0"/>
    <s v="Municipal Report"/>
    <s v="Above Averg"/>
    <n v="673.04079999999988"/>
    <n v="25"/>
    <x v="0"/>
    <n v="17775"/>
    <n v="344.93113669260703"/>
    <n v="0.1100486327908063"/>
  </r>
  <r>
    <s v="Grapes"/>
    <s v="Fruit"/>
    <s v="Hyderabad"/>
    <n v="235.43"/>
    <x v="0"/>
    <s v="Municipal Report"/>
    <s v="Low Averg"/>
    <n v="226.566129032258"/>
    <n v="31"/>
    <x v="0"/>
    <n v="7298.33"/>
    <n v="344.93391206972399"/>
    <n v="2.5697302171757135E-2"/>
  </r>
  <r>
    <s v="Maize"/>
    <s v="Grain"/>
    <s v="Peshawar"/>
    <n v="105.04"/>
    <x v="7"/>
    <s v="Wholesale Market"/>
    <s v="Low Averg"/>
    <n v="102.25285714285715"/>
    <n v="28"/>
    <x v="7"/>
    <n v="2941.1200000000003"/>
    <n v="345.071955203676"/>
    <n v="8.0769903642206008E-3"/>
  </r>
  <r>
    <s v="Potato"/>
    <s v="Vegetable"/>
    <s v="Lahore"/>
    <n v="68.81"/>
    <x v="7"/>
    <s v="Online Retailer"/>
    <s v="Low Averg"/>
    <n v="70.278611111111118"/>
    <n v="36"/>
    <x v="7"/>
    <n v="2477.16"/>
    <n v="345.13932507356998"/>
    <n v="-4.2551254071035412E-3"/>
  </r>
  <r>
    <s v="Chicken Breast"/>
    <s v="Meat"/>
    <s v="Multan"/>
    <n v="643.05999999999995"/>
    <x v="6"/>
    <s v="Local Market Survey"/>
    <s v="Above Averg"/>
    <n v="673.04079999999988"/>
    <n v="25"/>
    <x v="6"/>
    <n v="16076.499999999998"/>
    <n v="345.17864896093698"/>
    <n v="-8.6855893579306481E-2"/>
  </r>
  <r>
    <s v="Tea (Loose)"/>
    <s v="Beverage"/>
    <s v="Sialkot"/>
    <n v="910.93"/>
    <x v="11"/>
    <s v="Retailer Listing"/>
    <s v="Above Averg"/>
    <n v="911.5772916666665"/>
    <n v="48"/>
    <x v="11"/>
    <n v="43724.639999999999"/>
    <n v="345.23918104425098"/>
    <n v="-1.8749078963421026E-3"/>
  </r>
  <r>
    <s v="Salt"/>
    <s v="Condiment"/>
    <s v="Peshawar"/>
    <n v="43.91"/>
    <x v="9"/>
    <s v="Retailer Listing"/>
    <s v="Low Averg"/>
    <n v="40.881379310344826"/>
    <n v="29"/>
    <x v="9"/>
    <n v="1273.3899999999999"/>
    <n v="345.00025389317301"/>
    <n v="8.7786042342825697E-3"/>
  </r>
  <r>
    <s v="Cooking Oil (Sunflower)"/>
    <s v="Oil"/>
    <s v="Multan"/>
    <n v="343.24"/>
    <x v="11"/>
    <s v="Local Market Survey"/>
    <s v="Low Averg"/>
    <n v="368.73933333333326"/>
    <n v="30"/>
    <x v="11"/>
    <n v="10297.200000000001"/>
    <n v="345.018624554474"/>
    <n v="-7.3907121293120909E-2"/>
  </r>
  <r>
    <s v="Ghee"/>
    <s v="Oil"/>
    <s v="Sialkot"/>
    <n v="1185.1600000000001"/>
    <x v="0"/>
    <s v="Online Retailer"/>
    <s v="Above Averg"/>
    <n v="1024.1451428571424"/>
    <n v="35"/>
    <x v="0"/>
    <n v="41480.600000000006"/>
    <n v="345.18103123135398"/>
    <n v="0.46646496352500644"/>
  </r>
  <r>
    <s v="Chicken (Whole)"/>
    <s v="Meat"/>
    <s v="Rawalpindi"/>
    <n v="549.88"/>
    <x v="5"/>
    <s v="Municipal Report"/>
    <s v="Above Averg"/>
    <n v="533.4588235294118"/>
    <n v="34"/>
    <x v="5"/>
    <n v="18695.919999999998"/>
    <n v="344.42856154348698"/>
    <n v="4.7676581747460228E-2"/>
  </r>
  <r>
    <s v="Carrot"/>
    <s v="Vegetable"/>
    <s v="Islamabad"/>
    <n v="154.72999999999999"/>
    <x v="2"/>
    <s v="Local Market Survey"/>
    <s v="Low Averg"/>
    <n v="141.74161290322584"/>
    <n v="31"/>
    <x v="2"/>
    <n v="4796.63"/>
    <n v="344.54648671649898"/>
    <n v="3.7697052785394675E-2"/>
  </r>
  <r>
    <s v="Spinach"/>
    <s v="Vegetable"/>
    <s v="Quetta"/>
    <n v="63.49"/>
    <x v="0"/>
    <s v="Wholesale Market"/>
    <s v="Low Averg"/>
    <n v="62.182121212121217"/>
    <n v="33"/>
    <x v="0"/>
    <n v="2095.17"/>
    <n v="344.647245700138"/>
    <n v="3.7948331350273179E-3"/>
  </r>
  <r>
    <s v="Mutton"/>
    <s v="Meat"/>
    <s v="Hyderabad"/>
    <n v="1406.41"/>
    <x v="3"/>
    <s v="Wholesale Market"/>
    <s v="Above Averg"/>
    <n v="1235.856"/>
    <n v="25"/>
    <x v="3"/>
    <n v="35160.25"/>
    <n v="344.682761393823"/>
    <n v="0.49481441807625182"/>
  </r>
  <r>
    <s v="Wheat"/>
    <s v="Grain"/>
    <s v="Lahore"/>
    <n v="115.59"/>
    <x v="7"/>
    <s v="Retailer Listing"/>
    <s v="Low Averg"/>
    <n v="120.53625"/>
    <n v="24"/>
    <x v="7"/>
    <n v="2774.16"/>
    <n v="343.35631854609699"/>
    <n v="-1.4405588983899644E-2"/>
  </r>
  <r>
    <s v="Chicken Breast"/>
    <s v="Meat"/>
    <s v="Quetta"/>
    <n v="611.47"/>
    <x v="9"/>
    <s v="Municipal Report"/>
    <s v="Above Averg"/>
    <n v="673.04079999999988"/>
    <n v="25"/>
    <x v="9"/>
    <n v="15286.75"/>
    <n v="343.43161505799799"/>
    <n v="-0.17928110663196195"/>
  </r>
  <r>
    <s v="Tea (Loose)"/>
    <s v="Beverage"/>
    <s v="Rawalpindi"/>
    <n v="959.24"/>
    <x v="8"/>
    <s v="Retailer Listing"/>
    <s v="Above Averg"/>
    <n v="911.5772916666665"/>
    <n v="48"/>
    <x v="8"/>
    <n v="46043.520000000004"/>
    <n v="343.51287728176601"/>
    <n v="0.13875086346250198"/>
  </r>
  <r>
    <s v="Grapes"/>
    <s v="Fruit"/>
    <s v="Faisalabad"/>
    <n v="217.14"/>
    <x v="3"/>
    <s v="Local Market Survey"/>
    <s v="Low Averg"/>
    <n v="226.566129032258"/>
    <n v="31"/>
    <x v="3"/>
    <n v="6731.3399999999992"/>
    <n v="343.19008695414999"/>
    <n v="-2.746620427156261E-2"/>
  </r>
  <r>
    <s v="Lentils (Moong)"/>
    <s v="Pulses"/>
    <s v="Sialkot"/>
    <n v="349.83"/>
    <x v="3"/>
    <s v="Online Retailer"/>
    <s v="Low Averg"/>
    <n v="304.90820512820511"/>
    <n v="39"/>
    <x v="3"/>
    <n v="13643.369999999999"/>
    <n v="343.32263330991799"/>
    <n v="0.13084425701478261"/>
  </r>
  <r>
    <s v="Chickpeas"/>
    <s v="Pulses"/>
    <s v="Faisalabad"/>
    <n v="222.18"/>
    <x v="1"/>
    <s v="Municipal Report"/>
    <s v="Low Averg"/>
    <n v="203.25225806451613"/>
    <n v="31"/>
    <x v="1"/>
    <n v="6887.58"/>
    <n v="343.48628413895801"/>
    <n v="5.5104796929319681E-2"/>
  </r>
  <r>
    <s v="Tea (Loose)"/>
    <s v="Beverage"/>
    <s v="Faisalabad"/>
    <n v="957.43"/>
    <x v="5"/>
    <s v="Wholesale Market"/>
    <s v="Above Averg"/>
    <n v="911.5772916666665"/>
    <n v="48"/>
    <x v="5"/>
    <n v="45956.639999999999"/>
    <n v="343.62125958800698"/>
    <n v="0.1334396724705266"/>
  </r>
  <r>
    <s v="Tea (Loose)"/>
    <s v="Beverage"/>
    <s v="Hyderabad"/>
    <n v="859.05"/>
    <x v="11"/>
    <s v="Municipal Report"/>
    <s v="Above Averg"/>
    <n v="911.5772916666665"/>
    <n v="48"/>
    <x v="11"/>
    <n v="41234.399999999994"/>
    <n v="343.29998473867499"/>
    <n v="-0.15300697349768627"/>
  </r>
  <r>
    <s v="Maize"/>
    <s v="Grain"/>
    <s v="Islamabad"/>
    <n v="91.38"/>
    <x v="5"/>
    <s v="Online Retailer"/>
    <s v="Low Averg"/>
    <n v="102.25285714285715"/>
    <n v="28"/>
    <x v="5"/>
    <n v="2558.64"/>
    <n v="343.12586587116601"/>
    <n v="-3.1687663986659648E-2"/>
  </r>
  <r>
    <s v="Ghee"/>
    <s v="Oil"/>
    <s v="Lahore"/>
    <n v="1009.59"/>
    <x v="3"/>
    <s v="Local Market Survey"/>
    <s v="Above Averg"/>
    <n v="1024.1451428571424"/>
    <n v="35"/>
    <x v="3"/>
    <n v="35335.65"/>
    <n v="343.18466648812102"/>
    <n v="-4.2411984795498507E-2"/>
  </r>
  <r>
    <s v="Flour (Atta)"/>
    <s v="Grain"/>
    <s v="Sialkot"/>
    <n v="129.54"/>
    <x v="3"/>
    <s v="Local Market Survey"/>
    <s v="Low Averg"/>
    <n v="113.26108695652174"/>
    <n v="46"/>
    <x v="3"/>
    <n v="5958.8399999999992"/>
    <n v="342.77010391713497"/>
    <n v="4.7492219588128666E-2"/>
  </r>
  <r>
    <s v="Oranges"/>
    <s v="Fruit"/>
    <s v="Quetta"/>
    <n v="144.36000000000001"/>
    <x v="2"/>
    <s v="Online Retailer"/>
    <s v="Low Averg"/>
    <n v="151.26457142857143"/>
    <n v="35"/>
    <x v="2"/>
    <n v="5052.6000000000004"/>
    <n v="342.856384517957"/>
    <n v="-2.0138377875853122E-2"/>
  </r>
  <r>
    <s v="Chicken Breast"/>
    <s v="Meat"/>
    <s v="Lahore"/>
    <n v="723.82"/>
    <x v="7"/>
    <s v="Local Market Survey"/>
    <s v="Above Averg"/>
    <n v="673.04079999999988"/>
    <n v="25"/>
    <x v="7"/>
    <n v="18095.5"/>
    <n v="342.95220371663999"/>
    <n v="0.14806494738828346"/>
  </r>
  <r>
    <s v="Flour (Atta)"/>
    <s v="Grain"/>
    <s v="Faisalabad"/>
    <n v="99.94"/>
    <x v="6"/>
    <s v="Online Retailer"/>
    <s v="Low Averg"/>
    <n v="113.26108695652174"/>
    <n v="46"/>
    <x v="6"/>
    <n v="4597.24"/>
    <n v="342.937843054187"/>
    <n v="-3.8844027354592352E-2"/>
  </r>
  <r>
    <s v="Potato"/>
    <s v="Vegetable"/>
    <s v="Islamabad"/>
    <n v="69.89"/>
    <x v="0"/>
    <s v="Online Retailer"/>
    <s v="Low Averg"/>
    <n v="70.278611111111118"/>
    <n v="36"/>
    <x v="0"/>
    <n v="2516.04"/>
    <n v="343.00349105439699"/>
    <n v="-1.1329654690001034E-3"/>
  </r>
  <r>
    <s v="Cooking Oil (Sunflower)"/>
    <s v="Oil"/>
    <s v="Sialkot"/>
    <n v="373.56"/>
    <x v="10"/>
    <s v="Wholesale Market"/>
    <s v="Above Averg"/>
    <n v="368.73933333333326"/>
    <n v="30"/>
    <x v="10"/>
    <n v="11206.8"/>
    <n v="343.045241700914"/>
    <n v="1.405256823492006E-2"/>
  </r>
  <r>
    <s v="Yogurt"/>
    <s v="Dairy"/>
    <s v="Lahore"/>
    <n v="208.96"/>
    <x v="4"/>
    <s v="Retailer Listing"/>
    <s v="Low Averg"/>
    <n v="226.49633333333335"/>
    <n v="30"/>
    <x v="4"/>
    <n v="6268.8"/>
    <n v="343.21085661213402"/>
    <n v="-5.1094926035953836E-2"/>
  </r>
  <r>
    <s v="Rice (Basmati)"/>
    <s v="Grain"/>
    <s v="Faisalabad"/>
    <n v="272.89999999999998"/>
    <x v="2"/>
    <s v="Retailer Listing"/>
    <s v="Low Averg"/>
    <n v="309.01727272727271"/>
    <n v="22"/>
    <x v="2"/>
    <n v="6003.7999999999993"/>
    <n v="343.34173219792098"/>
    <n v="-0.10519336666727352"/>
  </r>
  <r>
    <s v="Tea (Loose)"/>
    <s v="Beverage"/>
    <s v="Lahore"/>
    <n v="955.92"/>
    <x v="7"/>
    <s v="Local Market Survey"/>
    <s v="Above Averg"/>
    <n v="911.5772916666665"/>
    <n v="48"/>
    <x v="7"/>
    <n v="45884.159999999996"/>
    <n v="343.49544549105201"/>
    <n v="0.12909256560867147"/>
  </r>
  <r>
    <s v="Cooking Oil (Sunflower)"/>
    <s v="Oil"/>
    <s v="Quetta"/>
    <n v="344.25"/>
    <x v="5"/>
    <s v="Municipal Report"/>
    <s v="Low Averg"/>
    <n v="368.73933333333326"/>
    <n v="30"/>
    <x v="5"/>
    <n v="10327.5"/>
    <n v="343.17184567908799"/>
    <n v="-7.1361720495667053E-2"/>
  </r>
  <r>
    <s v="Maize"/>
    <s v="Grain"/>
    <s v="Faisalabad"/>
    <n v="97.52"/>
    <x v="1"/>
    <s v="Wholesale Market"/>
    <s v="Low Averg"/>
    <n v="102.25285714285715"/>
    <n v="28"/>
    <x v="1"/>
    <n v="2730.56"/>
    <n v="343.33754405816399"/>
    <n v="-1.378485174361058E-2"/>
  </r>
  <r>
    <s v="Ghee"/>
    <s v="Oil"/>
    <s v="Lahore"/>
    <n v="992.48"/>
    <x v="0"/>
    <s v="Wholesale Market"/>
    <s v="Above Averg"/>
    <n v="1024.1451428571424"/>
    <n v="35"/>
    <x v="0"/>
    <n v="34736.800000000003"/>
    <n v="343.40194242297503"/>
    <n v="-9.2210144863245525E-2"/>
  </r>
  <r>
    <s v="Rice (Basmati)"/>
    <s v="Grain"/>
    <s v="Lahore"/>
    <n v="329.09"/>
    <x v="0"/>
    <s v="Wholesale Market"/>
    <s v="Low Averg"/>
    <n v="309.01727272727271"/>
    <n v="22"/>
    <x v="0"/>
    <n v="7239.98"/>
    <n v="343.01374463835702"/>
    <n v="5.8518725813422288E-2"/>
  </r>
  <r>
    <s v="Lentils (Masoor)"/>
    <s v="Pulses"/>
    <s v="Multan"/>
    <n v="285.01"/>
    <x v="4"/>
    <s v="Online Retailer"/>
    <s v="Low Averg"/>
    <n v="249.29749999999999"/>
    <n v="32"/>
    <x v="4"/>
    <n v="9120.32"/>
    <n v="343.17860860935002"/>
    <n v="0.10406388715402877"/>
  </r>
  <r>
    <s v="Onion"/>
    <s v="Vegetable"/>
    <s v="Islamabad"/>
    <n v="86.84"/>
    <x v="9"/>
    <s v="Wholesale Market"/>
    <s v="Low Averg"/>
    <n v="90.269599999999997"/>
    <n v="25"/>
    <x v="9"/>
    <n v="2171"/>
    <n v="343.33633154968499"/>
    <n v="-9.9890389826212973E-3"/>
  </r>
  <r>
    <s v="Grapes"/>
    <s v="Fruit"/>
    <s v="Karachi"/>
    <n v="220.63"/>
    <x v="4"/>
    <s v="Municipal Report"/>
    <s v="Low Averg"/>
    <n v="226.566129032258"/>
    <n v="31"/>
    <x v="4"/>
    <n v="6839.53"/>
    <n v="343.39284559613202"/>
    <n v="-1.7286699791176061E-2"/>
  </r>
  <r>
    <s v="Lentils (Moong)"/>
    <s v="Pulses"/>
    <s v="Faisalabad"/>
    <n v="333.47"/>
    <x v="1"/>
    <s v="Wholesale Market"/>
    <s v="Low Averg"/>
    <n v="304.90820512820511"/>
    <n v="39"/>
    <x v="1"/>
    <n v="13005.330000000002"/>
    <n v="343.53012493095599"/>
    <n v="8.3142038496726814E-2"/>
  </r>
  <r>
    <s v="Potato"/>
    <s v="Vegetable"/>
    <s v="Hyderabad"/>
    <n v="79.22"/>
    <x v="4"/>
    <s v="Wholesale Market"/>
    <s v="Low Averg"/>
    <n v="70.278611111111118"/>
    <n v="36"/>
    <x v="4"/>
    <n v="2851.92"/>
    <n v="343.69627075903799"/>
    <n v="2.6015379419573624E-2"/>
  </r>
  <r>
    <s v="Beef (Local)"/>
    <s v="Meat"/>
    <s v="Hyderabad"/>
    <n v="1046.05"/>
    <x v="9"/>
    <s v="Retailer Listing"/>
    <s v="Above Averg"/>
    <n v="920.12567567567555"/>
    <n v="37"/>
    <x v="9"/>
    <n v="38703.85"/>
    <n v="343.74673805988601"/>
    <n v="0.36632878332182583"/>
  </r>
  <r>
    <s v="Grapes"/>
    <s v="Fruit"/>
    <s v="Quetta"/>
    <n v="246.38"/>
    <x v="9"/>
    <s v="Online Retailer"/>
    <s v="Low Averg"/>
    <n v="226.566129032258"/>
    <n v="31"/>
    <x v="9"/>
    <n v="7637.78"/>
    <n v="343.257310291088"/>
    <n v="5.7723085200835182E-2"/>
  </r>
  <r>
    <s v="Fish (Rohu)"/>
    <s v="Meat"/>
    <s v="Faisalabad"/>
    <n v="744.03"/>
    <x v="9"/>
    <s v="Local Market Survey"/>
    <s v="Above Averg"/>
    <n v="720.27689655172423"/>
    <n v="29"/>
    <x v="9"/>
    <n v="21576.87"/>
    <n v="343.40488802282698"/>
    <n v="6.9169380741886263E-2"/>
  </r>
  <r>
    <s v="Carrot"/>
    <s v="Vegetable"/>
    <s v="Faisalabad"/>
    <n v="126.58"/>
    <x v="8"/>
    <s v="Municipal Report"/>
    <s v="Low Averg"/>
    <n v="141.74161290322584"/>
    <n v="31"/>
    <x v="8"/>
    <n v="3923.98"/>
    <n v="343.36932901521197"/>
    <n v="-4.4155408250089082E-2"/>
  </r>
  <r>
    <s v="Tomato"/>
    <s v="Vegetable"/>
    <s v="Quetta"/>
    <n v="124.5"/>
    <x v="5"/>
    <s v="Local Market Survey"/>
    <s v="Low Averg"/>
    <n v="123.43305555555558"/>
    <n v="36"/>
    <x v="5"/>
    <n v="4482"/>
    <n v="343.45587083952603"/>
    <n v="3.106496452765335E-3"/>
  </r>
  <r>
    <s v="Rice (Irri)"/>
    <s v="Grain"/>
    <s v="Hyderabad"/>
    <n v="147.71"/>
    <x v="0"/>
    <s v="Retailer Listing"/>
    <s v="Low Averg"/>
    <n v="140.29840000000002"/>
    <n v="25"/>
    <x v="0"/>
    <n v="3692.75"/>
    <n v="343.54096754503098"/>
    <n v="2.1574137294203457E-2"/>
  </r>
  <r>
    <s v="Apple"/>
    <s v="Fruit"/>
    <s v="Karachi"/>
    <n v="176.24"/>
    <x v="1"/>
    <s v="Local Market Survey"/>
    <s v="Low Averg"/>
    <n v="206.14838709677423"/>
    <n v="31"/>
    <x v="1"/>
    <n v="5463.4400000000005"/>
    <n v="343.64135462016202"/>
    <n v="-8.7033724825793843E-2"/>
  </r>
  <r>
    <s v="Potato"/>
    <s v="Vegetable"/>
    <s v="Hyderabad"/>
    <n v="71.91"/>
    <x v="10"/>
    <s v="Retailer Listing"/>
    <s v="Low Averg"/>
    <n v="70.278611111111118"/>
    <n v="36"/>
    <x v="10"/>
    <n v="2588.7599999999998"/>
    <n v="343.75850681111001"/>
    <n v="4.7457411425902585E-3"/>
  </r>
  <r>
    <s v="Tomato"/>
    <s v="Vegetable"/>
    <s v="Sialkot"/>
    <n v="146.81"/>
    <x v="4"/>
    <s v="Wholesale Market"/>
    <s v="Low Averg"/>
    <n v="123.43305555555558"/>
    <n v="36"/>
    <x v="4"/>
    <n v="5285.16"/>
    <n v="343.803120788576"/>
    <n v="6.7995149057475321E-2"/>
  </r>
  <r>
    <s v="Potato"/>
    <s v="Vegetable"/>
    <s v="Quetta"/>
    <n v="82.15"/>
    <x v="0"/>
    <s v="Wholesale Market"/>
    <s v="Low Averg"/>
    <n v="70.278611111111118"/>
    <n v="36"/>
    <x v="0"/>
    <n v="2957.4"/>
    <n v="343.90298319231601"/>
    <n v="3.4519586828504534E-2"/>
  </r>
  <r>
    <s v="Sugar"/>
    <s v="Grain"/>
    <s v="Quetta"/>
    <n v="130.16"/>
    <x v="0"/>
    <s v="Local Market Survey"/>
    <s v="Low Averg"/>
    <n v="122.0377142857143"/>
    <n v="35"/>
    <x v="0"/>
    <n v="4555.5999999999995"/>
    <n v="343.95591772560601"/>
    <n v="2.3614321765399376E-2"/>
  </r>
  <r>
    <s v="Fish (Pomfret)"/>
    <s v="Meat"/>
    <s v="Sialkot"/>
    <n v="1246.3599999999999"/>
    <x v="1"/>
    <s v="Local Market Survey"/>
    <s v="Above Averg"/>
    <n v="1113.4854166666667"/>
    <n v="24"/>
    <x v="1"/>
    <n v="29912.639999999999"/>
    <n v="344.044802232503"/>
    <n v="0.38621302362689836"/>
  </r>
  <r>
    <s v="Fish (Pomfret)"/>
    <s v="Meat"/>
    <s v="Hyderabad"/>
    <n v="1130.8900000000001"/>
    <x v="2"/>
    <s v="Municipal Report"/>
    <s v="Above Averg"/>
    <n v="1113.4854166666667"/>
    <n v="24"/>
    <x v="2"/>
    <n v="27141.360000000001"/>
    <n v="343.10302955856298"/>
    <n v="5.072698820446505E-2"/>
  </r>
  <r>
    <s v="Banana"/>
    <s v="Fruit"/>
    <s v="Rawalpindi"/>
    <n v="108.14"/>
    <x v="10"/>
    <s v="Local Market Survey"/>
    <s v="Low Averg"/>
    <n v="121.60903225806452"/>
    <n v="31"/>
    <x v="10"/>
    <n v="3352.34"/>
    <n v="342.42929907261799"/>
    <n v="-3.9333761142933556E-2"/>
  </r>
  <r>
    <s v="Tea (Loose)"/>
    <s v="Beverage"/>
    <s v="Karachi"/>
    <n v="985.21"/>
    <x v="0"/>
    <s v="Retailer Listing"/>
    <s v="Above Averg"/>
    <n v="911.5772916666665"/>
    <n v="48"/>
    <x v="0"/>
    <n v="47290.080000000002"/>
    <n v="342.50252601045298"/>
    <n v="0.21498442417644043"/>
  </r>
  <r>
    <s v="Maize"/>
    <s v="Grain"/>
    <s v="Rawalpindi"/>
    <n v="94.3"/>
    <x v="8"/>
    <s v="Local Market Survey"/>
    <s v="Low Averg"/>
    <n v="102.25285714285715"/>
    <n v="28"/>
    <x v="8"/>
    <n v="2640.4"/>
    <n v="342.11714167399299"/>
    <n v="-2.3246006043261977E-2"/>
  </r>
  <r>
    <s v="Yogurt"/>
    <s v="Dairy"/>
    <s v="Hyderabad"/>
    <n v="252.05"/>
    <x v="11"/>
    <s v="Online Retailer"/>
    <s v="Low Averg"/>
    <n v="226.49633333333335"/>
    <n v="30"/>
    <x v="11"/>
    <n v="7561.5"/>
    <n v="342.17990044065101"/>
    <n v="7.4679040568307084E-2"/>
  </r>
  <r>
    <s v="Cheese (Local)"/>
    <s v="Dairy"/>
    <s v="Peshawar"/>
    <n v="796.94"/>
    <x v="6"/>
    <s v="Local Market Survey"/>
    <s v="Above Averg"/>
    <n v="905.6025925925926"/>
    <n v="27"/>
    <x v="6"/>
    <n v="21517.38"/>
    <n v="342.33102705608701"/>
    <n v="-0.31741964357437408"/>
  </r>
  <r>
    <s v="Fish (Pomfret)"/>
    <s v="Meat"/>
    <s v="Islamabad"/>
    <n v="1136.8499999999999"/>
    <x v="1"/>
    <s v="Online Retailer"/>
    <s v="Above Averg"/>
    <n v="1113.4854166666667"/>
    <n v="24"/>
    <x v="1"/>
    <n v="27284.399999999998"/>
    <n v="342.23142317973497"/>
    <n v="6.827129758059218E-2"/>
  </r>
  <r>
    <s v="Oranges"/>
    <s v="Fruit"/>
    <s v="Karachi"/>
    <n v="161.65"/>
    <x v="7"/>
    <s v="Online Retailer"/>
    <s v="Low Averg"/>
    <n v="151.26457142857143"/>
    <n v="35"/>
    <x v="7"/>
    <n v="5657.75"/>
    <n v="341.53510707552601"/>
    <n v="3.0408085014616008E-2"/>
  </r>
  <r>
    <s v="Flour (Atta)"/>
    <s v="Grain"/>
    <s v="Lahore"/>
    <n v="113.94"/>
    <x v="1"/>
    <s v="Wholesale Market"/>
    <s v="Low Averg"/>
    <n v="113.26108695652174"/>
    <n v="46"/>
    <x v="1"/>
    <n v="5241.24"/>
    <n v="341.64492378995999"/>
    <n v="1.9871890263929398E-3"/>
  </r>
  <r>
    <s v="Chickpeas"/>
    <s v="Pulses"/>
    <s v="Islamabad"/>
    <n v="206.53"/>
    <x v="10"/>
    <s v="Wholesale Market"/>
    <s v="Low Averg"/>
    <n v="203.25225806451613"/>
    <n v="31"/>
    <x v="10"/>
    <n v="6402.43"/>
    <n v="341.72308588225701"/>
    <n v="9.5918071412162131E-3"/>
  </r>
  <r>
    <s v="Milk"/>
    <s v="Dairy"/>
    <s v="Sialkot"/>
    <n v="198.38"/>
    <x v="4"/>
    <s v="Municipal Report"/>
    <s v="Low Averg"/>
    <n v="206.78702702702708"/>
    <n v="37"/>
    <x v="4"/>
    <n v="7340.0599999999995"/>
    <n v="341.85679120644198"/>
    <n v="-2.4592248108800074E-2"/>
  </r>
  <r>
    <s v="Milk"/>
    <s v="Dairy"/>
    <s v="Multan"/>
    <n v="201.72"/>
    <x v="5"/>
    <s v="Wholesale Market"/>
    <s v="Low Averg"/>
    <n v="206.78702702702708"/>
    <n v="37"/>
    <x v="5"/>
    <n v="7463.64"/>
    <n v="341.98674530244602"/>
    <n v="-1.4816442732439546E-2"/>
  </r>
  <r>
    <s v="Tea (Loose)"/>
    <s v="Beverage"/>
    <s v="Quetta"/>
    <n v="867.76"/>
    <x v="6"/>
    <s v="Wholesale Market"/>
    <s v="Above Averg"/>
    <n v="911.5772916666665"/>
    <n v="48"/>
    <x v="6"/>
    <n v="41652.479999999996"/>
    <n v="342.11844943943601"/>
    <n v="-0.12807637746067629"/>
  </r>
  <r>
    <s v="Lentils (Moong)"/>
    <s v="Pulses"/>
    <s v="Hyderabad"/>
    <n v="281.47000000000003"/>
    <x v="9"/>
    <s v="Municipal Report"/>
    <s v="Low Averg"/>
    <n v="304.90820512820511"/>
    <n v="39"/>
    <x v="9"/>
    <n v="10977.330000000002"/>
    <n v="341.92067154137698"/>
    <n v="-6.8548663707712523E-2"/>
  </r>
  <r>
    <s v="Rice (Irri)"/>
    <s v="Grain"/>
    <s v="Sialkot"/>
    <n v="145.62"/>
    <x v="9"/>
    <s v="Municipal Report"/>
    <s v="Low Averg"/>
    <n v="140.29840000000002"/>
    <n v="25"/>
    <x v="9"/>
    <n v="3640.5"/>
    <n v="342.08175350723599"/>
    <n v="1.5556515205618597E-2"/>
  </r>
  <r>
    <s v="Spinach"/>
    <s v="Vegetable"/>
    <s v="Islamabad"/>
    <n v="60.74"/>
    <x v="7"/>
    <s v="Municipal Report"/>
    <s v="Low Averg"/>
    <n v="62.182121212121217"/>
    <n v="33"/>
    <x v="7"/>
    <n v="2004.42"/>
    <n v="342.18242280898301"/>
    <n v="-4.2144806863041364E-3"/>
  </r>
  <r>
    <s v="Lentils (Moong)"/>
    <s v="Pulses"/>
    <s v="Sialkot"/>
    <n v="300.88"/>
    <x v="7"/>
    <s v="Municipal Report"/>
    <s v="Low Averg"/>
    <n v="304.90820512820511"/>
    <n v="39"/>
    <x v="7"/>
    <n v="11734.32"/>
    <n v="342.217608918606"/>
    <n v="-1.1770887947391378E-2"/>
  </r>
  <r>
    <s v="Banana"/>
    <s v="Fruit"/>
    <s v="Rawalpindi"/>
    <n v="125.9"/>
    <x v="1"/>
    <s v="Wholesale Market"/>
    <s v="Low Averg"/>
    <n v="121.60903225806452"/>
    <n v="31"/>
    <x v="1"/>
    <n v="3902.9"/>
    <n v="342.38345910425898"/>
    <n v="1.2532637391892374E-2"/>
  </r>
  <r>
    <s v="Tea (Loose)"/>
    <s v="Beverage"/>
    <s v="Quetta"/>
    <n v="1023.75"/>
    <x v="11"/>
    <s v="Municipal Report"/>
    <s v="Above Averg"/>
    <n v="911.5772916666665"/>
    <n v="48"/>
    <x v="11"/>
    <n v="49140"/>
    <n v="342.47089143067899"/>
    <n v="0.32753939426714418"/>
  </r>
  <r>
    <s v="Yogurt"/>
    <s v="Dairy"/>
    <s v="Quetta"/>
    <n v="241.28"/>
    <x v="6"/>
    <s v="Wholesale Market"/>
    <s v="Low Averg"/>
    <n v="226.49633333333335"/>
    <n v="30"/>
    <x v="6"/>
    <n v="7238.4"/>
    <n v="342.006534938806"/>
    <n v="4.3226269548655952E-2"/>
  </r>
  <r>
    <s v="Sugar"/>
    <s v="Grain"/>
    <s v="Rawalpindi"/>
    <n v="113.16"/>
    <x v="2"/>
    <s v="Municipal Report"/>
    <s v="Low Averg"/>
    <n v="122.0377142857143"/>
    <n v="35"/>
    <x v="2"/>
    <n v="3960.6"/>
    <n v="342.15619574544598"/>
    <n v="-2.5946378864695644E-2"/>
  </r>
  <r>
    <s v="Eggplant"/>
    <s v="Vegetable"/>
    <s v="Multan"/>
    <n v="75.260000000000005"/>
    <x v="7"/>
    <s v="Wholesale Market"/>
    <s v="Low Averg"/>
    <n v="81.934666666666672"/>
    <n v="30"/>
    <x v="7"/>
    <n v="2257.8000000000002"/>
    <n v="342.23465989312803"/>
    <n v="-1.9503187283108646E-2"/>
  </r>
  <r>
    <s v="Carrot"/>
    <s v="Vegetable"/>
    <s v="Islamabad"/>
    <n v="138.75"/>
    <x v="7"/>
    <s v="Local Market Survey"/>
    <s v="Low Averg"/>
    <n v="141.74161290322584"/>
    <n v="31"/>
    <x v="7"/>
    <n v="4301.25"/>
    <n v="342.28260556390501"/>
    <n v="-8.7401838556686491E-3"/>
  </r>
  <r>
    <s v="Tomato"/>
    <s v="Vegetable"/>
    <s v="Hyderabad"/>
    <n v="113.19"/>
    <x v="2"/>
    <s v="Retailer Listing"/>
    <s v="Low Averg"/>
    <n v="123.43305555555558"/>
    <n v="36"/>
    <x v="2"/>
    <n v="4074.84"/>
    <n v="342.37912342305401"/>
    <n v="-2.9917290088096161E-2"/>
  </r>
  <r>
    <s v="Spices (Mixed)"/>
    <s v="Condiment"/>
    <s v="Multan"/>
    <n v="746.1"/>
    <x v="8"/>
    <s v="Online Retailer"/>
    <s v="Above Averg"/>
    <n v="810.77454545454566"/>
    <n v="33"/>
    <x v="8"/>
    <n v="24621.3"/>
    <n v="342.45743902794197"/>
    <n v="-0.18885425773819642"/>
  </r>
  <r>
    <s v="Flour (Atta)"/>
    <s v="Grain"/>
    <s v="Faisalabad"/>
    <n v="109.03"/>
    <x v="10"/>
    <s v="Retailer Listing"/>
    <s v="Low Averg"/>
    <n v="113.26108695652174"/>
    <n v="46"/>
    <x v="10"/>
    <n v="5015.38"/>
    <n v="342.41792139293"/>
    <n v="-1.2356499739587218E-2"/>
  </r>
  <r>
    <s v="Eggplant"/>
    <s v="Vegetable"/>
    <s v="Islamabad"/>
    <n v="72.05"/>
    <x v="10"/>
    <s v="Online Retailer"/>
    <s v="Low Averg"/>
    <n v="81.934666666666672"/>
    <n v="30"/>
    <x v="10"/>
    <n v="2161.5"/>
    <n v="342.49337007222601"/>
    <n v="-2.8860899306115524E-2"/>
  </r>
  <r>
    <s v="Wheat"/>
    <s v="Grain"/>
    <s v="Hyderabad"/>
    <n v="134.58000000000001"/>
    <x v="4"/>
    <s v="Municipal Report"/>
    <s v="Low Averg"/>
    <n v="120.53625"/>
    <n v="24"/>
    <x v="4"/>
    <n v="3229.92"/>
    <n v="342.53842264145698"/>
    <n v="4.0999050242897683E-2"/>
  </r>
  <r>
    <s v="Yogurt"/>
    <s v="Dairy"/>
    <s v="Hyderabad"/>
    <n v="245.89"/>
    <x v="10"/>
    <s v="Retailer Listing"/>
    <s v="Low Averg"/>
    <n v="226.49633333333335"/>
    <n v="30"/>
    <x v="10"/>
    <n v="7376.7"/>
    <n v="342.63231441010601"/>
    <n v="5.6601977837542262E-2"/>
  </r>
  <r>
    <s v="Lentils (Moong)"/>
    <s v="Pulses"/>
    <s v="Multan"/>
    <n v="327.5"/>
    <x v="4"/>
    <s v="Online Retailer"/>
    <s v="Low Averg"/>
    <n v="304.90820512820511"/>
    <n v="39"/>
    <x v="4"/>
    <n v="12772.5"/>
    <n v="342.78481698844502"/>
    <n v="6.5906638077719876E-2"/>
  </r>
  <r>
    <s v="Flour (Atta)"/>
    <s v="Grain"/>
    <s v="Hyderabad"/>
    <n v="108.73"/>
    <x v="7"/>
    <s v="Municipal Report"/>
    <s v="Low Averg"/>
    <n v="113.26108695652174"/>
    <n v="46"/>
    <x v="7"/>
    <n v="5001.58"/>
    <n v="342.95711564817299"/>
    <n v="-1.3211817891453249E-2"/>
  </r>
  <r>
    <s v="Fish (Rohu)"/>
    <s v="Meat"/>
    <s v="Hyderabad"/>
    <n v="744.81"/>
    <x v="8"/>
    <s v="Municipal Report"/>
    <s v="Above Averg"/>
    <n v="720.27689655172423"/>
    <n v="29"/>
    <x v="8"/>
    <n v="21599.489999999998"/>
    <n v="343.03241035176097"/>
    <n v="7.1518325114289794E-2"/>
  </r>
  <r>
    <s v="Onion"/>
    <s v="Vegetable"/>
    <s v="Peshawar"/>
    <n v="97.28"/>
    <x v="3"/>
    <s v="Wholesale Market"/>
    <s v="Low Averg"/>
    <n v="90.269599999999997"/>
    <n v="25"/>
    <x v="3"/>
    <n v="2432"/>
    <n v="342.995663614634"/>
    <n v="2.0438742362283626E-2"/>
  </r>
  <r>
    <s v="Tomato"/>
    <s v="Vegetable"/>
    <s v="Lahore"/>
    <n v="116.8"/>
    <x v="10"/>
    <s v="Municipal Report"/>
    <s v="Low Averg"/>
    <n v="123.43305555555558"/>
    <n v="36"/>
    <x v="10"/>
    <n v="4204.8"/>
    <n v="343.06220704034899"/>
    <n v="-1.9334847789792959E-2"/>
  </r>
  <r>
    <s v="Eggplant"/>
    <s v="Vegetable"/>
    <s v="Hyderabad"/>
    <n v="82.11"/>
    <x v="3"/>
    <s v="Online Retailer"/>
    <s v="Low Averg"/>
    <n v="81.934666666666672"/>
    <n v="30"/>
    <x v="3"/>
    <n v="2463.3000000000002"/>
    <n v="343.14383796776701"/>
    <n v="5.1096162580601887E-4"/>
  </r>
  <r>
    <s v="Chickpeas"/>
    <s v="Pulses"/>
    <s v="Faisalabad"/>
    <n v="205.12"/>
    <x v="8"/>
    <s v="Online Retailer"/>
    <s v="Low Averg"/>
    <n v="203.25225806451613"/>
    <n v="31"/>
    <x v="8"/>
    <n v="6358.72"/>
    <n v="343.197600285482"/>
    <n v="5.4421765593064579E-3"/>
  </r>
  <r>
    <s v="Mutton"/>
    <s v="Meat"/>
    <s v="Faisalabad"/>
    <n v="1288.19"/>
    <x v="2"/>
    <s v="Local Market Survey"/>
    <s v="Above Averg"/>
    <n v="1235.856"/>
    <n v="25"/>
    <x v="2"/>
    <n v="32204.75"/>
    <n v="343.33381724911402"/>
    <n v="0.15242891137061479"/>
  </r>
  <r>
    <s v="Spinach"/>
    <s v="Vegetable"/>
    <s v="Sialkot"/>
    <n v="71.27"/>
    <x v="2"/>
    <s v="Local Market Survey"/>
    <s v="Low Averg"/>
    <n v="62.182121212121217"/>
    <n v="33"/>
    <x v="2"/>
    <n v="2351.91"/>
    <n v="342.24185275929301"/>
    <n v="2.655396677702801E-2"/>
  </r>
  <r>
    <s v="Rice (Irri)"/>
    <s v="Grain"/>
    <s v="Islamabad"/>
    <n v="129.88"/>
    <x v="9"/>
    <s v="Wholesale Market"/>
    <s v="Low Averg"/>
    <n v="140.29840000000002"/>
    <n v="25"/>
    <x v="9"/>
    <n v="3247"/>
    <n v="342.28593899293099"/>
    <n v="-3.0437709567190791E-2"/>
  </r>
  <r>
    <s v="Grapes"/>
    <s v="Fruit"/>
    <s v="Islamabad"/>
    <n v="238.14"/>
    <x v="4"/>
    <s v="Online Retailer"/>
    <s v="Low Averg"/>
    <n v="226.566129032258"/>
    <n v="31"/>
    <x v="4"/>
    <n v="7382.3399999999992"/>
    <n v="342.37693163064199"/>
    <n v="3.3804470741118545E-2"/>
  </r>
  <r>
    <s v="Mango"/>
    <s v="Fruit"/>
    <s v="Faisalabad"/>
    <n v="262.29000000000002"/>
    <x v="8"/>
    <s v="Wholesale Market"/>
    <s v="Low Averg"/>
    <n v="257.40029411764709"/>
    <n v="34"/>
    <x v="8"/>
    <n v="8917.86"/>
    <n v="342.527842042592"/>
    <n v="1.4275353072597561E-2"/>
  </r>
  <r>
    <s v="Banana"/>
    <s v="Fruit"/>
    <s v="Peshawar"/>
    <n v="125.92"/>
    <x v="1"/>
    <s v="Wholesale Market"/>
    <s v="Low Averg"/>
    <n v="121.60903225806452"/>
    <n v="31"/>
    <x v="1"/>
    <n v="3903.52"/>
    <n v="342.687514811715"/>
    <n v="1.2579879790205044E-2"/>
  </r>
  <r>
    <s v="Fish (Rohu)"/>
    <s v="Meat"/>
    <s v="Hyderabad"/>
    <n v="796.23"/>
    <x v="8"/>
    <s v="Retailer Listing"/>
    <s v="Above Averg"/>
    <n v="720.27689655172423"/>
    <n v="29"/>
    <x v="8"/>
    <n v="23090.670000000002"/>
    <n v="342.77587931282"/>
    <n v="0.22158240422442438"/>
  </r>
  <r>
    <s v="Tomato"/>
    <s v="Vegetable"/>
    <s v="Peshawar"/>
    <n v="129.01"/>
    <x v="10"/>
    <s v="Retailer Listing"/>
    <s v="Low Averg"/>
    <n v="123.43305555555558"/>
    <n v="36"/>
    <x v="10"/>
    <n v="4644.3599999999997"/>
    <n v="342.676828744923"/>
    <n v="1.6274647062861948E-2"/>
  </r>
  <r>
    <s v="Grapes"/>
    <s v="Fruit"/>
    <s v="Hyderabad"/>
    <n v="227.86"/>
    <x v="1"/>
    <s v="Online Retailer"/>
    <s v="Low Averg"/>
    <n v="226.566129032258"/>
    <n v="31"/>
    <x v="1"/>
    <n v="7063.6600000000008"/>
    <n v="342.76775218441298"/>
    <n v="3.7747744923387421E-3"/>
  </r>
  <r>
    <s v="Apple"/>
    <s v="Fruit"/>
    <s v="Quetta"/>
    <n v="206.64"/>
    <x v="2"/>
    <s v="Local Market Survey"/>
    <s v="Low Averg"/>
    <n v="206.14838709677423"/>
    <n v="31"/>
    <x v="2"/>
    <n v="6405.8399999999992"/>
    <n v="342.91535730091999"/>
    <n v="1.43362754906993E-3"/>
  </r>
  <r>
    <s v="Mango"/>
    <s v="Fruit"/>
    <s v="Rawalpindi"/>
    <n v="237.64"/>
    <x v="2"/>
    <s v="Retailer Listing"/>
    <s v="Low Averg"/>
    <n v="257.40029411764709"/>
    <n v="34"/>
    <x v="2"/>
    <n v="8079.7599999999993"/>
    <n v="343.05344680403601"/>
    <n v="-5.7601211419790424E-2"/>
  </r>
  <r>
    <s v="Tomato"/>
    <s v="Vegetable"/>
    <s v="Lahore"/>
    <n v="131.1"/>
    <x v="4"/>
    <s v="Online Retailer"/>
    <s v="Low Averg"/>
    <n v="123.43305555555558"/>
    <n v="36"/>
    <x v="4"/>
    <n v="4719.5999999999995"/>
    <n v="343.20541599111402"/>
    <n v="2.2339229182335853E-2"/>
  </r>
  <r>
    <s v="Spinach"/>
    <s v="Vegetable"/>
    <s v="Quetta"/>
    <n v="66.63"/>
    <x v="2"/>
    <s v="Online Retailer"/>
    <s v="Low Averg"/>
    <n v="62.182121212121217"/>
    <n v="33"/>
    <x v="2"/>
    <n v="2198.79"/>
    <n v="343.298130813851"/>
    <n v="1.2956315192670197E-2"/>
  </r>
  <r>
    <s v="Lentils (Moong)"/>
    <s v="Pulses"/>
    <s v="Multan"/>
    <n v="309.81"/>
    <x v="11"/>
    <s v="Online Retailer"/>
    <s v="Low Averg"/>
    <n v="304.90820512820511"/>
    <n v="39"/>
    <x v="11"/>
    <n v="12082.59"/>
    <n v="343.33807416797401"/>
    <n v="1.4276875303368618E-2"/>
  </r>
  <r>
    <s v="Maize"/>
    <s v="Grain"/>
    <s v="Karachi"/>
    <n v="96.53"/>
    <x v="10"/>
    <s v="Online Retailer"/>
    <s v="Low Averg"/>
    <n v="102.25285714285715"/>
    <n v="28"/>
    <x v="10"/>
    <n v="2702.84"/>
    <n v="343.51131103934199"/>
    <n v="-1.6659879773803777E-2"/>
  </r>
  <r>
    <s v="Lentils (Masoor)"/>
    <s v="Pulses"/>
    <s v="Quetta"/>
    <n v="221.74"/>
    <x v="8"/>
    <s v="Municipal Report"/>
    <s v="Low Averg"/>
    <n v="249.29749999999999"/>
    <n v="32"/>
    <x v="8"/>
    <n v="7095.68"/>
    <n v="343.57729884599502"/>
    <n v="-8.020756927934386E-2"/>
  </r>
  <r>
    <s v="Spices (Mixed)"/>
    <s v="Condiment"/>
    <s v="Rawalpindi"/>
    <n v="700.59"/>
    <x v="8"/>
    <s v="Retailer Listing"/>
    <s v="Above Averg"/>
    <n v="810.77454545454566"/>
    <n v="33"/>
    <x v="8"/>
    <n v="23119.47"/>
    <n v="343.72320291467599"/>
    <n v="-0.32056184895349427"/>
  </r>
  <r>
    <s v="Lentils (Masoor)"/>
    <s v="Pulses"/>
    <s v="Islamabad"/>
    <n v="257.39999999999998"/>
    <x v="7"/>
    <s v="Online Retailer"/>
    <s v="Low Averg"/>
    <n v="249.29749999999999"/>
    <n v="32"/>
    <x v="7"/>
    <n v="8236.7999999999993"/>
    <n v="343.73620064256301"/>
    <n v="2.35718553496943E-2"/>
  </r>
  <r>
    <s v="Fish (Pomfret)"/>
    <s v="Meat"/>
    <s v="Peshawar"/>
    <n v="1202.58"/>
    <x v="4"/>
    <s v="Online Retailer"/>
    <s v="Above Averg"/>
    <n v="1113.4854166666667"/>
    <n v="24"/>
    <x v="4"/>
    <n v="28861.919999999998"/>
    <n v="343.896674040844"/>
    <n v="0.25907369875508501"/>
  </r>
  <r>
    <s v="Yogurt"/>
    <s v="Dairy"/>
    <s v="Multan"/>
    <n v="229.35"/>
    <x v="5"/>
    <s v="Online Retailer"/>
    <s v="Low Averg"/>
    <n v="226.49633333333335"/>
    <n v="30"/>
    <x v="5"/>
    <n v="6880.5"/>
    <n v="343.01880775992601"/>
    <n v="8.3192717195375524E-3"/>
  </r>
  <r>
    <s v="Rice (Irri)"/>
    <s v="Grain"/>
    <s v="Peshawar"/>
    <n v="151.88"/>
    <x v="3"/>
    <s v="Retailer Listing"/>
    <s v="Low Averg"/>
    <n v="140.29840000000002"/>
    <n v="25"/>
    <x v="3"/>
    <n v="3797"/>
    <n v="343.16872722154102"/>
    <n v="3.37489959932252E-2"/>
  </r>
  <r>
    <s v="Salt"/>
    <s v="Condiment"/>
    <s v="Sialkot"/>
    <n v="46.38"/>
    <x v="4"/>
    <s v="Wholesale Market"/>
    <s v="Low Averg"/>
    <n v="40.881379310344826"/>
    <n v="29"/>
    <x v="4"/>
    <n v="1345.02"/>
    <n v="343.27664679182902"/>
    <n v="1.6018044749166023E-2"/>
  </r>
  <r>
    <s v="Milk"/>
    <s v="Dairy"/>
    <s v="Multan"/>
    <n v="220.81"/>
    <x v="2"/>
    <s v="Municipal Report"/>
    <s v="Low Averg"/>
    <n v="206.78702702702708"/>
    <n v="37"/>
    <x v="2"/>
    <n v="8169.97"/>
    <n v="343.297503043576"/>
    <n v="4.0847873487716381E-2"/>
  </r>
  <r>
    <s v="Fish (Pomfret)"/>
    <s v="Meat"/>
    <s v="Multan"/>
    <n v="1030.25"/>
    <x v="10"/>
    <s v="Online Retailer"/>
    <s v="Above Averg"/>
    <n v="1113.4854166666667"/>
    <n v="24"/>
    <x v="10"/>
    <n v="24726"/>
    <n v="343.443989379909"/>
    <n v="-0.24235514156747623"/>
  </r>
  <r>
    <s v="Milk"/>
    <s v="Dairy"/>
    <s v="Lahore"/>
    <n v="221.43"/>
    <x v="7"/>
    <s v="Municipal Report"/>
    <s v="Low Averg"/>
    <n v="206.78702702702708"/>
    <n v="37"/>
    <x v="7"/>
    <n v="8192.91"/>
    <n v="342.95514032661998"/>
    <n v="4.269646741269837E-2"/>
  </r>
  <r>
    <s v="Chicken (Whole)"/>
    <s v="Meat"/>
    <s v="Lahore"/>
    <n v="535.87"/>
    <x v="2"/>
    <s v="Online Retailer"/>
    <s v="Above Averg"/>
    <n v="533.4588235294118"/>
    <n v="34"/>
    <x v="2"/>
    <n v="18219.580000000002"/>
    <n v="343.10224725881602"/>
    <n v="7.0275741119508132E-3"/>
  </r>
  <r>
    <s v="Spices (Mixed)"/>
    <s v="Condiment"/>
    <s v="Faisalabad"/>
    <n v="724.1"/>
    <x v="8"/>
    <s v="Local Market Survey"/>
    <s v="Above Averg"/>
    <n v="810.77454545454566"/>
    <n v="33"/>
    <x v="8"/>
    <n v="23895.3"/>
    <n v="343.24016169648399"/>
    <n v="-0.25251865931466694"/>
  </r>
  <r>
    <s v="Chicken (Whole)"/>
    <s v="Meat"/>
    <s v="Karachi"/>
    <n v="559.20000000000005"/>
    <x v="7"/>
    <s v="Retailer Listing"/>
    <s v="Above Averg"/>
    <n v="533.4588235294118"/>
    <n v="34"/>
    <x v="7"/>
    <n v="19012.800000000003"/>
    <n v="343.22698904583302"/>
    <n v="7.4997530183009239E-2"/>
  </r>
  <r>
    <s v="Grapes"/>
    <s v="Fruit"/>
    <s v="Faisalabad"/>
    <n v="208.12"/>
    <x v="1"/>
    <s v="Retailer Listing"/>
    <s v="Low Averg"/>
    <n v="226.566129032258"/>
    <n v="31"/>
    <x v="1"/>
    <n v="6451.72"/>
    <n v="343.35212685189799"/>
    <n v="-5.3723648667580788E-2"/>
  </r>
  <r>
    <s v="Carrot"/>
    <s v="Vegetable"/>
    <s v="Faisalabad"/>
    <n v="120.45"/>
    <x v="8"/>
    <s v="Wholesale Market"/>
    <s v="Low Averg"/>
    <n v="141.74161290322584"/>
    <n v="31"/>
    <x v="8"/>
    <n v="3733.9500000000003"/>
    <n v="343.49408312422401"/>
    <n v="-6.1985384754140775E-2"/>
  </r>
  <r>
    <s v="Spices (Mixed)"/>
    <s v="Condiment"/>
    <s v="Karachi"/>
    <n v="865.28"/>
    <x v="9"/>
    <s v="Online Retailer"/>
    <s v="Above Averg"/>
    <n v="810.77454545454566"/>
    <n v="33"/>
    <x v="9"/>
    <n v="28554.239999999998"/>
    <n v="343.58103680434999"/>
    <n v="0.15863929817666886"/>
  </r>
  <r>
    <s v="Eggplant"/>
    <s v="Vegetable"/>
    <s v="Multan"/>
    <n v="85.04"/>
    <x v="8"/>
    <s v="Retailer Listing"/>
    <s v="Low Averg"/>
    <n v="81.934666666666672"/>
    <n v="30"/>
    <x v="8"/>
    <n v="2551.2000000000003"/>
    <n v="343.38231452801"/>
    <n v="9.0433700337820676E-3"/>
  </r>
  <r>
    <s v="Flour (Atta)"/>
    <s v="Grain"/>
    <s v="Hyderabad"/>
    <n v="134.29"/>
    <x v="4"/>
    <s v="Local Market Survey"/>
    <s v="Low Averg"/>
    <n v="113.26108695652174"/>
    <n v="46"/>
    <x v="4"/>
    <n v="6177.3399999999992"/>
    <n v="343.440520737513"/>
    <n v="6.1230145465422152E-2"/>
  </r>
  <r>
    <s v="Grapes"/>
    <s v="Fruit"/>
    <s v="Faisalabad"/>
    <n v="216.18"/>
    <x v="2"/>
    <s v="Online Retailer"/>
    <s v="Low Averg"/>
    <n v="226.566129032258"/>
    <n v="31"/>
    <x v="2"/>
    <n v="6701.58"/>
    <n v="343.53799945084199"/>
    <n v="-3.0232839013036705E-2"/>
  </r>
  <r>
    <s v="Lentils (Masoor)"/>
    <s v="Pulses"/>
    <s v="Islamabad"/>
    <n v="221.55"/>
    <x v="5"/>
    <s v="Retailer Listing"/>
    <s v="Low Averg"/>
    <n v="249.29749999999999"/>
    <n v="32"/>
    <x v="5"/>
    <n v="7089.6"/>
    <n v="343.684509352482"/>
    <n v="-8.0735381563392508E-2"/>
  </r>
  <r>
    <s v="Eggplant"/>
    <s v="Vegetable"/>
    <s v="Islamabad"/>
    <n v="83.36"/>
    <x v="4"/>
    <s v="Online Retailer"/>
    <s v="Low Averg"/>
    <n v="81.934666666666672"/>
    <n v="30"/>
    <x v="4"/>
    <n v="2500.8000000000002"/>
    <n v="343.83368594715802"/>
    <n v="4.14541504101602E-3"/>
  </r>
  <r>
    <s v="Beef (Local)"/>
    <s v="Meat"/>
    <s v="Peshawar"/>
    <n v="935.09"/>
    <x v="9"/>
    <s v="Retailer Listing"/>
    <s v="Above Averg"/>
    <n v="920.12567567567555"/>
    <n v="37"/>
    <x v="9"/>
    <n v="34598.33"/>
    <n v="343.890298394811"/>
    <n v="4.3514819679921157E-2"/>
  </r>
  <r>
    <s v="Potato"/>
    <s v="Vegetable"/>
    <s v="Peshawar"/>
    <n v="77.430000000000007"/>
    <x v="7"/>
    <s v="Online Retailer"/>
    <s v="Low Averg"/>
    <n v="70.278611111111118"/>
    <n v="36"/>
    <x v="7"/>
    <n v="2787.4800000000005"/>
    <n v="343.57669940374001"/>
    <n v="2.0814533992845739E-2"/>
  </r>
  <r>
    <s v="Mango"/>
    <s v="Fruit"/>
    <s v="Sialkot"/>
    <n v="239.33"/>
    <x v="1"/>
    <s v="Local Market Survey"/>
    <s v="Low Averg"/>
    <n v="257.40029411764709"/>
    <n v="34"/>
    <x v="1"/>
    <n v="8137.22"/>
    <n v="343.628150630383"/>
    <n v="-5.2586768821172754E-2"/>
  </r>
  <r>
    <s v="Spices (Mixed)"/>
    <s v="Condiment"/>
    <s v="Hyderabad"/>
    <n v="851.76"/>
    <x v="5"/>
    <s v="Online Retailer"/>
    <s v="Above Averg"/>
    <n v="810.77454545454566"/>
    <n v="33"/>
    <x v="5"/>
    <n v="28108.079999999998"/>
    <n v="343.78551527785902"/>
    <n v="0.11921809594662099"/>
  </r>
  <r>
    <s v="Onion"/>
    <s v="Vegetable"/>
    <s v="Lahore"/>
    <n v="78.37"/>
    <x v="6"/>
    <s v="Retailer Listing"/>
    <s v="Low Averg"/>
    <n v="90.269599999999997"/>
    <n v="25"/>
    <x v="6"/>
    <n v="1959.25"/>
    <n v="343.60659118830199"/>
    <n v="-3.4631466057875523E-2"/>
  </r>
  <r>
    <s v="Guava"/>
    <s v="Fruit"/>
    <s v="Sialkot"/>
    <n v="145.5"/>
    <x v="11"/>
    <s v="Online Retailer"/>
    <s v="Low Averg"/>
    <n v="132.90272727272728"/>
    <n v="22"/>
    <x v="11"/>
    <n v="3201"/>
    <n v="343.659147627339"/>
    <n v="3.6656299750045057E-2"/>
  </r>
  <r>
    <s v="Cooking Oil (Sunflower)"/>
    <s v="Oil"/>
    <s v="Islamabad"/>
    <n v="346.17"/>
    <x v="1"/>
    <s v="Local Market Survey"/>
    <s v="Low Averg"/>
    <n v="368.73933333333326"/>
    <n v="30"/>
    <x v="1"/>
    <n v="10385.1"/>
    <n v="343.765376359968"/>
    <n v="-6.5653305671191736E-2"/>
  </r>
  <r>
    <s v="Guava"/>
    <s v="Fruit"/>
    <s v="Sialkot"/>
    <n v="145.81"/>
    <x v="2"/>
    <s v="Online Retailer"/>
    <s v="Low Averg"/>
    <n v="132.90272727272728"/>
    <n v="22"/>
    <x v="2"/>
    <n v="3207.82"/>
    <n v="343.94892516670802"/>
    <n v="3.752671336599387E-2"/>
  </r>
  <r>
    <s v="Flour (Atta)"/>
    <s v="Grain"/>
    <s v="Peshawar"/>
    <n v="106.41"/>
    <x v="9"/>
    <s v="Municipal Report"/>
    <s v="Low Averg"/>
    <n v="113.26108695652174"/>
    <n v="46"/>
    <x v="9"/>
    <n v="4894.8599999999997"/>
    <n v="344.05563547489902"/>
    <n v="-1.9912729948646835E-2"/>
  </r>
  <r>
    <s v="Tea (Loose)"/>
    <s v="Beverage"/>
    <s v="Islamabad"/>
    <n v="907.96"/>
    <x v="2"/>
    <s v="Local Market Survey"/>
    <s v="Above Averg"/>
    <n v="911.5772916666665"/>
    <n v="48"/>
    <x v="2"/>
    <n v="43582.080000000002"/>
    <n v="344.13238962695499"/>
    <n v="-1.0511337426237799E-2"/>
  </r>
  <r>
    <s v="Banana"/>
    <s v="Fruit"/>
    <s v="Faisalabad"/>
    <n v="120.99"/>
    <x v="7"/>
    <s v="Local Market Survey"/>
    <s v="Low Averg"/>
    <n v="121.60903225806452"/>
    <n v="31"/>
    <x v="7"/>
    <n v="3750.69"/>
    <n v="343.86390490263398"/>
    <n v="-1.8002245924584677E-3"/>
  </r>
  <r>
    <s v="Chickpeas"/>
    <s v="Pulses"/>
    <s v="Faisalabad"/>
    <n v="196.14"/>
    <x v="8"/>
    <s v="Online Retailer"/>
    <s v="Low Averg"/>
    <n v="203.25225806451613"/>
    <n v="31"/>
    <x v="8"/>
    <n v="6080.3399999999992"/>
    <n v="343.95258499471902"/>
    <n v="-2.0678018932828609E-2"/>
  </r>
  <r>
    <s v="Oranges"/>
    <s v="Fruit"/>
    <s v="Islamabad"/>
    <n v="168.18"/>
    <x v="0"/>
    <s v="Wholesale Market"/>
    <s v="Low Averg"/>
    <n v="151.26457142857143"/>
    <n v="35"/>
    <x v="0"/>
    <n v="5886.3"/>
    <n v="344.09095384554098"/>
    <n v="4.9159759599555604E-2"/>
  </r>
  <r>
    <s v="Banana"/>
    <s v="Fruit"/>
    <s v="Rawalpindi"/>
    <n v="121.71"/>
    <x v="11"/>
    <s v="Municipal Report"/>
    <s v="Low Averg"/>
    <n v="121.60903225806452"/>
    <n v="31"/>
    <x v="11"/>
    <n v="3773.0099999999998"/>
    <n v="344.21300611572701"/>
    <n v="2.9332924712766718E-4"/>
  </r>
  <r>
    <s v="Cheese (Local)"/>
    <s v="Dairy"/>
    <s v="Karachi"/>
    <n v="847.14"/>
    <x v="8"/>
    <s v="Retailer Listing"/>
    <s v="Above Averg"/>
    <n v="905.6025925925926"/>
    <n v="27"/>
    <x v="8"/>
    <n v="22872.78"/>
    <n v="344.30229852304802"/>
    <n v="-0.16980018095545493"/>
  </r>
  <r>
    <s v="Sugar"/>
    <s v="Grain"/>
    <s v="Hyderabad"/>
    <n v="121.65"/>
    <x v="8"/>
    <s v="Municipal Report"/>
    <s v="Low Averg"/>
    <n v="122.0377142857143"/>
    <n v="35"/>
    <x v="8"/>
    <n v="4257.75"/>
    <n v="344.130471457189"/>
    <n v="-1.1266490993156026E-3"/>
  </r>
  <r>
    <s v="Fish (Rohu)"/>
    <s v="Meat"/>
    <s v="Islamabad"/>
    <n v="785.94"/>
    <x v="3"/>
    <s v="Online Retailer"/>
    <s v="Above Averg"/>
    <n v="720.27689655172423"/>
    <n v="29"/>
    <x v="3"/>
    <n v="22792.260000000002"/>
    <n v="344.22003592412699"/>
    <n v="0.19075909765679441"/>
  </r>
  <r>
    <s v="Tea (Loose)"/>
    <s v="Beverage"/>
    <s v="Karachi"/>
    <n v="938.46"/>
    <x v="8"/>
    <s v="Retailer Listing"/>
    <s v="Above Averg"/>
    <n v="911.5772916666665"/>
    <n v="48"/>
    <x v="8"/>
    <n v="45046.080000000002"/>
    <n v="344.13360103830098"/>
    <n v="7.8117069220281041E-2"/>
  </r>
  <r>
    <s v="Onion"/>
    <s v="Vegetable"/>
    <s v="Rawalpindi"/>
    <n v="90.37"/>
    <x v="7"/>
    <s v="Local Market Survey"/>
    <s v="Low Averg"/>
    <n v="90.269599999999997"/>
    <n v="25"/>
    <x v="7"/>
    <n v="2259.25"/>
    <n v="343.80880526416098"/>
    <n v="2.920227709783831E-4"/>
  </r>
  <r>
    <s v="Milk"/>
    <s v="Dairy"/>
    <s v="Hyderabad"/>
    <n v="215.64"/>
    <x v="11"/>
    <s v="Online Retailer"/>
    <s v="Low Averg"/>
    <n v="206.78702702702708"/>
    <n v="37"/>
    <x v="11"/>
    <n v="7978.6799999999994"/>
    <n v="343.873016690253"/>
    <n v="2.5744889954384845E-2"/>
  </r>
  <r>
    <s v="Milk"/>
    <s v="Dairy"/>
    <s v="Islamabad"/>
    <n v="211.99"/>
    <x v="6"/>
    <s v="Retailer Listing"/>
    <s v="Low Averg"/>
    <n v="206.78702702702708"/>
    <n v="37"/>
    <x v="6"/>
    <n v="7843.63"/>
    <n v="344.02279690556003"/>
    <n v="1.5123919169813715E-2"/>
  </r>
  <r>
    <s v="Yogurt"/>
    <s v="Dairy"/>
    <s v="Lahore"/>
    <n v="204.67"/>
    <x v="2"/>
    <s v="Municipal Report"/>
    <s v="Low Averg"/>
    <n v="226.49633333333335"/>
    <n v="30"/>
    <x v="2"/>
    <n v="6140.0999999999995"/>
    <n v="344.17095963537201"/>
    <n v="-6.341712664094909E-2"/>
  </r>
  <r>
    <s v="Potato"/>
    <s v="Vegetable"/>
    <s v="Lahore"/>
    <n v="63.23"/>
    <x v="11"/>
    <s v="Wholesale Market"/>
    <s v="Low Averg"/>
    <n v="70.278611111111118"/>
    <n v="36"/>
    <x v="11"/>
    <n v="2276.2799999999997"/>
    <n v="344.31555810964898"/>
    <n v="-2.0471369780120294E-2"/>
  </r>
  <r>
    <s v="Flour (Atta)"/>
    <s v="Grain"/>
    <s v="Peshawar"/>
    <n v="106.65"/>
    <x v="8"/>
    <s v="Online Retailer"/>
    <s v="Low Averg"/>
    <n v="113.26108695652174"/>
    <n v="46"/>
    <x v="8"/>
    <n v="4905.9000000000005"/>
    <n v="344.35456508106"/>
    <n v="-1.9198487915981315E-2"/>
  </r>
  <r>
    <s v="Grapes"/>
    <s v="Fruit"/>
    <s v="Islamabad"/>
    <n v="226.09"/>
    <x v="9"/>
    <s v="Local Market Survey"/>
    <s v="Low Averg"/>
    <n v="226.566129032258"/>
    <n v="31"/>
    <x v="9"/>
    <n v="7008.79"/>
    <n v="344.43263294787403"/>
    <n v="-1.3823574966837062E-3"/>
  </r>
  <r>
    <s v="Cheese (Local)"/>
    <s v="Dairy"/>
    <s v="Faisalabad"/>
    <n v="852.38"/>
    <x v="10"/>
    <s v="Retailer Listing"/>
    <s v="Above Averg"/>
    <n v="905.6025925925926"/>
    <n v="27"/>
    <x v="10"/>
    <n v="23014.26"/>
    <n v="344.58800174509901"/>
    <n v="-0.15445283156423648"/>
  </r>
  <r>
    <s v="Maize"/>
    <s v="Grain"/>
    <s v="Quetta"/>
    <n v="110.49"/>
    <x v="8"/>
    <s v="Municipal Report"/>
    <s v="Low Averg"/>
    <n v="102.25285714285715"/>
    <n v="28"/>
    <x v="8"/>
    <n v="3093.72"/>
    <n v="344.40698835860098"/>
    <n v="2.3916886519637699E-2"/>
  </r>
  <r>
    <s v="Lentils (Masoor)"/>
    <s v="Pulses"/>
    <s v="Lahore"/>
    <n v="226.48"/>
    <x v="11"/>
    <s v="Retailer Listing"/>
    <s v="Low Averg"/>
    <n v="249.29749999999999"/>
    <n v="32"/>
    <x v="11"/>
    <n v="7247.36"/>
    <n v="344.48862401831798"/>
    <n v="-6.6235859210220793E-2"/>
  </r>
  <r>
    <s v="Spinach"/>
    <s v="Vegetable"/>
    <s v="Sialkot"/>
    <n v="64.099999999999994"/>
    <x v="10"/>
    <s v="Local Market Survey"/>
    <s v="Low Averg"/>
    <n v="62.182121212121217"/>
    <n v="33"/>
    <x v="10"/>
    <n v="2115.2999999999997"/>
    <n v="344.64475860617603"/>
    <n v="5.5647989414814476E-3"/>
  </r>
  <r>
    <s v="Apple"/>
    <s v="Fruit"/>
    <s v="Lahore"/>
    <n v="205.84"/>
    <x v="10"/>
    <s v="Municipal Report"/>
    <s v="Low Averg"/>
    <n v="206.14838709677423"/>
    <n v="31"/>
    <x v="10"/>
    <n v="6381.04"/>
    <n v="344.68451863699698"/>
    <n v="-8.9469378547576213E-4"/>
  </r>
  <r>
    <s v="Mutton"/>
    <s v="Meat"/>
    <s v="Multan"/>
    <n v="1304.0899999999999"/>
    <x v="5"/>
    <s v="Online Retailer"/>
    <s v="Above Averg"/>
    <n v="1235.856"/>
    <n v="25"/>
    <x v="5"/>
    <n v="32602.249999999996"/>
    <n v="344.830715775008"/>
    <n v="0.19787680412008488"/>
  </r>
  <r>
    <s v="Milk"/>
    <s v="Dairy"/>
    <s v="Hyderabad"/>
    <n v="210.52"/>
    <x v="0"/>
    <s v="Retailer Listing"/>
    <s v="Low Averg"/>
    <n v="206.78702702702708"/>
    <n v="37"/>
    <x v="0"/>
    <n v="7789.2400000000007"/>
    <n v="343.62595808065902"/>
    <n v="1.0863477817053314E-2"/>
  </r>
  <r>
    <s v="Fish (Rohu)"/>
    <s v="Meat"/>
    <s v="Faisalabad"/>
    <n v="754.34"/>
    <x v="7"/>
    <s v="Online Retailer"/>
    <s v="Above Averg"/>
    <n v="720.27689655172423"/>
    <n v="29"/>
    <x v="7"/>
    <n v="21875.86"/>
    <n v="343.77463421825502"/>
    <n v="9.9085563790171541E-2"/>
  </r>
  <r>
    <s v="Spinach"/>
    <s v="Vegetable"/>
    <s v="Lahore"/>
    <n v="52.81"/>
    <x v="2"/>
    <s v="Retailer Listing"/>
    <s v="Low Averg"/>
    <n v="62.182121212121217"/>
    <n v="33"/>
    <x v="2"/>
    <n v="1742.73"/>
    <n v="343.726866179372"/>
    <n v="-2.7266187587531854E-2"/>
  </r>
  <r>
    <s v="Mango"/>
    <s v="Fruit"/>
    <s v="Peshawar"/>
    <n v="284.04000000000002"/>
    <x v="11"/>
    <s v="Municipal Report"/>
    <s v="Low Averg"/>
    <n v="257.40029411764709"/>
    <n v="34"/>
    <x v="11"/>
    <n v="9657.36"/>
    <n v="343.755381620067"/>
    <n v="7.7496112953356636E-2"/>
  </r>
  <r>
    <s v="Tomato"/>
    <s v="Vegetable"/>
    <s v="Hyderabad"/>
    <n v="126.74"/>
    <x v="0"/>
    <s v="Wholesale Market"/>
    <s v="Low Averg"/>
    <n v="123.43305555555558"/>
    <n v="36"/>
    <x v="0"/>
    <n v="4562.6399999999994"/>
    <n v="343.933603622276"/>
    <n v="9.6150664244958536E-3"/>
  </r>
  <r>
    <s v="Flour (Atta)"/>
    <s v="Grain"/>
    <s v="Sialkot"/>
    <n v="125.69"/>
    <x v="2"/>
    <s v="Online Retailer"/>
    <s v="Low Averg"/>
    <n v="113.26108695652174"/>
    <n v="46"/>
    <x v="2"/>
    <n v="5781.74"/>
    <n v="344.02869547153603"/>
    <n v="3.6127547518798743E-2"/>
  </r>
  <r>
    <s v="Guava"/>
    <s v="Fruit"/>
    <s v="Islamabad"/>
    <n v="125.19"/>
    <x v="7"/>
    <s v="Municipal Report"/>
    <s v="Low Averg"/>
    <n v="132.90272727272728"/>
    <n v="22"/>
    <x v="7"/>
    <n v="2754.18"/>
    <n v="344.12293422011601"/>
    <n v="-2.2412709255215994E-2"/>
  </r>
  <r>
    <s v="Lentils (Moong)"/>
    <s v="Pulses"/>
    <s v="Islamabad"/>
    <n v="272.98"/>
    <x v="1"/>
    <s v="Wholesale Market"/>
    <s v="Low Averg"/>
    <n v="304.90820512820511"/>
    <n v="39"/>
    <x v="1"/>
    <n v="10646.220000000001"/>
    <n v="344.21674678607502"/>
    <n v="-9.2756106221781071E-2"/>
  </r>
  <r>
    <s v="Salt"/>
    <s v="Condiment"/>
    <s v="Karachi"/>
    <n v="42.47"/>
    <x v="7"/>
    <s v="Wholesale Market"/>
    <s v="Low Averg"/>
    <n v="40.881379310344826"/>
    <n v="29"/>
    <x v="7"/>
    <n v="1231.6299999999999"/>
    <n v="344.39248478443199"/>
    <n v="4.6128204297185785E-3"/>
  </r>
  <r>
    <s v="Lentils (Masoor)"/>
    <s v="Pulses"/>
    <s v="Sialkot"/>
    <n v="281.36"/>
    <x v="6"/>
    <s v="Retailer Listing"/>
    <s v="Low Averg"/>
    <n v="249.29749999999999"/>
    <n v="32"/>
    <x v="6"/>
    <n v="9003.52"/>
    <n v="344.40966692422398"/>
    <n v="9.3094076848471055E-2"/>
  </r>
  <r>
    <s v="Potato"/>
    <s v="Vegetable"/>
    <s v="Islamabad"/>
    <n v="65.7"/>
    <x v="3"/>
    <s v="Local Market Survey"/>
    <s v="Low Averg"/>
    <n v="70.278611111111118"/>
    <n v="36"/>
    <x v="3"/>
    <n v="2365.2000000000003"/>
    <n v="344.58831234206298"/>
    <n v="-1.3287192127880584E-2"/>
  </r>
  <r>
    <s v="Maize"/>
    <s v="Grain"/>
    <s v="Hyderabad"/>
    <n v="92.93"/>
    <x v="6"/>
    <s v="Wholesale Market"/>
    <s v="Low Averg"/>
    <n v="102.25285714285715"/>
    <n v="28"/>
    <x v="6"/>
    <n v="2602.04"/>
    <n v="344.629113424595"/>
    <n v="-2.7051855979941725E-2"/>
  </r>
  <r>
    <s v="Milk"/>
    <s v="Dairy"/>
    <s v="Faisalabad"/>
    <n v="200.51"/>
    <x v="6"/>
    <s v="Wholesale Market"/>
    <s v="Low Averg"/>
    <n v="206.78702702702708"/>
    <n v="37"/>
    <x v="6"/>
    <n v="7418.87"/>
    <n v="344.69546925975698"/>
    <n v="-1.8210355478437756E-2"/>
  </r>
  <r>
    <s v="Lentils (Masoor)"/>
    <s v="Pulses"/>
    <s v="Lahore"/>
    <n v="243.61"/>
    <x v="8"/>
    <s v="Retailer Listing"/>
    <s v="Low Averg"/>
    <n v="249.29749999999999"/>
    <n v="32"/>
    <x v="8"/>
    <n v="7795.52"/>
    <n v="344.84029687626798"/>
    <n v="-1.6493142047261086E-2"/>
  </r>
  <r>
    <s v="Chickpeas"/>
    <s v="Pulses"/>
    <s v="Multan"/>
    <n v="218.35"/>
    <x v="9"/>
    <s v="Online Retailer"/>
    <s v="Low Averg"/>
    <n v="203.25225806451613"/>
    <n v="31"/>
    <x v="9"/>
    <n v="6768.8499999999995"/>
    <n v="345.006281943734"/>
    <n v="4.3760774008010997E-2"/>
  </r>
  <r>
    <s v="Tea (Loose)"/>
    <s v="Beverage"/>
    <s v="Rawalpindi"/>
    <n v="1025.27"/>
    <x v="0"/>
    <s v="Online Retailer"/>
    <s v="Above Averg"/>
    <n v="911.5772916666665"/>
    <n v="48"/>
    <x v="0"/>
    <n v="49212.959999999999"/>
    <n v="345.16090265650899"/>
    <n v="0.32939045951701007"/>
  </r>
  <r>
    <s v="Beef (Local)"/>
    <s v="Meat"/>
    <s v="Multan"/>
    <n v="914.04"/>
    <x v="10"/>
    <s v="Online Retailer"/>
    <s v="Above Averg"/>
    <n v="920.12567567567555"/>
    <n v="37"/>
    <x v="10"/>
    <n v="33819.479999999996"/>
    <n v="344.661231119435"/>
    <n v="-1.7656977710866259E-2"/>
  </r>
  <r>
    <s v="Maize"/>
    <s v="Grain"/>
    <s v="Faisalabad"/>
    <n v="104.5"/>
    <x v="4"/>
    <s v="Retailer Listing"/>
    <s v="Low Averg"/>
    <n v="102.25285714285715"/>
    <n v="28"/>
    <x v="4"/>
    <n v="2926"/>
    <n v="344.37520014498699"/>
    <n v="6.5252749216458319E-3"/>
  </r>
  <r>
    <s v="Mutton"/>
    <s v="Meat"/>
    <s v="Lahore"/>
    <n v="1014.03"/>
    <x v="8"/>
    <s v="Municipal Report"/>
    <s v="Above Averg"/>
    <n v="1235.856"/>
    <n v="25"/>
    <x v="8"/>
    <n v="25350.75"/>
    <n v="344.45253382138998"/>
    <n v="-0.64399584331414483"/>
  </r>
  <r>
    <s v="Tomato"/>
    <s v="Vegetable"/>
    <s v="Faisalabad"/>
    <n v="127.37"/>
    <x v="6"/>
    <s v="Online Retailer"/>
    <s v="Low Averg"/>
    <n v="123.43305555555558"/>
    <n v="36"/>
    <x v="6"/>
    <n v="4585.32"/>
    <n v="343.97097061638402"/>
    <n v="1.1445571809125501E-2"/>
  </r>
  <r>
    <s v="Spices (Mixed)"/>
    <s v="Condiment"/>
    <s v="Islamabad"/>
    <n v="721.32"/>
    <x v="11"/>
    <s v="Wholesale Market"/>
    <s v="Above Averg"/>
    <n v="810.77454545454566"/>
    <n v="33"/>
    <x v="11"/>
    <n v="23803.56"/>
    <n v="344.06757720229803"/>
    <n v="-0.25999120923256858"/>
  </r>
  <r>
    <s v="Chicken (Whole)"/>
    <s v="Meat"/>
    <s v="Faisalabad"/>
    <n v="517.21"/>
    <x v="6"/>
    <s v="Online Retailer"/>
    <s v="Above Averg"/>
    <n v="533.4588235294118"/>
    <n v="34"/>
    <x v="6"/>
    <n v="17585.14"/>
    <n v="344.06024389171898"/>
    <n v="-4.7226681425377115E-2"/>
  </r>
  <r>
    <s v="Wheat"/>
    <s v="Grain"/>
    <s v="Lahore"/>
    <n v="109.58"/>
    <x v="5"/>
    <s v="Retailer Listing"/>
    <s v="Low Averg"/>
    <n v="120.53625"/>
    <n v="24"/>
    <x v="5"/>
    <n v="2629.92"/>
    <n v="344.21908197604898"/>
    <n v="-3.1829292952336503E-2"/>
  </r>
  <r>
    <s v="Chicken (Whole)"/>
    <s v="Meat"/>
    <s v="Rawalpindi"/>
    <n v="528.86"/>
    <x v="2"/>
    <s v="Municipal Report"/>
    <s v="Above Averg"/>
    <n v="533.4588235294118"/>
    <n v="34"/>
    <x v="2"/>
    <n v="17981.240000000002"/>
    <n v="344.30172717420299"/>
    <n v="-1.3356957477837357E-2"/>
  </r>
  <r>
    <s v="Mango"/>
    <s v="Fruit"/>
    <s v="Hyderabad"/>
    <n v="255.91"/>
    <x v="1"/>
    <s v="Online Retailer"/>
    <s v="Low Averg"/>
    <n v="257.40029411764709"/>
    <n v="34"/>
    <x v="1"/>
    <n v="8700.94"/>
    <n v="344.45531473177499"/>
    <n v="-4.3265238012297124E-3"/>
  </r>
  <r>
    <s v="Cheese (Local)"/>
    <s v="Dairy"/>
    <s v="Hyderabad"/>
    <n v="958.53"/>
    <x v="9"/>
    <s v="Municipal Report"/>
    <s v="Above Averg"/>
    <n v="905.6025925925926"/>
    <n v="27"/>
    <x v="9"/>
    <n v="25880.309999999998"/>
    <n v="344.62868595110302"/>
    <n v="0.15357806696020909"/>
  </r>
  <r>
    <s v="Ghee"/>
    <s v="Oil"/>
    <s v="Karachi"/>
    <n v="997.38"/>
    <x v="2"/>
    <s v="Municipal Report"/>
    <s v="Above Averg"/>
    <n v="1024.1451428571424"/>
    <n v="35"/>
    <x v="2"/>
    <n v="34908.300000000003"/>
    <n v="344.25479062954798"/>
    <n v="-7.7748062149538472E-2"/>
  </r>
  <r>
    <s v="Banana"/>
    <s v="Fruit"/>
    <s v="Sialkot"/>
    <n v="122.71"/>
    <x v="3"/>
    <s v="Retailer Listing"/>
    <s v="Low Averg"/>
    <n v="121.60903225806452"/>
    <n v="31"/>
    <x v="3"/>
    <n v="3804.0099999999998"/>
    <n v="343.80028815455103"/>
    <n v="3.2023467689490455E-3"/>
  </r>
  <r>
    <s v="Yogurt"/>
    <s v="Dairy"/>
    <s v="Sialkot"/>
    <n v="249.84"/>
    <x v="11"/>
    <s v="Retailer Listing"/>
    <s v="Low Averg"/>
    <n v="226.49633333333335"/>
    <n v="30"/>
    <x v="11"/>
    <n v="7495.2"/>
    <n v="343.894998521773"/>
    <n v="6.7880215667599178E-2"/>
  </r>
  <r>
    <s v="Cheese (Local)"/>
    <s v="Dairy"/>
    <s v="Karachi"/>
    <n v="870.1"/>
    <x v="5"/>
    <s v="Wholesale Market"/>
    <s v="Above Averg"/>
    <n v="905.6025925925926"/>
    <n v="27"/>
    <x v="5"/>
    <n v="23492.7"/>
    <n v="344.06682470084797"/>
    <n v="-0.10318516649624859"/>
  </r>
  <r>
    <s v="Milk"/>
    <s v="Dairy"/>
    <s v="Lahore"/>
    <n v="211.03"/>
    <x v="6"/>
    <s v="Online Retailer"/>
    <s v="Low Averg"/>
    <n v="206.78702702702708"/>
    <n v="37"/>
    <x v="6"/>
    <n v="7808.11"/>
    <n v="343.847825809342"/>
    <n v="1.2339682424880536E-2"/>
  </r>
  <r>
    <s v="Fish (Rohu)"/>
    <s v="Meat"/>
    <s v="Islamabad"/>
    <n v="641.19000000000005"/>
    <x v="1"/>
    <s v="Wholesale Market"/>
    <s v="Above Averg"/>
    <n v="720.27689655172423"/>
    <n v="29"/>
    <x v="1"/>
    <n v="18594.510000000002"/>
    <n v="344.00231952307098"/>
    <n v="-0.22990221886111473"/>
  </r>
  <r>
    <s v="Flour (Atta)"/>
    <s v="Grain"/>
    <s v="Sialkot"/>
    <n v="100.21"/>
    <x v="8"/>
    <s v="Local Market Survey"/>
    <s v="Low Averg"/>
    <n v="113.26108695652174"/>
    <n v="46"/>
    <x v="8"/>
    <n v="4609.66"/>
    <n v="344.07590048067999"/>
    <n v="-3.7930837173685075E-2"/>
  </r>
  <r>
    <s v="Guava"/>
    <s v="Fruit"/>
    <s v="Islamabad"/>
    <n v="145.19999999999999"/>
    <x v="1"/>
    <s v="Wholesale Market"/>
    <s v="Low Averg"/>
    <n v="132.90272727272728"/>
    <n v="22"/>
    <x v="1"/>
    <n v="3194.3999999999996"/>
    <n v="344.15235524217098"/>
    <n v="3.573206035047892E-2"/>
  </r>
  <r>
    <s v="Chicken (Whole)"/>
    <s v="Meat"/>
    <s v="Karachi"/>
    <n v="491.19"/>
    <x v="3"/>
    <s v="Wholesale Market"/>
    <s v="Above Averg"/>
    <n v="533.4588235294118"/>
    <n v="34"/>
    <x v="3"/>
    <n v="16700.46"/>
    <n v="344.265614744088"/>
    <n v="-0.12277968440395245"/>
  </r>
  <r>
    <s v="Fish (Pomfret)"/>
    <s v="Meat"/>
    <s v="Faisalabad"/>
    <n v="1067.6300000000001"/>
    <x v="2"/>
    <s v="Local Market Survey"/>
    <s v="Above Averg"/>
    <n v="1113.4854166666667"/>
    <n v="24"/>
    <x v="2"/>
    <n v="25623.120000000003"/>
    <n v="344.43811920775602"/>
    <n v="-0.13313107379676453"/>
  </r>
  <r>
    <s v="Eggplant"/>
    <s v="Vegetable"/>
    <s v="Islamabad"/>
    <n v="77.069999999999993"/>
    <x v="9"/>
    <s v="Municipal Report"/>
    <s v="Low Averg"/>
    <n v="81.934666666666672"/>
    <n v="30"/>
    <x v="9"/>
    <n v="2312.1"/>
    <n v="343.82267132990597"/>
    <n v="-1.4148766420347297E-2"/>
  </r>
  <r>
    <s v="Sugar"/>
    <s v="Grain"/>
    <s v="Peshawar"/>
    <n v="119.41"/>
    <x v="3"/>
    <s v="Local Market Survey"/>
    <s v="Low Averg"/>
    <n v="122.0377142857143"/>
    <n v="35"/>
    <x v="3"/>
    <n v="4179.3499999999995"/>
    <n v="343.87792235568202"/>
    <n v="-7.6414160807811047E-3"/>
  </r>
  <r>
    <s v="Salt"/>
    <s v="Condiment"/>
    <s v="Peshawar"/>
    <n v="46.21"/>
    <x v="2"/>
    <s v="Local Market Survey"/>
    <s v="Low Averg"/>
    <n v="40.881379310344826"/>
    <n v="29"/>
    <x v="2"/>
    <n v="1340.09"/>
    <n v="343.97131790687502"/>
    <n v="1.5491468073793924E-2"/>
  </r>
  <r>
    <s v="Carrot"/>
    <s v="Vegetable"/>
    <s v="Lahore"/>
    <n v="136.38999999999999"/>
    <x v="10"/>
    <s v="Online Retailer"/>
    <s v="Low Averg"/>
    <n v="141.74161290322584"/>
    <n v="31"/>
    <x v="10"/>
    <n v="4228.0899999999992"/>
    <n v="343.99444213749598"/>
    <n v="-1.5557265605723928E-2"/>
  </r>
  <r>
    <s v="Eggplant"/>
    <s v="Vegetable"/>
    <s v="Hyderabad"/>
    <n v="89.75"/>
    <x v="9"/>
    <s v="Retailer Listing"/>
    <s v="Low Averg"/>
    <n v="81.934666666666672"/>
    <n v="30"/>
    <x v="9"/>
    <n v="2692.5"/>
    <n v="344.10136341141703"/>
    <n v="2.2712299817275357E-2"/>
  </r>
  <r>
    <s v="Fish (Rohu)"/>
    <s v="Meat"/>
    <s v="Sialkot"/>
    <n v="858.66"/>
    <x v="3"/>
    <s v="Wholesale Market"/>
    <s v="Above Averg"/>
    <n v="720.27689655172423"/>
    <n v="29"/>
    <x v="3"/>
    <n v="24901.14"/>
    <n v="344.16809790604202"/>
    <n v="0.40207998443264881"/>
  </r>
  <r>
    <s v="Fish (Rohu)"/>
    <s v="Meat"/>
    <s v="Multan"/>
    <n v="695.91"/>
    <x v="3"/>
    <s v="Retailer Listing"/>
    <s v="Above Averg"/>
    <n v="720.27689655172423"/>
    <n v="29"/>
    <x v="3"/>
    <n v="20181.39"/>
    <n v="343.966094074051"/>
    <n v="-7.0840983956047779E-2"/>
  </r>
  <r>
    <s v="Chicken Breast"/>
    <s v="Meat"/>
    <s v="Quetta"/>
    <n v="738.27"/>
    <x v="0"/>
    <s v="Local Market Survey"/>
    <s v="Above Averg"/>
    <n v="673.04079999999988"/>
    <n v="25"/>
    <x v="0"/>
    <n v="18456.75"/>
    <n v="343.98585725103101"/>
    <n v="0.18962756353206028"/>
  </r>
  <r>
    <s v="Salt"/>
    <s v="Condiment"/>
    <s v="Faisalabad"/>
    <n v="34.92"/>
    <x v="8"/>
    <s v="Retailer Listing"/>
    <s v="Low Averg"/>
    <n v="40.881379310344826"/>
    <n v="29"/>
    <x v="8"/>
    <n v="1012.6800000000001"/>
    <n v="343.95562231305502"/>
    <n v="-1.7331826909109248E-2"/>
  </r>
  <r>
    <s v="Lentils (Moong)"/>
    <s v="Pulses"/>
    <s v="Islamabad"/>
    <n v="325.52"/>
    <x v="9"/>
    <s v="Wholesale Market"/>
    <s v="Low Averg"/>
    <n v="304.90820512820511"/>
    <n v="39"/>
    <x v="9"/>
    <n v="12695.279999999999"/>
    <n v="343.966827886121"/>
    <n v="5.9923786832778339E-2"/>
  </r>
  <r>
    <s v="Chickpeas"/>
    <s v="Pulses"/>
    <s v="Sialkot"/>
    <n v="209.09"/>
    <x v="5"/>
    <s v="Wholesale Market"/>
    <s v="Low Averg"/>
    <n v="203.25225806451613"/>
    <n v="31"/>
    <x v="5"/>
    <n v="6481.79"/>
    <n v="344.16305882977798"/>
    <n v="1.6962139851189568E-2"/>
  </r>
  <r>
    <s v="Oranges"/>
    <s v="Fruit"/>
    <s v="Faisalabad"/>
    <n v="139.53"/>
    <x v="7"/>
    <s v="Municipal Report"/>
    <s v="Low Averg"/>
    <n v="151.26457142857143"/>
    <n v="35"/>
    <x v="7"/>
    <n v="4883.55"/>
    <n v="344.319521108907"/>
    <n v="-3.4080470926479436E-2"/>
  </r>
  <r>
    <s v="Mutton"/>
    <s v="Meat"/>
    <s v="Quetta"/>
    <n v="1186.3599999999999"/>
    <x v="8"/>
    <s v="Local Market Survey"/>
    <s v="Above Averg"/>
    <n v="1235.856"/>
    <n v="25"/>
    <x v="8"/>
    <n v="29658.999999999996"/>
    <n v="344.430289053271"/>
    <n v="-0.143703970217163"/>
  </r>
  <r>
    <s v="Lentils (Moong)"/>
    <s v="Pulses"/>
    <s v="Faisalabad"/>
    <n v="274.08"/>
    <x v="6"/>
    <s v="Local Market Survey"/>
    <s v="Low Averg"/>
    <n v="304.90820512820511"/>
    <n v="39"/>
    <x v="6"/>
    <n v="10689.119999999999"/>
    <n v="343.50129189621202"/>
    <n v="-8.9746984525227891E-2"/>
  </r>
  <r>
    <s v="Tomato"/>
    <s v="Vegetable"/>
    <s v="Hyderabad"/>
    <n v="127.39"/>
    <x v="5"/>
    <s v="Municipal Report"/>
    <s v="Low Averg"/>
    <n v="123.43305555555558"/>
    <n v="36"/>
    <x v="5"/>
    <n v="4586.04"/>
    <n v="343.686175146859"/>
    <n v="1.1513248802497199E-2"/>
  </r>
  <r>
    <s v="Banana"/>
    <s v="Fruit"/>
    <s v="Peshawar"/>
    <n v="136.4"/>
    <x v="7"/>
    <s v="Retailer Listing"/>
    <s v="Low Averg"/>
    <n v="121.60903225806452"/>
    <n v="31"/>
    <x v="7"/>
    <n v="4228.4000000000005"/>
    <n v="343.7875288912"/>
    <n v="4.3023572698055762E-2"/>
  </r>
  <r>
    <s v="Flour (Atta)"/>
    <s v="Grain"/>
    <s v="Lahore"/>
    <n v="102.99"/>
    <x v="9"/>
    <s v="Wholesale Market"/>
    <s v="Low Averg"/>
    <n v="113.26108695652174"/>
    <n v="46"/>
    <x v="9"/>
    <n v="4737.54"/>
    <n v="343.896129877958"/>
    <n v="-2.9866829150321492E-2"/>
  </r>
  <r>
    <s v="Lentils (Moong)"/>
    <s v="Pulses"/>
    <s v="Rawalpindi"/>
    <n v="287.66000000000003"/>
    <x v="2"/>
    <s v="Online Retailer"/>
    <s v="Low Averg"/>
    <n v="304.90820512820511"/>
    <n v="39"/>
    <x v="2"/>
    <n v="11218.740000000002"/>
    <n v="343.97632765308202"/>
    <n v="-5.0143581815318396E-2"/>
  </r>
  <r>
    <s v="Banana"/>
    <s v="Fruit"/>
    <s v="Peshawar"/>
    <n v="114.98"/>
    <x v="9"/>
    <s v="Online Retailer"/>
    <s v="Low Averg"/>
    <n v="121.60903225806452"/>
    <n v="31"/>
    <x v="9"/>
    <n v="3564.38"/>
    <n v="344.166172678713"/>
    <n v="-1.9261138323006737E-2"/>
  </r>
  <r>
    <s v="Onion"/>
    <s v="Vegetable"/>
    <s v="Hyderabad"/>
    <n v="107.69"/>
    <x v="0"/>
    <s v="Wholesale Market"/>
    <s v="Low Averg"/>
    <n v="90.269599999999997"/>
    <n v="25"/>
    <x v="0"/>
    <n v="2692.25"/>
    <n v="344.25710636178002"/>
    <n v="5.0602876972110751E-2"/>
  </r>
  <r>
    <s v="Flour (Atta)"/>
    <s v="Grain"/>
    <s v="Hyderabad"/>
    <n v="114.43"/>
    <x v="1"/>
    <s v="Online Retailer"/>
    <s v="Low Averg"/>
    <n v="113.26108695652174"/>
    <n v="46"/>
    <x v="1"/>
    <n v="5263.7800000000007"/>
    <n v="344.34153005430102"/>
    <n v="3.3946327743096735E-3"/>
  </r>
  <r>
    <s v="Yogurt"/>
    <s v="Dairy"/>
    <s v="Sialkot"/>
    <n v="224.25"/>
    <x v="9"/>
    <s v="Wholesale Market"/>
    <s v="Low Averg"/>
    <n v="226.49633333333335"/>
    <n v="30"/>
    <x v="9"/>
    <n v="6727.5"/>
    <n v="344.43182770768499"/>
    <n v="-6.5218517936727642E-3"/>
  </r>
  <r>
    <s v="Grapes"/>
    <s v="Fruit"/>
    <s v="Hyderabad"/>
    <n v="238.7"/>
    <x v="5"/>
    <s v="Local Market Survey"/>
    <s v="Low Averg"/>
    <n v="226.566129032258"/>
    <n v="31"/>
    <x v="5"/>
    <n v="7399.7"/>
    <n v="344.59767741526099"/>
    <n v="3.5211702698506403E-2"/>
  </r>
  <r>
    <s v="Rice (Irri)"/>
    <s v="Grain"/>
    <s v="Karachi"/>
    <n v="143.31"/>
    <x v="3"/>
    <s v="Local Market Survey"/>
    <s v="Low Averg"/>
    <n v="140.29840000000002"/>
    <n v="25"/>
    <x v="3"/>
    <n v="3582.75"/>
    <n v="344.77064547239701"/>
    <n v="8.7350824078237885E-3"/>
  </r>
  <r>
    <s v="Yogurt"/>
    <s v="Dairy"/>
    <s v="Sialkot"/>
    <n v="203.71"/>
    <x v="5"/>
    <s v="Wholesale Market"/>
    <s v="Low Averg"/>
    <n v="226.49633333333335"/>
    <n v="30"/>
    <x v="5"/>
    <n v="6111.3"/>
    <n v="344.88505383679802"/>
    <n v="-6.6069355803733951E-2"/>
  </r>
  <r>
    <s v="Lentils (Masoor)"/>
    <s v="Pulses"/>
    <s v="Peshawar"/>
    <n v="240.98"/>
    <x v="1"/>
    <s v="Retailer Listing"/>
    <s v="Low Averg"/>
    <n v="249.29749999999999"/>
    <n v="32"/>
    <x v="1"/>
    <n v="7711.36"/>
    <n v="345.04043091486102"/>
    <n v="-2.4105870659697687E-2"/>
  </r>
  <r>
    <s v="Oranges"/>
    <s v="Fruit"/>
    <s v="Faisalabad"/>
    <n v="170.49"/>
    <x v="10"/>
    <s v="Municipal Report"/>
    <s v="Low Averg"/>
    <n v="151.26457142857143"/>
    <n v="35"/>
    <x v="10"/>
    <n v="5967.1500000000005"/>
    <n v="345.21505936966798"/>
    <n v="5.5691164245651695E-2"/>
  </r>
  <r>
    <s v="Lentils (Masoor)"/>
    <s v="Pulses"/>
    <s v="Hyderabad"/>
    <n v="276.99"/>
    <x v="6"/>
    <s v="Online Retailer"/>
    <s v="Low Averg"/>
    <n v="249.29749999999999"/>
    <n v="32"/>
    <x v="6"/>
    <n v="8863.68"/>
    <n v="345.34979982208102"/>
    <n v="8.0186813527231754E-2"/>
  </r>
  <r>
    <s v="Banana"/>
    <s v="Fruit"/>
    <s v="Karachi"/>
    <n v="127.61"/>
    <x v="5"/>
    <s v="Online Retailer"/>
    <s v="Low Averg"/>
    <n v="121.60903225806452"/>
    <n v="31"/>
    <x v="5"/>
    <n v="3955.91"/>
    <n v="345.53884383040503"/>
    <n v="1.7366984491274259E-2"/>
  </r>
  <r>
    <s v="Spices (Mixed)"/>
    <s v="Condiment"/>
    <s v="Karachi"/>
    <n v="779.72"/>
    <x v="4"/>
    <s v="Local Market Survey"/>
    <s v="Above Averg"/>
    <n v="810.77454545454566"/>
    <n v="33"/>
    <x v="4"/>
    <n v="25730.760000000002"/>
    <n v="345.64105794397602"/>
    <n v="-8.9846228452347743E-2"/>
  </r>
  <r>
    <s v="Cheese (Local)"/>
    <s v="Dairy"/>
    <s v="Sialkot"/>
    <n v="942.3"/>
    <x v="2"/>
    <s v="Local Market Survey"/>
    <s v="Above Averg"/>
    <n v="905.6025925925926"/>
    <n v="27"/>
    <x v="2"/>
    <n v="25442.1"/>
    <n v="345.56089107487998"/>
    <n v="0.1061966453821169"/>
  </r>
  <r>
    <s v="Chicken Breast"/>
    <s v="Meat"/>
    <s v="Peshawar"/>
    <n v="663.02"/>
    <x v="4"/>
    <s v="Wholesale Market"/>
    <s v="Above Averg"/>
    <n v="673.04079999999988"/>
    <n v="25"/>
    <x v="4"/>
    <n v="16575.5"/>
    <n v="345.20571170614397"/>
    <n v="-2.9028488406153869E-2"/>
  </r>
  <r>
    <s v="Flour (Atta)"/>
    <s v="Grain"/>
    <s v="Peshawar"/>
    <n v="124.32"/>
    <x v="10"/>
    <s v="Retailer Listing"/>
    <s v="Low Averg"/>
    <n v="113.26108695652174"/>
    <n v="46"/>
    <x v="10"/>
    <n v="5718.7199999999993"/>
    <n v="345.26418988351003"/>
    <n v="3.203029264983856E-2"/>
  </r>
  <r>
    <s v="Onion"/>
    <s v="Vegetable"/>
    <s v="Karachi"/>
    <n v="74.489999999999995"/>
    <x v="6"/>
    <s v="Municipal Report"/>
    <s v="Low Averg"/>
    <n v="90.269599999999997"/>
    <n v="25"/>
    <x v="6"/>
    <n v="1862.2499999999998"/>
    <n v="345.36488720615699"/>
    <n v="-4.568964762935139E-2"/>
  </r>
  <r>
    <s v="Ghee"/>
    <s v="Oil"/>
    <s v="Lahore"/>
    <n v="972.32"/>
    <x v="11"/>
    <s v="Wholesale Market"/>
    <s v="Above Averg"/>
    <n v="1024.1451428571424"/>
    <n v="35"/>
    <x v="11"/>
    <n v="34031.200000000004"/>
    <n v="345.41870958161797"/>
    <n v="-0.15003571439403107"/>
  </r>
  <r>
    <s v="Lentils (Masoor)"/>
    <s v="Pulses"/>
    <s v="Hyderabad"/>
    <n v="235.78"/>
    <x v="5"/>
    <s v="Retailer Listing"/>
    <s v="Low Averg"/>
    <n v="249.29749999999999"/>
    <n v="32"/>
    <x v="5"/>
    <n v="7544.96"/>
    <n v="344.99979905938198"/>
    <n v="-3.9181182240843354E-2"/>
  </r>
  <r>
    <s v="Wheat"/>
    <s v="Grain"/>
    <s v="Multan"/>
    <n v="115.34"/>
    <x v="0"/>
    <s v="Municipal Report"/>
    <s v="Low Averg"/>
    <n v="120.53625"/>
    <n v="24"/>
    <x v="0"/>
    <n v="2768.16"/>
    <n v="345.17445243064998"/>
    <n v="-1.5053982018104269E-2"/>
  </r>
  <r>
    <s v="Lentils (Moong)"/>
    <s v="Pulses"/>
    <s v="Multan"/>
    <n v="311.04000000000002"/>
    <x v="0"/>
    <s v="Local Market Survey"/>
    <s v="Low Averg"/>
    <n v="304.90820512820511"/>
    <n v="39"/>
    <x v="0"/>
    <n v="12130.560000000001"/>
    <n v="345.26764036946997"/>
    <n v="1.7759541164162652E-2"/>
  </r>
  <r>
    <s v="Ghee"/>
    <s v="Oil"/>
    <s v="Peshawar"/>
    <n v="1009.06"/>
    <x v="6"/>
    <s v="Local Market Survey"/>
    <s v="Above Averg"/>
    <n v="1024.1451428571424"/>
    <n v="35"/>
    <x v="6"/>
    <n v="35317.1"/>
    <n v="345.46827095610502"/>
    <n v="-4.3665783880509276E-2"/>
  </r>
  <r>
    <s v="Beef (Local)"/>
    <s v="Meat"/>
    <s v="Rawalpindi"/>
    <n v="1027.18"/>
    <x v="0"/>
    <s v="Local Market Survey"/>
    <s v="Above Averg"/>
    <n v="920.12567567567555"/>
    <n v="37"/>
    <x v="0"/>
    <n v="38005.660000000003"/>
    <n v="344.96781958794003"/>
    <n v="0.3103313359843235"/>
  </r>
  <r>
    <s v="Mango"/>
    <s v="Fruit"/>
    <s v="Rawalpindi"/>
    <n v="223.75"/>
    <x v="5"/>
    <s v="Wholesale Market"/>
    <s v="Low Averg"/>
    <n v="257.40029411764709"/>
    <n v="34"/>
    <x v="5"/>
    <n v="7607.5"/>
    <n v="344.42273710922302"/>
    <n v="-9.7700559492899977E-2"/>
  </r>
  <r>
    <s v="Lentils (Masoor)"/>
    <s v="Pulses"/>
    <s v="Peshawar"/>
    <n v="218.55"/>
    <x v="6"/>
    <s v="Online Retailer"/>
    <s v="Low Averg"/>
    <n v="249.29749999999999"/>
    <n v="32"/>
    <x v="6"/>
    <n v="6993.6"/>
    <n v="344.59262774221202"/>
    <n v="-8.9228548508013997E-2"/>
  </r>
  <r>
    <s v="Guava"/>
    <s v="Fruit"/>
    <s v="Rawalpindi"/>
    <n v="124.76"/>
    <x v="9"/>
    <s v="Online Retailer"/>
    <s v="Low Averg"/>
    <n v="132.90272727272728"/>
    <n v="22"/>
    <x v="9"/>
    <n v="2744.7200000000003"/>
    <n v="344.76004643551198"/>
    <n v="-2.3618535143254727E-2"/>
  </r>
  <r>
    <s v="Rice (Irri)"/>
    <s v="Grain"/>
    <s v="Rawalpindi"/>
    <n v="132.44999999999999"/>
    <x v="0"/>
    <s v="Retailer Listing"/>
    <s v="Low Averg"/>
    <n v="140.29840000000002"/>
    <n v="25"/>
    <x v="0"/>
    <n v="3311.2499999999995"/>
    <n v="344.86250151630401"/>
    <n v="-2.2758055646792258E-2"/>
  </r>
  <r>
    <s v="Chicken (Whole)"/>
    <s v="Meat"/>
    <s v="Faisalabad"/>
    <n v="486.69"/>
    <x v="7"/>
    <s v="Local Market Survey"/>
    <s v="Above Averg"/>
    <n v="533.4588235294118"/>
    <n v="34"/>
    <x v="7"/>
    <n v="16547.46"/>
    <n v="344.97143762443199"/>
    <n v="-0.13557303135434853"/>
  </r>
  <r>
    <s v="Maize"/>
    <s v="Grain"/>
    <s v="Hyderabad"/>
    <n v="93.81"/>
    <x v="2"/>
    <s v="Retailer Listing"/>
    <s v="Low Averg"/>
    <n v="102.25285714285715"/>
    <n v="28"/>
    <x v="2"/>
    <n v="2626.6800000000003"/>
    <n v="345.15635990120899"/>
    <n v="-2.4460963562350911E-2"/>
  </r>
  <r>
    <s v="Milk"/>
    <s v="Dairy"/>
    <s v="Multan"/>
    <n v="190.34"/>
    <x v="10"/>
    <s v="Municipal Report"/>
    <s v="Low Averg"/>
    <n v="206.78702702702708"/>
    <n v="37"/>
    <x v="10"/>
    <n v="7042.58"/>
    <n v="345.23077255719397"/>
    <n v="-4.7640674975757892E-2"/>
  </r>
  <r>
    <s v="Milk"/>
    <s v="Dairy"/>
    <s v="Quetta"/>
    <n v="214.39"/>
    <x v="4"/>
    <s v="Retailer Listing"/>
    <s v="Low Averg"/>
    <n v="206.78702702702708"/>
    <n v="37"/>
    <x v="4"/>
    <n v="7932.4299999999994"/>
    <n v="345.382653193007"/>
    <n v="2.201318712067513E-2"/>
  </r>
  <r>
    <s v="Milk"/>
    <s v="Dairy"/>
    <s v="Faisalabad"/>
    <n v="220.74"/>
    <x v="3"/>
    <s v="Municipal Report"/>
    <s v="Low Averg"/>
    <n v="206.78702702702708"/>
    <n v="37"/>
    <x v="3"/>
    <n v="8167.38"/>
    <n v="345.54896973623602"/>
    <n v="4.0379147950067668E-2"/>
  </r>
  <r>
    <s v="Tea (Loose)"/>
    <s v="Beverage"/>
    <s v="Rawalpindi"/>
    <n v="870.47"/>
    <x v="1"/>
    <s v="Wholesale Market"/>
    <s v="Above Averg"/>
    <n v="911.5772916666665"/>
    <n v="48"/>
    <x v="1"/>
    <n v="41782.559999999998"/>
    <n v="345.71894110670797"/>
    <n v="-0.11890378795872364"/>
  </r>
  <r>
    <s v="Salt"/>
    <s v="Condiment"/>
    <s v="Multan"/>
    <n v="39.549999999999997"/>
    <x v="3"/>
    <s v="Wholesale Market"/>
    <s v="Low Averg"/>
    <n v="40.881379310344826"/>
    <n v="29"/>
    <x v="3"/>
    <n v="1146.9499999999998"/>
    <n v="345.49059824562801"/>
    <n v="-3.8535905668792736E-3"/>
  </r>
  <r>
    <s v="Chickpeas"/>
    <s v="Pulses"/>
    <s v="Islamabad"/>
    <n v="192.02"/>
    <x v="11"/>
    <s v="Municipal Report"/>
    <s v="Low Averg"/>
    <n v="203.25225806451613"/>
    <n v="31"/>
    <x v="11"/>
    <n v="5952.62"/>
    <n v="345.50722512565397"/>
    <n v="-3.2509473746695668E-2"/>
  </r>
  <r>
    <s v="Tomato"/>
    <s v="Vegetable"/>
    <s v="Rawalpindi"/>
    <n v="121.13"/>
    <x v="8"/>
    <s v="Online Retailer"/>
    <s v="Low Averg"/>
    <n v="123.43305555555558"/>
    <n v="36"/>
    <x v="8"/>
    <n v="4360.68"/>
    <n v="345.66106692705898"/>
    <n v="-6.6627566015167571E-3"/>
  </r>
  <r>
    <s v="Potato"/>
    <s v="Vegetable"/>
    <s v="Quetta"/>
    <n v="76.150000000000006"/>
    <x v="2"/>
    <s v="Retailer Listing"/>
    <s v="Low Averg"/>
    <n v="70.278611111111118"/>
    <n v="36"/>
    <x v="2"/>
    <n v="2741.4"/>
    <n v="345.76120487950601"/>
    <n v="1.6981051679684545E-2"/>
  </r>
  <r>
    <s v="Potato"/>
    <s v="Vegetable"/>
    <s v="Islamabad"/>
    <n v="63.76"/>
    <x v="9"/>
    <s v="Online Retailer"/>
    <s v="Low Averg"/>
    <n v="70.278611111111118"/>
    <n v="36"/>
    <x v="9"/>
    <n v="2295.36"/>
    <n v="345.81779731025102"/>
    <n v="-1.8849842783721558E-2"/>
  </r>
  <r>
    <s v="Chicken Breast"/>
    <s v="Meat"/>
    <s v="Faisalabad"/>
    <n v="705.93"/>
    <x v="11"/>
    <s v="Local Market Survey"/>
    <s v="Above Averg"/>
    <n v="673.04079999999988"/>
    <n v="25"/>
    <x v="11"/>
    <n v="17648.25"/>
    <n v="345.86087177715598"/>
    <n v="9.5093728963914548E-2"/>
  </r>
  <r>
    <s v="Milk"/>
    <s v="Dairy"/>
    <s v="Hyderabad"/>
    <n v="207.01"/>
    <x v="4"/>
    <s v="Municipal Report"/>
    <s v="Low Averg"/>
    <n v="206.78702702702708"/>
    <n v="37"/>
    <x v="4"/>
    <n v="7659.37"/>
    <n v="345.87567586014899"/>
    <n v="6.4466219666475821E-4"/>
  </r>
  <r>
    <s v="Lentils (Moong)"/>
    <s v="Pulses"/>
    <s v="Lahore"/>
    <n v="279.47000000000003"/>
    <x v="1"/>
    <s v="Municipal Report"/>
    <s v="Low Averg"/>
    <n v="304.90820512820511"/>
    <n v="39"/>
    <x v="1"/>
    <n v="10899.330000000002"/>
    <n v="346.03939089316498"/>
    <n v="-7.3512454933371413E-2"/>
  </r>
  <r>
    <s v="Cheese (Local)"/>
    <s v="Dairy"/>
    <s v="Multan"/>
    <n v="879.59"/>
    <x v="8"/>
    <s v="Online Retailer"/>
    <s v="Above Averg"/>
    <n v="905.6025925925926"/>
    <n v="27"/>
    <x v="8"/>
    <n v="23748.93"/>
    <n v="346.23655224241497"/>
    <n v="-7.5129539108799936E-2"/>
  </r>
  <r>
    <s v="Mutton"/>
    <s v="Meat"/>
    <s v="Islamabad"/>
    <n v="1134.31"/>
    <x v="5"/>
    <s v="Wholesale Market"/>
    <s v="Above Averg"/>
    <n v="1235.856"/>
    <n v="25"/>
    <x v="5"/>
    <n v="28357.75"/>
    <n v="345.99205926441601"/>
    <n v="-0.29349228481106843"/>
  </r>
  <r>
    <s v="Cheese (Local)"/>
    <s v="Dairy"/>
    <s v="Karachi"/>
    <n v="893.74"/>
    <x v="1"/>
    <s v="Municipal Report"/>
    <s v="Above Averg"/>
    <n v="905.6025925925926"/>
    <n v="27"/>
    <x v="1"/>
    <n v="24130.98"/>
    <n v="345.16825302322098"/>
    <n v="-3.4367565639921535E-2"/>
  </r>
  <r>
    <s v="Tomato"/>
    <s v="Vegetable"/>
    <s v="Faisalabad"/>
    <n v="132.93"/>
    <x v="5"/>
    <s v="Wholesale Market"/>
    <s v="Low Averg"/>
    <n v="123.43305555555558"/>
    <n v="36"/>
    <x v="5"/>
    <n v="4785.4800000000005"/>
    <n v="344.89211681927202"/>
    <n v="2.7535985838206174E-2"/>
  </r>
  <r>
    <s v="Beef (Local)"/>
    <s v="Meat"/>
    <s v="Multan"/>
    <n v="810.27"/>
    <x v="8"/>
    <s v="Wholesale Market"/>
    <s v="Above Averg"/>
    <n v="920.12567567567555"/>
    <n v="37"/>
    <x v="8"/>
    <n v="29979.989999999998"/>
    <n v="345.00404647481099"/>
    <n v="-0.31841851363240814"/>
  </r>
  <r>
    <s v="Spices (Mixed)"/>
    <s v="Condiment"/>
    <s v="Lahore"/>
    <n v="726.49"/>
    <x v="10"/>
    <s v="Online Retailer"/>
    <s v="Above Averg"/>
    <n v="810.77454545454566"/>
    <n v="33"/>
    <x v="10"/>
    <n v="23974.170000000002"/>
    <n v="344.87047330465202"/>
    <n v="-0.24439478580727983"/>
  </r>
  <r>
    <s v="Cooking Oil (Sunflower)"/>
    <s v="Oil"/>
    <s v="Islamabad"/>
    <n v="394.5"/>
    <x v="4"/>
    <s v="Online Retailer"/>
    <s v="Above Averg"/>
    <n v="368.73933333333326"/>
    <n v="30"/>
    <x v="4"/>
    <n v="11835"/>
    <n v="344.85560109660997"/>
    <n v="7.4699864478785086E-2"/>
  </r>
  <r>
    <s v="Potato"/>
    <s v="Vegetable"/>
    <s v="Islamabad"/>
    <n v="74.12"/>
    <x v="8"/>
    <s v="Wholesale Market"/>
    <s v="Low Averg"/>
    <n v="70.278611111111118"/>
    <n v="36"/>
    <x v="8"/>
    <n v="2668.32"/>
    <n v="345.068084165095"/>
    <n v="1.113226364641421E-2"/>
  </r>
  <r>
    <s v="Milk"/>
    <s v="Dairy"/>
    <s v="Multan"/>
    <n v="191.01"/>
    <x v="0"/>
    <s v="Local Market Survey"/>
    <s v="Low Averg"/>
    <n v="206.78702702702708"/>
    <n v="37"/>
    <x v="0"/>
    <n v="7067.37"/>
    <n v="345.12503674144199"/>
    <n v="-4.5713945229788687E-2"/>
  </r>
  <r>
    <s v="Milk"/>
    <s v="Dairy"/>
    <s v="Multan"/>
    <n v="187.93"/>
    <x v="6"/>
    <s v="Municipal Report"/>
    <s v="Low Averg"/>
    <n v="206.78702702702708"/>
    <n v="37"/>
    <x v="6"/>
    <n v="6953.41"/>
    <n v="345.281687030032"/>
    <n v="-5.461345833086978E-2"/>
  </r>
  <r>
    <s v="Rice (Irri)"/>
    <s v="Grain"/>
    <s v="Multan"/>
    <n v="148.99"/>
    <x v="3"/>
    <s v="Municipal Report"/>
    <s v="Low Averg"/>
    <n v="140.29840000000002"/>
    <n v="25"/>
    <x v="3"/>
    <n v="3724.75"/>
    <n v="345.436506231544"/>
    <n v="2.5161208625049222E-2"/>
  </r>
  <r>
    <s v="Tea (Loose)"/>
    <s v="Beverage"/>
    <s v="Islamabad"/>
    <n v="894.52"/>
    <x v="0"/>
    <s v="Municipal Report"/>
    <s v="Above Averg"/>
    <n v="911.5772916666665"/>
    <n v="48"/>
    <x v="0"/>
    <n v="42936.959999999999"/>
    <n v="345.56312435620401"/>
    <n v="-4.936085613430205E-2"/>
  </r>
  <r>
    <s v="Mutton"/>
    <s v="Meat"/>
    <s v="Lahore"/>
    <n v="1099.82"/>
    <x v="8"/>
    <s v="Online Retailer"/>
    <s v="Above Averg"/>
    <n v="1235.856"/>
    <n v="25"/>
    <x v="8"/>
    <n v="27495.5"/>
    <n v="345.28269535964301"/>
    <n v="-0.3939844128542449"/>
  </r>
  <r>
    <s v="Eggplant"/>
    <s v="Vegetable"/>
    <s v="Hyderabad"/>
    <n v="89.35"/>
    <x v="4"/>
    <s v="Local Market Survey"/>
    <s v="Low Averg"/>
    <n v="81.934666666666672"/>
    <n v="30"/>
    <x v="4"/>
    <n v="2680.5"/>
    <n v="344.53326246508698"/>
    <n v="2.152283724444385E-2"/>
  </r>
  <r>
    <s v="Tomato"/>
    <s v="Vegetable"/>
    <s v="Rawalpindi"/>
    <n v="112.78"/>
    <x v="8"/>
    <s v="Local Market Survey"/>
    <s v="Low Averg"/>
    <n v="123.43305555555558"/>
    <n v="36"/>
    <x v="8"/>
    <n v="4060.08"/>
    <n v="344.606461967553"/>
    <n v="-3.0913684829736707E-2"/>
  </r>
  <r>
    <s v="Wheat"/>
    <s v="Grain"/>
    <s v="Hyderabad"/>
    <n v="114.06"/>
    <x v="11"/>
    <s v="Local Market Survey"/>
    <s v="Low Averg"/>
    <n v="120.53625"/>
    <n v="24"/>
    <x v="11"/>
    <n v="2737.44"/>
    <n v="344.70233291154699"/>
    <n v="-1.878794943247989E-2"/>
  </r>
  <r>
    <s v="Sugar"/>
    <s v="Grain"/>
    <s v="Peshawar"/>
    <n v="117.5"/>
    <x v="8"/>
    <s v="Wholesale Market"/>
    <s v="Low Averg"/>
    <n v="122.0377142857143"/>
    <n v="35"/>
    <x v="8"/>
    <n v="4112.5"/>
    <n v="344.79931133391602"/>
    <n v="-1.3160450547767528E-2"/>
  </r>
  <r>
    <s v="Lentils (Masoor)"/>
    <s v="Pulses"/>
    <s v="Sialkot"/>
    <n v="264.43"/>
    <x v="3"/>
    <s v="Retailer Listing"/>
    <s v="Low Averg"/>
    <n v="249.29749999999999"/>
    <n v="32"/>
    <x v="3"/>
    <n v="8461.76"/>
    <n v="344.89939361692302"/>
    <n v="4.387511338105618E-2"/>
  </r>
  <r>
    <s v="Fish (Rohu)"/>
    <s v="Meat"/>
    <s v="Hyderabad"/>
    <n v="781.32"/>
    <x v="3"/>
    <s v="Retailer Listing"/>
    <s v="Above Averg"/>
    <n v="720.27689655172423"/>
    <n v="29"/>
    <x v="3"/>
    <n v="22658.280000000002"/>
    <n v="345.09551040116401"/>
    <n v="0.17688756187327645"/>
  </r>
  <r>
    <s v="Rice (Irri)"/>
    <s v="Grain"/>
    <s v="Islamabad"/>
    <n v="133.96"/>
    <x v="2"/>
    <s v="Municipal Report"/>
    <s v="Low Averg"/>
    <n v="140.29840000000002"/>
    <n v="25"/>
    <x v="2"/>
    <n v="3349"/>
    <n v="345.00459864750098"/>
    <n v="-1.8371929026013055E-2"/>
  </r>
  <r>
    <s v="Rice (Irri)"/>
    <s v="Grain"/>
    <s v="Lahore"/>
    <n v="122.63"/>
    <x v="9"/>
    <s v="Wholesale Market"/>
    <s v="Low Averg"/>
    <n v="140.29840000000002"/>
    <n v="25"/>
    <x v="9"/>
    <n v="3065.75"/>
    <n v="345.12001033208998"/>
    <n v="-5.1194945152553434E-2"/>
  </r>
  <r>
    <s v="Rice (Irri)"/>
    <s v="Grain"/>
    <s v="Quetta"/>
    <n v="154.13999999999999"/>
    <x v="0"/>
    <s v="Online Retailer"/>
    <s v="Low Averg"/>
    <n v="140.29840000000002"/>
    <n v="25"/>
    <x v="0"/>
    <n v="3853.4999999999995"/>
    <n v="345.22538954613498"/>
    <n v="4.0094385926242017E-2"/>
  </r>
  <r>
    <s v="Sugar"/>
    <s v="Grain"/>
    <s v="Quetta"/>
    <n v="119.37"/>
    <x v="11"/>
    <s v="Municipal Report"/>
    <s v="Low Averg"/>
    <n v="122.0377142857143"/>
    <n v="35"/>
    <x v="11"/>
    <n v="4177.95"/>
    <n v="345.357507054888"/>
    <n v="-7.7245006441696209E-3"/>
  </r>
  <r>
    <s v="Spinach"/>
    <s v="Vegetable"/>
    <s v="Quetta"/>
    <n v="66.86"/>
    <x v="9"/>
    <s v="Local Market Survey"/>
    <s v="Low Averg"/>
    <n v="62.182121212121217"/>
    <n v="33"/>
    <x v="9"/>
    <n v="2206.38"/>
    <n v="345.45986338751698"/>
    <n v="1.354101961949602E-2"/>
  </r>
  <r>
    <s v="Ghee"/>
    <s v="Oil"/>
    <s v="Sialkot"/>
    <n v="994.02"/>
    <x v="1"/>
    <s v="Retailer Listing"/>
    <s v="Above Averg"/>
    <n v="1024.1451428571424"/>
    <n v="35"/>
    <x v="1"/>
    <n v="34790.699999999997"/>
    <n v="345.50859325110201"/>
    <n v="-8.719071955251978E-2"/>
  </r>
  <r>
    <s v="Lentils (Moong)"/>
    <s v="Pulses"/>
    <s v="Sialkot"/>
    <n v="289.77"/>
    <x v="6"/>
    <s v="Retailer Listing"/>
    <s v="Low Averg"/>
    <n v="304.90820512820511"/>
    <n v="39"/>
    <x v="6"/>
    <n v="11301.029999999999"/>
    <n v="345.01571007435399"/>
    <n v="-4.3876857447861461E-2"/>
  </r>
  <r>
    <s v="Ghee"/>
    <s v="Oil"/>
    <s v="Rawalpindi"/>
    <n v="901.3"/>
    <x v="2"/>
    <s v="Municipal Report"/>
    <s v="Above Averg"/>
    <n v="1024.1451428571424"/>
    <n v="35"/>
    <x v="2"/>
    <n v="31545.5"/>
    <n v="345.22247578162899"/>
    <n v="-0.35584340961290245"/>
  </r>
  <r>
    <s v="Carrot"/>
    <s v="Vegetable"/>
    <s v="Multan"/>
    <n v="145.62"/>
    <x v="9"/>
    <s v="Retailer Listing"/>
    <s v="Low Averg"/>
    <n v="141.74161290322584"/>
    <n v="31"/>
    <x v="9"/>
    <n v="4514.22"/>
    <n v="344.923295042289"/>
    <n v="1.1244201689244143E-2"/>
  </r>
  <r>
    <s v="Wheat"/>
    <s v="Grain"/>
    <s v="Faisalabad"/>
    <n v="114.37"/>
    <x v="8"/>
    <s v="Local Market Survey"/>
    <s v="Low Averg"/>
    <n v="120.53625"/>
    <n v="24"/>
    <x v="8"/>
    <n v="2744.88"/>
    <n v="345.04952700643298"/>
    <n v="-1.7870622960990262E-2"/>
  </r>
  <r>
    <s v="Eggplant"/>
    <s v="Vegetable"/>
    <s v="Quetta"/>
    <n v="89.36"/>
    <x v="9"/>
    <s v="Wholesale Market"/>
    <s v="Low Averg"/>
    <n v="81.934666666666672"/>
    <n v="30"/>
    <x v="9"/>
    <n v="2680.8"/>
    <n v="345.14802148051399"/>
    <n v="2.1513475005542047E-2"/>
  </r>
  <r>
    <s v="Chickpeas"/>
    <s v="Pulses"/>
    <s v="Lahore"/>
    <n v="211.62"/>
    <x v="9"/>
    <s v="Online Retailer"/>
    <s v="Low Averg"/>
    <n v="203.25225806451613"/>
    <n v="31"/>
    <x v="9"/>
    <n v="6560.22"/>
    <n v="345.22154398704498"/>
    <n v="2.4238759374177098E-2"/>
  </r>
  <r>
    <s v="Apple"/>
    <s v="Fruit"/>
    <s v="Faisalabad"/>
    <n v="227.21"/>
    <x v="10"/>
    <s v="Wholesale Market"/>
    <s v="Low Averg"/>
    <n v="206.14838709677423"/>
    <n v="31"/>
    <x v="10"/>
    <n v="7043.51"/>
    <n v="345.394782978487"/>
    <n v="6.0978375879341545E-2"/>
  </r>
  <r>
    <s v="Oranges"/>
    <s v="Fruit"/>
    <s v="Multan"/>
    <n v="150.37"/>
    <x v="6"/>
    <s v="Retailer Listing"/>
    <s v="Low Averg"/>
    <n v="151.26457142857143"/>
    <n v="35"/>
    <x v="6"/>
    <n v="5262.95"/>
    <n v="345.577036795693"/>
    <n v="-2.5886309948895707E-3"/>
  </r>
  <r>
    <s v="Fish (Pomfret)"/>
    <s v="Meat"/>
    <s v="Sialkot"/>
    <n v="1111.79"/>
    <x v="1"/>
    <s v="Retailer Listing"/>
    <s v="Above Averg"/>
    <n v="1113.4854166666667"/>
    <n v="24"/>
    <x v="1"/>
    <n v="26682.959999999999"/>
    <n v="345.707476159718"/>
    <n v="-4.9041943943480115E-3"/>
  </r>
  <r>
    <s v="Yogurt"/>
    <s v="Dairy"/>
    <s v="Multan"/>
    <n v="215.47"/>
    <x v="10"/>
    <s v="Wholesale Market"/>
    <s v="Low Averg"/>
    <n v="226.49633333333335"/>
    <n v="30"/>
    <x v="10"/>
    <n v="6464.1"/>
    <n v="344.91170747272798"/>
    <n v="-3.1968567881115496E-2"/>
  </r>
  <r>
    <s v="Apple"/>
    <s v="Fruit"/>
    <s v="Rawalpindi"/>
    <n v="205.45"/>
    <x v="11"/>
    <s v="Municipal Report"/>
    <s v="Low Averg"/>
    <n v="206.14838709677423"/>
    <n v="31"/>
    <x v="11"/>
    <n v="6368.95"/>
    <n v="345.08801531706399"/>
    <n v="-2.0237941214289006E-3"/>
  </r>
  <r>
    <s v="Apple"/>
    <s v="Fruit"/>
    <s v="Multan"/>
    <n v="224.46"/>
    <x v="4"/>
    <s v="Municipal Report"/>
    <s v="Low Averg"/>
    <n v="206.14838709677423"/>
    <n v="31"/>
    <x v="4"/>
    <n v="6958.26"/>
    <n v="345.25856952239502"/>
    <n v="5.3037388553618524E-2"/>
  </r>
  <r>
    <s v="Chicken (Whole)"/>
    <s v="Meat"/>
    <s v="Islamabad"/>
    <n v="535.13"/>
    <x v="6"/>
    <s v="Wholesale Market"/>
    <s v="Above Averg"/>
    <n v="533.4588235294118"/>
    <n v="34"/>
    <x v="6"/>
    <n v="18194.419999999998"/>
    <n v="345.44043670827"/>
    <n v="4.8378136807403606E-3"/>
  </r>
  <r>
    <s v="Chicken Breast"/>
    <s v="Meat"/>
    <s v="Lahore"/>
    <n v="712.38"/>
    <x v="7"/>
    <s v="Wholesale Market"/>
    <s v="Above Averg"/>
    <n v="673.04079999999988"/>
    <n v="25"/>
    <x v="7"/>
    <n v="17809.5"/>
    <n v="345.61298057992798"/>
    <n v="0.11382442850957203"/>
  </r>
  <r>
    <s v="Chicken (Whole)"/>
    <s v="Meat"/>
    <s v="Multan"/>
    <n v="568.64"/>
    <x v="9"/>
    <s v="Wholesale Market"/>
    <s v="Above Averg"/>
    <n v="533.4588235294118"/>
    <n v="34"/>
    <x v="9"/>
    <n v="19333.759999999998"/>
    <n v="345.61852930140202"/>
    <n v="0.10179192805923866"/>
  </r>
  <r>
    <s v="Tea (Loose)"/>
    <s v="Beverage"/>
    <s v="Hyderabad"/>
    <n v="829.6"/>
    <x v="5"/>
    <s v="Online Retailer"/>
    <s v="Above Averg"/>
    <n v="911.5772916666665"/>
    <n v="48"/>
    <x v="5"/>
    <n v="39820.800000000003"/>
    <n v="345.76856760286699"/>
    <n v="-0.23708717144243607"/>
  </r>
  <r>
    <s v="Ghee"/>
    <s v="Oil"/>
    <s v="Sialkot"/>
    <n v="927.99"/>
    <x v="8"/>
    <s v="Local Market Survey"/>
    <s v="Above Averg"/>
    <n v="1024.1451428571424"/>
    <n v="35"/>
    <x v="8"/>
    <n v="32479.65"/>
    <n v="345.59758141627702"/>
    <n v="-0.27822863361223077"/>
  </r>
  <r>
    <s v="Ghee"/>
    <s v="Oil"/>
    <s v="Sialkot"/>
    <n v="1018.59"/>
    <x v="3"/>
    <s v="Local Market Survey"/>
    <s v="Above Averg"/>
    <n v="1024.1451428571424"/>
    <n v="35"/>
    <x v="3"/>
    <n v="35650.65"/>
    <n v="345.23703449518803"/>
    <n v="-1.6090808059642983E-2"/>
  </r>
  <r>
    <s v="Chicken Breast"/>
    <s v="Meat"/>
    <s v="Islamabad"/>
    <n v="631.91"/>
    <x v="1"/>
    <s v="Online Retailer"/>
    <s v="Above Averg"/>
    <n v="673.04079999999988"/>
    <n v="25"/>
    <x v="1"/>
    <n v="15797.75"/>
    <n v="344.66752956246103"/>
    <n v="-0.11933471090883871"/>
  </r>
  <r>
    <s v="Sugar"/>
    <s v="Grain"/>
    <s v="Multan"/>
    <n v="114.77"/>
    <x v="7"/>
    <s v="Municipal Report"/>
    <s v="Low Averg"/>
    <n v="122.0377142857143"/>
    <n v="35"/>
    <x v="7"/>
    <n v="4016.95"/>
    <n v="344.76040093025603"/>
    <n v="-2.1080478692170165E-2"/>
  </r>
  <r>
    <s v="Cheese (Local)"/>
    <s v="Dairy"/>
    <s v="Islamabad"/>
    <n v="830.6"/>
    <x v="1"/>
    <s v="Municipal Report"/>
    <s v="Above Averg"/>
    <n v="905.6025925925926"/>
    <n v="27"/>
    <x v="1"/>
    <n v="22426.2"/>
    <n v="344.86333717818002"/>
    <n v="-0.21748497015164328"/>
  </r>
  <r>
    <s v="Rice (Irri)"/>
    <s v="Grain"/>
    <s v="Multan"/>
    <n v="143.72"/>
    <x v="1"/>
    <s v="Retailer Listing"/>
    <s v="Low Averg"/>
    <n v="140.29840000000002"/>
    <n v="25"/>
    <x v="1"/>
    <n v="3593"/>
    <n v="344.684081549594"/>
    <n v="9.926771159890874E-3"/>
  </r>
  <r>
    <s v="Flour (Atta)"/>
    <s v="Grain"/>
    <s v="Sialkot"/>
    <n v="119.94"/>
    <x v="1"/>
    <s v="Local Market Survey"/>
    <s v="Low Averg"/>
    <n v="113.26108695652174"/>
    <n v="46"/>
    <x v="1"/>
    <n v="5517.24"/>
    <n v="344.81362334426802"/>
    <n v="1.9369632147074177E-2"/>
  </r>
  <r>
    <s v="Yogurt"/>
    <s v="Dairy"/>
    <s v="Hyderabad"/>
    <n v="230.35"/>
    <x v="4"/>
    <s v="Wholesale Market"/>
    <s v="Low Averg"/>
    <n v="226.49633333333335"/>
    <n v="30"/>
    <x v="4"/>
    <n v="6910.5"/>
    <n v="344.92191023614799"/>
    <n v="1.117257719008995E-2"/>
  </r>
  <r>
    <s v="Sugar"/>
    <s v="Grain"/>
    <s v="Multan"/>
    <n v="117.46"/>
    <x v="9"/>
    <s v="Municipal Report"/>
    <s v="Low Averg"/>
    <n v="122.0377142857143"/>
    <n v="35"/>
    <x v="9"/>
    <n v="4111.0999999999995"/>
    <n v="345.11110337388902"/>
    <n v="-1.326446538799092E-2"/>
  </r>
  <r>
    <s v="Spinach"/>
    <s v="Vegetable"/>
    <s v="Hyderabad"/>
    <n v="62.84"/>
    <x v="10"/>
    <s v="Retailer Listing"/>
    <s v="Low Averg"/>
    <n v="62.182121212121217"/>
    <n v="33"/>
    <x v="10"/>
    <n v="2073.7200000000003"/>
    <n v="345.21714021328899"/>
    <n v="1.9056956079073087E-3"/>
  </r>
  <r>
    <s v="Flour (Atta)"/>
    <s v="Grain"/>
    <s v="Islamabad"/>
    <n v="101.76"/>
    <x v="5"/>
    <s v="Online Retailer"/>
    <s v="Low Averg"/>
    <n v="113.26108695652174"/>
    <n v="46"/>
    <x v="5"/>
    <n v="4680.96"/>
    <n v="345.26522745480202"/>
    <n v="-3.3310875356040062E-2"/>
  </r>
  <r>
    <s v="Lentils (Moong)"/>
    <s v="Pulses"/>
    <s v="Faisalabad"/>
    <n v="326.83999999999997"/>
    <x v="4"/>
    <s v="Retailer Listing"/>
    <s v="Low Averg"/>
    <n v="304.90820512820511"/>
    <n v="39"/>
    <x v="4"/>
    <n v="12746.759999999998"/>
    <n v="345.35548175410099"/>
    <n v="6.3504985530852751E-2"/>
  </r>
  <r>
    <s v="Chicken Breast"/>
    <s v="Meat"/>
    <s v="Quetta"/>
    <n v="764.14"/>
    <x v="7"/>
    <s v="Local Market Survey"/>
    <s v="Above Averg"/>
    <n v="673.04079999999988"/>
    <n v="25"/>
    <x v="7"/>
    <n v="19103.5"/>
    <n v="345.57881498371398"/>
    <n v="0.2636133815213566"/>
  </r>
  <r>
    <s v="Chickpeas"/>
    <s v="Pulses"/>
    <s v="Sialkot"/>
    <n v="191.77"/>
    <x v="2"/>
    <s v="Retailer Listing"/>
    <s v="Low Averg"/>
    <n v="203.25225806451613"/>
    <n v="31"/>
    <x v="2"/>
    <n v="5944.87"/>
    <n v="345.50970564953701"/>
    <n v="-3.3232809026102976E-2"/>
  </r>
  <r>
    <s v="Tea (Loose)"/>
    <s v="Beverage"/>
    <s v="Rawalpindi"/>
    <n v="966.79"/>
    <x v="4"/>
    <s v="Retailer Listing"/>
    <s v="Above Averg"/>
    <n v="911.5772916666665"/>
    <n v="48"/>
    <x v="4"/>
    <n v="46405.919999999998"/>
    <n v="345.67712797883098"/>
    <n v="0.15972334836314264"/>
  </r>
  <r>
    <s v="Tomato"/>
    <s v="Vegetable"/>
    <s v="Faisalabad"/>
    <n v="129.35"/>
    <x v="10"/>
    <s v="Municipal Report"/>
    <s v="Low Averg"/>
    <n v="123.43305555555558"/>
    <n v="36"/>
    <x v="10"/>
    <n v="4656.5999999999995"/>
    <n v="345.22317506883701"/>
    <n v="1.7139476349652891E-2"/>
  </r>
  <r>
    <s v="Wheat"/>
    <s v="Grain"/>
    <s v="Faisalabad"/>
    <n v="117.65"/>
    <x v="3"/>
    <s v="Municipal Report"/>
    <s v="Low Averg"/>
    <n v="120.53625"/>
    <n v="24"/>
    <x v="3"/>
    <n v="2823.6000000000004"/>
    <n v="345.34141385956002"/>
    <n v="-8.3576712324857187E-3"/>
  </r>
  <r>
    <s v="Flour (Atta)"/>
    <s v="Grain"/>
    <s v="Quetta"/>
    <n v="127.43"/>
    <x v="9"/>
    <s v="Municipal Report"/>
    <s v="Low Averg"/>
    <n v="113.26108695652174"/>
    <n v="46"/>
    <x v="9"/>
    <n v="5861.7800000000007"/>
    <n v="345.44862066644703"/>
    <n v="4.1015978052375175E-2"/>
  </r>
  <r>
    <s v="Maize"/>
    <s v="Grain"/>
    <s v="Multan"/>
    <n v="112.42"/>
    <x v="10"/>
    <s v="Retailer Listing"/>
    <s v="Low Averg"/>
    <n v="102.25285714285715"/>
    <n v="28"/>
    <x v="10"/>
    <n v="3147.76"/>
    <n v="345.56502170405997"/>
    <n v="2.9421793927540317E-2"/>
  </r>
  <r>
    <s v="Flour (Atta)"/>
    <s v="Grain"/>
    <s v="Peshawar"/>
    <n v="119.91"/>
    <x v="9"/>
    <s v="Wholesale Market"/>
    <s v="Low Averg"/>
    <n v="113.26108695652174"/>
    <n v="46"/>
    <x v="9"/>
    <n v="5515.86"/>
    <n v="345.666992160039"/>
    <n v="1.9235024443409701E-2"/>
  </r>
  <r>
    <s v="Spices (Mixed)"/>
    <s v="Condiment"/>
    <s v="Karachi"/>
    <n v="703.81"/>
    <x v="2"/>
    <s v="Wholesale Market"/>
    <s v="Above Averg"/>
    <n v="810.77454545454566"/>
    <n v="33"/>
    <x v="2"/>
    <n v="23225.73"/>
    <n v="345.77617801929603"/>
    <n v="-0.30934619633795757"/>
  </r>
  <r>
    <s v="Cooking Oil (Sunflower)"/>
    <s v="Oil"/>
    <s v="Lahore"/>
    <n v="344.63"/>
    <x v="11"/>
    <s v="Local Market Survey"/>
    <s v="Low Averg"/>
    <n v="368.73933333333326"/>
    <n v="30"/>
    <x v="11"/>
    <n v="10338.9"/>
    <n v="345.79198042878602"/>
    <n v="-6.9722071933066287E-2"/>
  </r>
  <r>
    <s v="Flour (Atta)"/>
    <s v="Grain"/>
    <s v="Faisalabad"/>
    <n v="103.92"/>
    <x v="8"/>
    <s v="Online Retailer"/>
    <s v="Low Averg"/>
    <n v="113.26108695652174"/>
    <n v="46"/>
    <x v="8"/>
    <n v="4780.32"/>
    <n v="346.02089382118601"/>
    <n v="-2.6995730961116324E-2"/>
  </r>
  <r>
    <s v="Yogurt"/>
    <s v="Dairy"/>
    <s v="Quetta"/>
    <n v="254.88"/>
    <x v="10"/>
    <s v="Wholesale Market"/>
    <s v="Low Averg"/>
    <n v="226.49633333333335"/>
    <n v="30"/>
    <x v="10"/>
    <n v="7646.4"/>
    <n v="346.115035185046"/>
    <n v="8.2006453870146601E-2"/>
  </r>
  <r>
    <s v="Oranges"/>
    <s v="Fruit"/>
    <s v="Islamabad"/>
    <n v="163.4"/>
    <x v="10"/>
    <s v="Local Market Survey"/>
    <s v="Low Averg"/>
    <n v="151.26457142857143"/>
    <n v="35"/>
    <x v="10"/>
    <n v="5719"/>
    <n v="346.320299649444"/>
    <n v="3.504105472221071E-2"/>
  </r>
  <r>
    <s v="Mutton"/>
    <s v="Meat"/>
    <s v="Karachi"/>
    <n v="1267.76"/>
    <x v="9"/>
    <s v="Wholesale Market"/>
    <s v="Above Averg"/>
    <n v="1235.856"/>
    <n v="25"/>
    <x v="9"/>
    <n v="31694"/>
    <n v="346.46891055158301"/>
    <n v="9.2083298178784398E-2"/>
  </r>
  <r>
    <s v="Potato"/>
    <s v="Vegetable"/>
    <s v="Rawalpindi"/>
    <n v="67.650000000000006"/>
    <x v="11"/>
    <s v="Wholesale Market"/>
    <s v="Low Averg"/>
    <n v="70.278611111111118"/>
    <n v="36"/>
    <x v="11"/>
    <n v="2435.4"/>
    <n v="345.14165223378899"/>
    <n v="-7.6160356018999623E-3"/>
  </r>
  <r>
    <s v="Yogurt"/>
    <s v="Dairy"/>
    <s v="Multan"/>
    <n v="252.74"/>
    <x v="3"/>
    <s v="Wholesale Market"/>
    <s v="Low Averg"/>
    <n v="226.49633333333335"/>
    <n v="30"/>
    <x v="3"/>
    <n v="7582.2000000000007"/>
    <n v="345.19577225505299"/>
    <n v="7.6025457945864225E-2"/>
  </r>
  <r>
    <s v="Grapes"/>
    <s v="Fruit"/>
    <s v="Multan"/>
    <n v="242.61"/>
    <x v="11"/>
    <s v="Online Retailer"/>
    <s v="Low Averg"/>
    <n v="226.566129032258"/>
    <n v="31"/>
    <x v="11"/>
    <n v="7520.9100000000008"/>
    <n v="345.40064929713702"/>
    <n v="4.6450031290879205E-2"/>
  </r>
  <r>
    <s v="Lentils (Masoor)"/>
    <s v="Pulses"/>
    <s v="Quetta"/>
    <n v="283.63"/>
    <x v="1"/>
    <s v="Retailer Listing"/>
    <s v="Low Averg"/>
    <n v="249.29749999999999"/>
    <n v="32"/>
    <x v="1"/>
    <n v="9076.16"/>
    <n v="345.60105423963802"/>
    <n v="9.9341421499814148E-2"/>
  </r>
  <r>
    <s v="Grapes"/>
    <s v="Fruit"/>
    <s v="Lahore"/>
    <n v="204.46"/>
    <x v="4"/>
    <s v="Local Market Survey"/>
    <s v="Low Averg"/>
    <n v="226.566129032258"/>
    <n v="31"/>
    <x v="4"/>
    <n v="6338.26"/>
    <n v="345.81892458796699"/>
    <n v="-6.3924000280195181E-2"/>
  </r>
  <r>
    <s v="Lentils (Moong)"/>
    <s v="Pulses"/>
    <s v="Multan"/>
    <n v="300.31"/>
    <x v="4"/>
    <s v="Retailer Listing"/>
    <s v="Low Averg"/>
    <n v="304.90820512820511"/>
    <n v="39"/>
    <x v="4"/>
    <n v="11712.09"/>
    <n v="345.99819741420998"/>
    <n v="-1.3289679433504073E-2"/>
  </r>
  <r>
    <s v="Fish (Pomfret)"/>
    <s v="Meat"/>
    <s v="Karachi"/>
    <n v="1130.31"/>
    <x v="8"/>
    <s v="Wholesale Market"/>
    <s v="Above Averg"/>
    <n v="1113.4854166666667"/>
    <n v="24"/>
    <x v="8"/>
    <n v="27127.439999999999"/>
    <n v="346.22194426021599"/>
    <n v="4.8594791902295341E-2"/>
  </r>
  <r>
    <s v="Flour (Atta)"/>
    <s v="Grain"/>
    <s v="Multan"/>
    <n v="111.93"/>
    <x v="6"/>
    <s v="Online Retailer"/>
    <s v="Low Averg"/>
    <n v="113.26108695652174"/>
    <n v="46"/>
    <x v="6"/>
    <n v="5148.7800000000007"/>
    <n v="345.32711286826702"/>
    <n v="-3.8545683409153685E-3"/>
  </r>
  <r>
    <s v="Ghee"/>
    <s v="Oil"/>
    <s v="Peshawar"/>
    <n v="914.23"/>
    <x v="9"/>
    <s v="Wholesale Market"/>
    <s v="Above Averg"/>
    <n v="1024.1451428571424"/>
    <n v="35"/>
    <x v="9"/>
    <n v="31998.05"/>
    <n v="345.43041397865301"/>
    <n v="-0.31819764099849929"/>
  </r>
  <r>
    <s v="Lentils (Moong)"/>
    <s v="Pulses"/>
    <s v="Peshawar"/>
    <n v="353.03"/>
    <x v="0"/>
    <s v="Online Retailer"/>
    <s v="Low Averg"/>
    <n v="304.90820512820511"/>
    <n v="39"/>
    <x v="0"/>
    <n v="13768.169999999998"/>
    <n v="345.08259707996399"/>
    <n v="0.13945007739884338"/>
  </r>
  <r>
    <s v="Beef (Local)"/>
    <s v="Meat"/>
    <s v="Lahore"/>
    <n v="858.41"/>
    <x v="1"/>
    <s v="Retailer Listing"/>
    <s v="Above Averg"/>
    <n v="920.12567567567555"/>
    <n v="37"/>
    <x v="1"/>
    <n v="31761.17"/>
    <n v="345.31611124899598"/>
    <n v="-0.17872225959122556"/>
  </r>
  <r>
    <s v="Guava"/>
    <s v="Fruit"/>
    <s v="Karachi"/>
    <n v="133.22999999999999"/>
    <x v="10"/>
    <s v="Wholesale Market"/>
    <s v="Low Averg"/>
    <n v="132.90272727272728"/>
    <n v="22"/>
    <x v="10"/>
    <n v="2931.06"/>
    <n v="345.07934559413599"/>
    <n v="9.4839848125142395E-4"/>
  </r>
  <r>
    <s v="Milk"/>
    <s v="Dairy"/>
    <s v="Multan"/>
    <n v="214.29"/>
    <x v="10"/>
    <s v="Municipal Report"/>
    <s v="Low Averg"/>
    <n v="206.78702702702708"/>
    <n v="37"/>
    <x v="10"/>
    <n v="7928.73"/>
    <n v="345.20467574990499"/>
    <n v="2.173485326255746E-2"/>
  </r>
  <r>
    <s v="Beef (Local)"/>
    <s v="Meat"/>
    <s v="Faisalabad"/>
    <n v="936.02"/>
    <x v="4"/>
    <s v="Local Market Survey"/>
    <s v="Above Averg"/>
    <n v="920.12567567567555"/>
    <n v="37"/>
    <x v="4"/>
    <n v="34632.74"/>
    <n v="345.39250721882598"/>
    <n v="4.6018150342371097E-2"/>
  </r>
  <r>
    <s v="Chickpeas"/>
    <s v="Pulses"/>
    <s v="Islamabad"/>
    <n v="198"/>
    <x v="6"/>
    <s v="Municipal Report"/>
    <s v="Low Averg"/>
    <n v="203.25225806451613"/>
    <n v="31"/>
    <x v="6"/>
    <n v="6138"/>
    <n v="344.99242549988799"/>
    <n v="-1.522427066885801E-2"/>
  </r>
  <r>
    <s v="Chicken (Whole)"/>
    <s v="Meat"/>
    <s v="Hyderabad"/>
    <n v="574.28"/>
    <x v="7"/>
    <s v="Wholesale Market"/>
    <s v="Above Averg"/>
    <n v="533.4588235294118"/>
    <n v="34"/>
    <x v="7"/>
    <n v="19525.52"/>
    <n v="345.17046463103298"/>
    <n v="0.11826381644276436"/>
  </r>
  <r>
    <s v="Onion"/>
    <s v="Vegetable"/>
    <s v="Hyderabad"/>
    <n v="91.07"/>
    <x v="10"/>
    <s v="Retailer Listing"/>
    <s v="Low Averg"/>
    <n v="90.269599999999997"/>
    <n v="25"/>
    <x v="10"/>
    <n v="2276.75"/>
    <n v="345.32260413257097"/>
    <n v="2.3178326307672545E-3"/>
  </r>
  <r>
    <s v="Cheese (Local)"/>
    <s v="Dairy"/>
    <s v="Quetta"/>
    <n v="829.85"/>
    <x v="5"/>
    <s v="Wholesale Market"/>
    <s v="Above Averg"/>
    <n v="905.6025925925926"/>
    <n v="27"/>
    <x v="5"/>
    <n v="22405.95"/>
    <n v="345.40641371059502"/>
    <n v="-0.2193143774569955"/>
  </r>
  <r>
    <s v="Potato"/>
    <s v="Vegetable"/>
    <s v="Hyderabad"/>
    <n v="78.66"/>
    <x v="11"/>
    <s v="Municipal Report"/>
    <s v="Low Averg"/>
    <n v="70.278611111111118"/>
    <n v="36"/>
    <x v="11"/>
    <n v="2831.7599999999998"/>
    <n v="345.22046327920498"/>
    <n v="2.4278366378618285E-2"/>
  </r>
  <r>
    <s v="Wheat"/>
    <s v="Grain"/>
    <s v="Multan"/>
    <n v="135.63999999999999"/>
    <x v="0"/>
    <s v="Wholesale Market"/>
    <s v="Low Averg"/>
    <n v="120.53625"/>
    <n v="24"/>
    <x v="0"/>
    <n v="3255.3599999999997"/>
    <n v="345.29066393870301"/>
    <n v="4.3742132578137853E-2"/>
  </r>
  <r>
    <s v="Tea (Loose)"/>
    <s v="Beverage"/>
    <s v="Quetta"/>
    <n v="817.23"/>
    <x v="5"/>
    <s v="Municipal Report"/>
    <s v="Above Averg"/>
    <n v="911.5772916666665"/>
    <n v="48"/>
    <x v="5"/>
    <n v="39227.040000000001"/>
    <n v="345.41997047311298"/>
    <n v="-0.27313791827797734"/>
  </r>
  <r>
    <s v="Chickpeas"/>
    <s v="Pulses"/>
    <s v="Multan"/>
    <n v="180.23"/>
    <x v="9"/>
    <s v="Municipal Report"/>
    <s v="Low Averg"/>
    <n v="203.25225806451613"/>
    <n v="31"/>
    <x v="9"/>
    <n v="5587.13"/>
    <n v="345.25635884192701"/>
    <n v="-6.6681633733664855E-2"/>
  </r>
  <r>
    <s v="Fish (Rohu)"/>
    <s v="Meat"/>
    <s v="Lahore"/>
    <n v="724.37"/>
    <x v="8"/>
    <s v="Local Market Survey"/>
    <s v="Above Averg"/>
    <n v="720.27689655172423"/>
    <n v="29"/>
    <x v="8"/>
    <n v="21006.73"/>
    <n v="345.42375448733299"/>
    <n v="1.1849513518115234E-2"/>
  </r>
  <r>
    <s v="Spinach"/>
    <s v="Vegetable"/>
    <s v="Lahore"/>
    <n v="62.78"/>
    <x v="8"/>
    <s v="Online Retailer"/>
    <s v="Low Averg"/>
    <n v="62.182121212121217"/>
    <n v="33"/>
    <x v="8"/>
    <n v="2071.7400000000002"/>
    <n v="345.40869343657698"/>
    <n v="1.7309315001029788E-3"/>
  </r>
  <r>
    <s v="Rice (Basmati)"/>
    <s v="Grain"/>
    <s v="Sialkot"/>
    <n v="349.36"/>
    <x v="7"/>
    <s v="Wholesale Market"/>
    <s v="Low Averg"/>
    <n v="309.01727272727271"/>
    <n v="22"/>
    <x v="7"/>
    <n v="7685.92"/>
    <n v="345.46082868118799"/>
    <n v="0.11677945492905072"/>
  </r>
  <r>
    <s v="Mango"/>
    <s v="Fruit"/>
    <s v="Quetta"/>
    <n v="261.07"/>
    <x v="0"/>
    <s v="Municipal Report"/>
    <s v="Low Averg"/>
    <n v="257.40029411764709"/>
    <n v="34"/>
    <x v="0"/>
    <n v="8876.3799999999992"/>
    <n v="345.69925861169401"/>
    <n v="1.0615313139779944E-2"/>
  </r>
  <r>
    <s v="Chickpeas"/>
    <s v="Pulses"/>
    <s v="Lahore"/>
    <n v="186.42"/>
    <x v="7"/>
    <s v="Municipal Report"/>
    <s v="Low Averg"/>
    <n v="203.25225806451613"/>
    <n v="31"/>
    <x v="7"/>
    <n v="5779.0199999999995"/>
    <n v="345.915780960424"/>
    <n v="-4.8659988907652371E-2"/>
  </r>
  <r>
    <s v="Guava"/>
    <s v="Fruit"/>
    <s v="Islamabad"/>
    <n v="132.21"/>
    <x v="9"/>
    <s v="Municipal Report"/>
    <s v="Low Averg"/>
    <n v="132.90272727272728"/>
    <n v="22"/>
    <x v="9"/>
    <n v="2908.6200000000003"/>
    <n v="346.08926373954603"/>
    <n v="-2.001585559870441E-3"/>
  </r>
  <r>
    <s v="Oranges"/>
    <s v="Fruit"/>
    <s v="Faisalabad"/>
    <n v="157.44"/>
    <x v="7"/>
    <s v="Online Retailer"/>
    <s v="Low Averg"/>
    <n v="151.26457142857143"/>
    <n v="35"/>
    <x v="7"/>
    <n v="5510.4"/>
    <n v="346.21727340780302"/>
    <n v="1.7836858660008694E-2"/>
  </r>
  <r>
    <s v="Salt"/>
    <s v="Condiment"/>
    <s v="Lahore"/>
    <n v="36.979999999999997"/>
    <x v="9"/>
    <s v="Retailer Listing"/>
    <s v="Low Averg"/>
    <n v="40.881379310344826"/>
    <n v="29"/>
    <x v="9"/>
    <n v="1072.4199999999998"/>
    <n v="346.368068056168"/>
    <n v="-1.1263680662711006E-2"/>
  </r>
  <r>
    <s v="Tea (Loose)"/>
    <s v="Beverage"/>
    <s v="Rawalpindi"/>
    <n v="897.31"/>
    <x v="3"/>
    <s v="Local Market Survey"/>
    <s v="Above Averg"/>
    <n v="911.5772916666665"/>
    <n v="48"/>
    <x v="3"/>
    <n v="43070.879999999997"/>
    <n v="346.38677138824397"/>
    <n v="-4.1188904557429552E-2"/>
  </r>
  <r>
    <s v="Milk"/>
    <s v="Dairy"/>
    <s v="Multan"/>
    <n v="188.97"/>
    <x v="8"/>
    <s v="Retailer Listing"/>
    <s v="Low Averg"/>
    <n v="206.78702702702708"/>
    <n v="37"/>
    <x v="8"/>
    <n v="6991.89"/>
    <n v="346.06694947817402"/>
    <n v="-5.1484335773447722E-2"/>
  </r>
  <r>
    <s v="Spinach"/>
    <s v="Vegetable"/>
    <s v="Quetta"/>
    <n v="70.17"/>
    <x v="10"/>
    <s v="Municipal Report"/>
    <s v="Low Averg"/>
    <n v="62.182121212121217"/>
    <n v="33"/>
    <x v="10"/>
    <n v="2315.61"/>
    <n v="346.24320617968402"/>
    <n v="2.3070138692435307E-2"/>
  </r>
  <r>
    <s v="Oranges"/>
    <s v="Fruit"/>
    <s v="Lahore"/>
    <n v="127.23"/>
    <x v="6"/>
    <s v="Retailer Listing"/>
    <s v="Low Averg"/>
    <n v="151.26457142857143"/>
    <n v="35"/>
    <x v="6"/>
    <n v="4453.05"/>
    <n v="346.30430402492101"/>
    <n v="-6.9403039896500485E-2"/>
  </r>
  <r>
    <s v="Sugar"/>
    <s v="Grain"/>
    <s v="Islamabad"/>
    <n v="129.72"/>
    <x v="1"/>
    <s v="Local Market Survey"/>
    <s v="Low Averg"/>
    <n v="122.0377142857143"/>
    <n v="35"/>
    <x v="1"/>
    <n v="4540.2"/>
    <n v="346.42778163147102"/>
    <n v="2.217572065989238E-2"/>
  </r>
  <r>
    <s v="Tea (Loose)"/>
    <s v="Beverage"/>
    <s v="Peshawar"/>
    <n v="940.64"/>
    <x v="8"/>
    <s v="Online Retailer"/>
    <s v="Above Averg"/>
    <n v="911.5772916666665"/>
    <n v="48"/>
    <x v="8"/>
    <n v="45150.720000000001"/>
    <n v="346.55366937736301"/>
    <n v="8.3862070730773439E-2"/>
  </r>
  <r>
    <s v="Mutton"/>
    <s v="Meat"/>
    <s v="Lahore"/>
    <n v="1226.06"/>
    <x v="6"/>
    <s v="Local Market Survey"/>
    <s v="Above Averg"/>
    <n v="1235.856"/>
    <n v="25"/>
    <x v="6"/>
    <n v="30651.5"/>
    <n v="346.13660621161699"/>
    <n v="-2.8300965064674739E-2"/>
  </r>
  <r>
    <s v="Spinach"/>
    <s v="Vegetable"/>
    <s v="Sialkot"/>
    <n v="66.13"/>
    <x v="6"/>
    <s v="Wholesale Market"/>
    <s v="Low Averg"/>
    <n v="62.182121212121217"/>
    <n v="33"/>
    <x v="6"/>
    <n v="2182.29"/>
    <n v="344.88400570013198"/>
    <n v="1.1446975570422249E-2"/>
  </r>
  <r>
    <s v="Chicken Breast"/>
    <s v="Meat"/>
    <s v="Karachi"/>
    <n v="727.74"/>
    <x v="3"/>
    <s v="Retailer Listing"/>
    <s v="Above Averg"/>
    <n v="673.04079999999988"/>
    <n v="25"/>
    <x v="3"/>
    <n v="18193.5"/>
    <n v="344.939998777673"/>
    <n v="0.15857598479107046"/>
  </r>
  <r>
    <s v="Milk"/>
    <s v="Dairy"/>
    <s v="Lahore"/>
    <n v="184.37"/>
    <x v="11"/>
    <s v="Municipal Report"/>
    <s v="Low Averg"/>
    <n v="206.78702702702708"/>
    <n v="37"/>
    <x v="11"/>
    <n v="6821.6900000000005"/>
    <n v="344.91964386450098"/>
    <n v="-6.4992027638279229E-2"/>
  </r>
  <r>
    <s v="Eggplant"/>
    <s v="Vegetable"/>
    <s v="Peshawar"/>
    <n v="81.510000000000005"/>
    <x v="11"/>
    <s v="Wholesale Market"/>
    <s v="Low Averg"/>
    <n v="81.934666666666672"/>
    <n v="30"/>
    <x v="11"/>
    <n v="2445.3000000000002"/>
    <n v="345.09397458955499"/>
    <n v="-1.2305826758399752E-3"/>
  </r>
  <r>
    <s v="Oranges"/>
    <s v="Fruit"/>
    <s v="Sialkot"/>
    <n v="144.28"/>
    <x v="8"/>
    <s v="Online Retailer"/>
    <s v="Low Averg"/>
    <n v="151.26457142857143"/>
    <n v="35"/>
    <x v="8"/>
    <n v="5049.8"/>
    <n v="345.16888075683198"/>
    <n v="-2.0235229239834018E-2"/>
  </r>
  <r>
    <s v="Mutton"/>
    <s v="Meat"/>
    <s v="Multan"/>
    <n v="1235.8800000000001"/>
    <x v="10"/>
    <s v="Retailer Listing"/>
    <s v="Above Averg"/>
    <n v="1235.856"/>
    <n v="25"/>
    <x v="10"/>
    <n v="30897.000000000004"/>
    <n v="345.30966064955101"/>
    <n v="6.9502833934529843E-5"/>
  </r>
  <r>
    <s v="Apple"/>
    <s v="Fruit"/>
    <s v="Islamabad"/>
    <n v="215.54"/>
    <x v="1"/>
    <s v="Local Market Survey"/>
    <s v="Low Averg"/>
    <n v="206.14838709677423"/>
    <n v="31"/>
    <x v="1"/>
    <n v="6681.74"/>
    <n v="344.00608493522498"/>
    <n v="2.7300717384095598E-2"/>
  </r>
  <r>
    <s v="Fish (Rohu)"/>
    <s v="Meat"/>
    <s v="Faisalabad"/>
    <n v="674.45"/>
    <x v="1"/>
    <s v="Retailer Listing"/>
    <s v="Above Averg"/>
    <n v="720.27689655172423"/>
    <n v="29"/>
    <x v="1"/>
    <n v="19559.050000000003"/>
    <n v="344.20245914722801"/>
    <n v="-0.13313936415579863"/>
  </r>
  <r>
    <s v="Chickpeas"/>
    <s v="Pulses"/>
    <s v="Rawalpindi"/>
    <n v="210.99"/>
    <x v="0"/>
    <s v="Wholesale Market"/>
    <s v="Low Averg"/>
    <n v="203.25225806451613"/>
    <n v="31"/>
    <x v="0"/>
    <n v="6540.6900000000005"/>
    <n v="344.25351259835003"/>
    <n v="2.2476871411074656E-2"/>
  </r>
  <r>
    <s v="Cooking Oil (Sunflower)"/>
    <s v="Oil"/>
    <s v="Rawalpindi"/>
    <n v="375.19"/>
    <x v="0"/>
    <s v="Online Retailer"/>
    <s v="Above Averg"/>
    <n v="368.73933333333326"/>
    <n v="30"/>
    <x v="0"/>
    <n v="11255.7"/>
    <n v="344.44787691004399"/>
    <n v="1.8727555311224608E-2"/>
  </r>
  <r>
    <s v="Fish (Pomfret)"/>
    <s v="Meat"/>
    <s v="Hyderabad"/>
    <n v="1215.3900000000001"/>
    <x v="5"/>
    <s v="Online Retailer"/>
    <s v="Above Averg"/>
    <n v="1113.4854166666667"/>
    <n v="24"/>
    <x v="5"/>
    <n v="29169.360000000001"/>
    <n v="344.69372149232697"/>
    <n v="0.29563806063001319"/>
  </r>
  <r>
    <s v="Mango"/>
    <s v="Fruit"/>
    <s v="Lahore"/>
    <n v="247.03"/>
    <x v="3"/>
    <s v="Local Market Survey"/>
    <s v="Low Averg"/>
    <n v="257.40029411764709"/>
    <n v="34"/>
    <x v="3"/>
    <n v="8399.02"/>
    <n v="343.446379963639"/>
    <n v="-3.0194798147952541E-2"/>
  </r>
  <r>
    <s v="Potato"/>
    <s v="Vegetable"/>
    <s v="Faisalabad"/>
    <n v="75.67"/>
    <x v="8"/>
    <s v="Local Market Survey"/>
    <s v="Low Averg"/>
    <n v="70.278611111111118"/>
    <n v="36"/>
    <x v="8"/>
    <n v="2724.12"/>
    <n v="343.66228891693299"/>
    <n v="1.5688043357565025E-2"/>
  </r>
  <r>
    <s v="Rice (Basmati)"/>
    <s v="Grain"/>
    <s v="Karachi"/>
    <n v="281.8"/>
    <x v="0"/>
    <s v="Retailer Listing"/>
    <s v="Low Averg"/>
    <n v="309.01727272727271"/>
    <n v="22"/>
    <x v="0"/>
    <n v="6199.6"/>
    <n v="343.731226789044"/>
    <n v="-7.9181845017463559E-2"/>
  </r>
  <r>
    <s v="Rice (Basmati)"/>
    <s v="Grain"/>
    <s v="Multan"/>
    <n v="327.76"/>
    <x v="0"/>
    <s v="Online Retailer"/>
    <s v="Low Averg"/>
    <n v="309.01727272727271"/>
    <n v="22"/>
    <x v="0"/>
    <n v="7210.7199999999993"/>
    <n v="343.96269077929099"/>
    <n v="5.4490582191525652E-2"/>
  </r>
  <r>
    <s v="Grapes"/>
    <s v="Fruit"/>
    <s v="Quetta"/>
    <n v="247"/>
    <x v="3"/>
    <s v="Online Retailer"/>
    <s v="Low Averg"/>
    <n v="226.566129032258"/>
    <n v="31"/>
    <x v="3"/>
    <n v="7657"/>
    <n v="344.20672184733701"/>
    <n v="5.9365113086910754E-2"/>
  </r>
  <r>
    <s v="Oranges"/>
    <s v="Fruit"/>
    <s v="Faisalabad"/>
    <n v="163.69"/>
    <x v="8"/>
    <s v="Wholesale Market"/>
    <s v="Low Averg"/>
    <n v="151.26457142857143"/>
    <n v="35"/>
    <x v="8"/>
    <n v="5729.15"/>
    <n v="344.424085809708"/>
    <n v="3.6075957179990993E-2"/>
  </r>
  <r>
    <s v="Apple"/>
    <s v="Fruit"/>
    <s v="Quetta"/>
    <n v="231.76"/>
    <x v="4"/>
    <s v="Municipal Report"/>
    <s v="Low Averg"/>
    <n v="206.14838709677423"/>
    <n v="31"/>
    <x v="4"/>
    <n v="7184.5599999999995"/>
    <n v="344.58506019972401"/>
    <n v="7.4325952751349941E-2"/>
  </r>
  <r>
    <s v="Rice (Basmati)"/>
    <s v="Grain"/>
    <s v="Rawalpindi"/>
    <n v="322.63"/>
    <x v="11"/>
    <s v="Municipal Report"/>
    <s v="Low Averg"/>
    <n v="309.01727272727271"/>
    <n v="22"/>
    <x v="11"/>
    <n v="7097.86"/>
    <n v="344.79488124817198"/>
    <n v="3.9480653609034563E-2"/>
  </r>
  <r>
    <s v="Grapes"/>
    <s v="Fruit"/>
    <s v="Sialkot"/>
    <n v="244.25"/>
    <x v="8"/>
    <s v="Wholesale Market"/>
    <s v="Low Averg"/>
    <n v="226.566129032258"/>
    <n v="31"/>
    <x v="8"/>
    <n v="7571.75"/>
    <n v="345.03988131043599"/>
    <n v="5.1251672417054979E-2"/>
  </r>
  <r>
    <s v="Apple"/>
    <s v="Fruit"/>
    <s v="Sialkot"/>
    <n v="221.75"/>
    <x v="2"/>
    <s v="Municipal Report"/>
    <s v="Low Averg"/>
    <n v="206.14838709677423"/>
    <n v="31"/>
    <x v="2"/>
    <n v="6874.25"/>
    <n v="345.25739017141899"/>
    <n v="4.5188353232582884E-2"/>
  </r>
  <r>
    <s v="Cheese (Local)"/>
    <s v="Dairy"/>
    <s v="Sialkot"/>
    <n v="960.28"/>
    <x v="7"/>
    <s v="Retailer Listing"/>
    <s v="Above Averg"/>
    <n v="905.6025925925926"/>
    <n v="27"/>
    <x v="7"/>
    <n v="25927.559999999998"/>
    <n v="345.46245806674199"/>
    <n v="0.15827308041918672"/>
  </r>
  <r>
    <s v="Sugar"/>
    <s v="Grain"/>
    <s v="Islamabad"/>
    <n v="128.36000000000001"/>
    <x v="8"/>
    <s v="Local Market Survey"/>
    <s v="Low Averg"/>
    <n v="122.0377142857143"/>
    <n v="35"/>
    <x v="8"/>
    <n v="4492.6000000000004"/>
    <n v="344.97628549490702"/>
    <n v="1.8326725575399154E-2"/>
  </r>
  <r>
    <s v="Carrot"/>
    <s v="Vegetable"/>
    <s v="Sialkot"/>
    <n v="154.29"/>
    <x v="10"/>
    <s v="Municipal Report"/>
    <s v="Low Averg"/>
    <n v="141.74161290322584"/>
    <n v="31"/>
    <x v="10"/>
    <n v="4782.99"/>
    <n v="345.10600383812101"/>
    <n v="3.6360964333324738E-2"/>
  </r>
  <r>
    <s v="Flour (Atta)"/>
    <s v="Grain"/>
    <s v="Quetta"/>
    <n v="115.34"/>
    <x v="0"/>
    <s v="Wholesale Market"/>
    <s v="Low Averg"/>
    <n v="113.26108695652174"/>
    <n v="46"/>
    <x v="0"/>
    <n v="5305.64"/>
    <n v="345.26058936516802"/>
    <n v="6.0212868410517741E-3"/>
  </r>
  <r>
    <s v="Carrot"/>
    <s v="Vegetable"/>
    <s v="Multan"/>
    <n v="134.29"/>
    <x v="9"/>
    <s v="Online Retailer"/>
    <s v="Low Averg"/>
    <n v="141.74161290322584"/>
    <n v="31"/>
    <x v="9"/>
    <n v="4162.99"/>
    <n v="345.37672082923302"/>
    <n v="-2.1575318930977409E-2"/>
  </r>
  <r>
    <s v="Oranges"/>
    <s v="Fruit"/>
    <s v="Sialkot"/>
    <n v="145.01"/>
    <x v="11"/>
    <s v="Online Retailer"/>
    <s v="Low Averg"/>
    <n v="151.26457142857143"/>
    <n v="35"/>
    <x v="11"/>
    <n v="5075.3499999999995"/>
    <n v="345.51236696955903"/>
    <n v="-1.8102308416423456E-2"/>
  </r>
  <r>
    <s v="Chickpeas"/>
    <s v="Pulses"/>
    <s v="Islamabad"/>
    <n v="176.85"/>
    <x v="8"/>
    <s v="Municipal Report"/>
    <s v="Low Averg"/>
    <n v="203.25225806451613"/>
    <n v="31"/>
    <x v="8"/>
    <n v="5482.3499999999995"/>
    <n v="345.65846160826402"/>
    <n v="-7.6382501795769456E-2"/>
  </r>
  <r>
    <s v="Spices (Mixed)"/>
    <s v="Condiment"/>
    <s v="Sialkot"/>
    <n v="858.94"/>
    <x v="5"/>
    <s v="Local Market Survey"/>
    <s v="Above Averg"/>
    <n v="810.77454545454566"/>
    <n v="33"/>
    <x v="5"/>
    <n v="28345.02"/>
    <n v="345.83283536500102"/>
    <n v="0.13927380404645301"/>
  </r>
  <r>
    <s v="Chickpeas"/>
    <s v="Pulses"/>
    <s v="Faisalabad"/>
    <n v="199.46"/>
    <x v="10"/>
    <s v="Municipal Report"/>
    <s v="Low Averg"/>
    <n v="203.25225806451613"/>
    <n v="31"/>
    <x v="10"/>
    <n v="6183.26"/>
    <n v="345.578339429582"/>
    <n v="-1.0973656713484098E-2"/>
  </r>
  <r>
    <s v="Chicken (Whole)"/>
    <s v="Meat"/>
    <s v="Lahore"/>
    <n v="480.98"/>
    <x v="3"/>
    <s v="Municipal Report"/>
    <s v="Above Averg"/>
    <n v="533.4588235294118"/>
    <n v="34"/>
    <x v="3"/>
    <n v="16353.32"/>
    <n v="345.77094686923101"/>
    <n v="-0.15177337484418271"/>
  </r>
  <r>
    <s v="Fish (Pomfret)"/>
    <s v="Meat"/>
    <s v="Quetta"/>
    <n v="1224.05"/>
    <x v="6"/>
    <s v="Local Market Survey"/>
    <s v="Above Averg"/>
    <n v="1113.4854166666667"/>
    <n v="24"/>
    <x v="6"/>
    <n v="29377.199999999997"/>
    <n v="345.99899054455"/>
    <n v="0.31955175117511586"/>
  </r>
  <r>
    <s v="Potato"/>
    <s v="Vegetable"/>
    <s v="Lahore"/>
    <n v="59.97"/>
    <x v="8"/>
    <s v="Wholesale Market"/>
    <s v="Low Averg"/>
    <n v="70.278611111111118"/>
    <n v="36"/>
    <x v="8"/>
    <n v="2158.92"/>
    <n v="344.69238000181099"/>
    <n v="-2.9906698578764518E-2"/>
  </r>
  <r>
    <s v="Maize"/>
    <s v="Grain"/>
    <s v="Rawalpindi"/>
    <n v="107.63"/>
    <x v="10"/>
    <s v="Municipal Report"/>
    <s v="Low Averg"/>
    <n v="102.25285714285715"/>
    <n v="28"/>
    <x v="10"/>
    <n v="3013.64"/>
    <n v="344.74322869623597"/>
    <n v="1.5597530015247411E-2"/>
  </r>
  <r>
    <s v="Tea (Loose)"/>
    <s v="Beverage"/>
    <s v="Quetta"/>
    <n v="893.86"/>
    <x v="0"/>
    <s v="Local Market Survey"/>
    <s v="Above Averg"/>
    <n v="911.5772916666665"/>
    <n v="48"/>
    <x v="0"/>
    <n v="42905.279999999999"/>
    <n v="344.85192345686897"/>
    <n v="-5.1376519780039459E-2"/>
  </r>
  <r>
    <s v="Fish (Rohu)"/>
    <s v="Meat"/>
    <s v="Rawalpindi"/>
    <n v="728.58"/>
    <x v="7"/>
    <s v="Retailer Listing"/>
    <s v="Above Averg"/>
    <n v="720.27689655172423"/>
    <n v="29"/>
    <x v="7"/>
    <n v="21128.82"/>
    <n v="344.51444958764603"/>
    <n v="2.4100885922822401E-2"/>
  </r>
  <r>
    <s v="Maize"/>
    <s v="Grain"/>
    <s v="Peshawar"/>
    <n v="106.4"/>
    <x v="0"/>
    <s v="Retailer Listing"/>
    <s v="Low Averg"/>
    <n v="102.25285714285715"/>
    <n v="28"/>
    <x v="0"/>
    <n v="2979.2000000000003"/>
    <n v="344.48988387712097"/>
    <n v="1.203850403520741E-2"/>
  </r>
  <r>
    <s v="Cooking Oil (Sunflower)"/>
    <s v="Oil"/>
    <s v="Rawalpindi"/>
    <n v="387.23"/>
    <x v="1"/>
    <s v="Wholesale Market"/>
    <s v="Above Averg"/>
    <n v="368.73933333333326"/>
    <n v="30"/>
    <x v="1"/>
    <n v="11616.900000000001"/>
    <n v="344.598422167065"/>
    <n v="5.3658593531523142E-2"/>
  </r>
  <r>
    <s v="Grapes"/>
    <s v="Fruit"/>
    <s v="Quetta"/>
    <n v="251.34"/>
    <x v="3"/>
    <s v="Wholesale Market"/>
    <s v="Low Averg"/>
    <n v="226.566129032258"/>
    <n v="31"/>
    <x v="3"/>
    <n v="7791.54"/>
    <n v="344.85392620694898"/>
    <n v="7.1838738332574606E-2"/>
  </r>
  <r>
    <s v="Potato"/>
    <s v="Vegetable"/>
    <s v="Multan"/>
    <n v="65.959999999999994"/>
    <x v="10"/>
    <s v="Wholesale Market"/>
    <s v="Low Averg"/>
    <n v="70.278611111111118"/>
    <n v="36"/>
    <x v="10"/>
    <n v="2374.56"/>
    <n v="345.08138000449497"/>
    <n v="-1.2514761332688744E-2"/>
  </r>
  <r>
    <s v="Fish (Rohu)"/>
    <s v="Meat"/>
    <s v="Sialkot"/>
    <n v="744.38"/>
    <x v="7"/>
    <s v="Municipal Report"/>
    <s v="Above Averg"/>
    <n v="720.27689655172423"/>
    <n v="29"/>
    <x v="7"/>
    <n v="21587.02"/>
    <n v="345.14111362247701"/>
    <n v="6.9835503499708435E-2"/>
  </r>
  <r>
    <s v="Grapes"/>
    <s v="Fruit"/>
    <s v="Faisalabad"/>
    <n v="215.96"/>
    <x v="11"/>
    <s v="Wholesale Market"/>
    <s v="Low Averg"/>
    <n v="226.566129032258"/>
    <n v="31"/>
    <x v="11"/>
    <n v="6694.76"/>
    <n v="345.09283038202602"/>
    <n v="-3.0734133249064485E-2"/>
  </r>
  <r>
    <s v="Carrot"/>
    <s v="Vegetable"/>
    <s v="Quetta"/>
    <n v="134.06"/>
    <x v="0"/>
    <s v="Online Retailer"/>
    <s v="Low Averg"/>
    <n v="141.74161290322584"/>
    <n v="31"/>
    <x v="0"/>
    <n v="4155.8599999999997"/>
    <n v="345.30082819914202"/>
    <n v="-2.2246146767987762E-2"/>
  </r>
  <r>
    <s v="Maize"/>
    <s v="Grain"/>
    <s v="Karachi"/>
    <n v="87.96"/>
    <x v="2"/>
    <s v="Wholesale Market"/>
    <s v="Low Averg"/>
    <n v="102.25285714285715"/>
    <n v="28"/>
    <x v="2"/>
    <n v="2462.8799999999997"/>
    <n v="345.44038182294503"/>
    <n v="-4.1375756555824275E-2"/>
  </r>
  <r>
    <s v="Chickpeas"/>
    <s v="Pulses"/>
    <s v="Islamabad"/>
    <n v="220.89"/>
    <x v="0"/>
    <s v="Retailer Listing"/>
    <s v="Low Averg"/>
    <n v="203.25225806451613"/>
    <n v="31"/>
    <x v="0"/>
    <n v="6847.5899999999992"/>
    <n v="345.52825955732999"/>
    <n v="5.1045729104994983E-2"/>
  </r>
  <r>
    <s v="Guava"/>
    <s v="Fruit"/>
    <s v="Hyderabad"/>
    <n v="144.68"/>
    <x v="6"/>
    <s v="Local Market Survey"/>
    <s v="Low Averg"/>
    <n v="132.90272727272728"/>
    <n v="22"/>
    <x v="6"/>
    <n v="3182.96"/>
    <n v="345.740156600391"/>
    <n v="3.4063942248065179E-2"/>
  </r>
  <r>
    <s v="Rice (Irri)"/>
    <s v="Grain"/>
    <s v="Rawalpindi"/>
    <n v="135.71"/>
    <x v="11"/>
    <s v="Wholesale Market"/>
    <s v="Low Averg"/>
    <n v="140.29840000000002"/>
    <n v="25"/>
    <x v="11"/>
    <n v="3392.75"/>
    <n v="345.89045198252001"/>
    <n v="-1.3265471694002955E-2"/>
  </r>
  <r>
    <s v="Cooking Oil (Sunflower)"/>
    <s v="Oil"/>
    <s v="Peshawar"/>
    <n v="419.19"/>
    <x v="4"/>
    <s v="Online Retailer"/>
    <s v="Above Averg"/>
    <n v="368.73933333333326"/>
    <n v="30"/>
    <x v="4"/>
    <n v="12575.7"/>
    <n v="346.03182063847902"/>
    <n v="0.14579776673017505"/>
  </r>
  <r>
    <s v="Beef (Local)"/>
    <s v="Meat"/>
    <s v="Multan"/>
    <n v="824.25"/>
    <x v="2"/>
    <s v="Wholesale Market"/>
    <s v="Above Averg"/>
    <n v="920.12567567567555"/>
    <n v="37"/>
    <x v="2"/>
    <n v="30497.25"/>
    <n v="346.28778021377599"/>
    <n v="-0.27686704860474148"/>
  </r>
  <r>
    <s v="Wheat"/>
    <s v="Grain"/>
    <s v="Karachi"/>
    <n v="125.34"/>
    <x v="2"/>
    <s v="Online Retailer"/>
    <s v="Low Averg"/>
    <n v="120.53625"/>
    <n v="24"/>
    <x v="2"/>
    <n v="3008.16"/>
    <n v="346.09801727507602"/>
    <n v="1.3879738571810496E-2"/>
  </r>
  <r>
    <s v="Eggplant"/>
    <s v="Vegetable"/>
    <s v="Karachi"/>
    <n v="89.68"/>
    <x v="4"/>
    <s v="Online Retailer"/>
    <s v="Low Averg"/>
    <n v="81.934666666666672"/>
    <n v="30"/>
    <x v="4"/>
    <n v="2690.4"/>
    <n v="346.22982777502602"/>
    <n v="2.2370497028251751E-2"/>
  </r>
  <r>
    <s v="Beef (Local)"/>
    <s v="Meat"/>
    <s v="Faisalabad"/>
    <n v="960.71"/>
    <x v="3"/>
    <s v="Municipal Report"/>
    <s v="Above Averg"/>
    <n v="920.12567567567555"/>
    <n v="37"/>
    <x v="3"/>
    <n v="35546.270000000004"/>
    <n v="346.32058740785499"/>
    <n v="0.11718715490779968"/>
  </r>
  <r>
    <s v="Ghee"/>
    <s v="Oil"/>
    <s v="Faisalabad"/>
    <n v="1081.03"/>
    <x v="7"/>
    <s v="Online Retailer"/>
    <s v="Above Averg"/>
    <n v="1024.1451428571424"/>
    <n v="35"/>
    <x v="7"/>
    <n v="37836.049999999996"/>
    <n v="345.81656499344899"/>
    <n v="0.16449430970414947"/>
  </r>
  <r>
    <s v="Rice (Basmati)"/>
    <s v="Grain"/>
    <s v="Islamabad"/>
    <n v="281.57"/>
    <x v="9"/>
    <s v="Retailer Listing"/>
    <s v="Low Averg"/>
    <n v="309.01727272727271"/>
    <n v="22"/>
    <x v="9"/>
    <n v="6194.54"/>
    <n v="344.961555259318"/>
    <n v="-7.9566178632977741E-2"/>
  </r>
  <r>
    <s v="Grapes"/>
    <s v="Fruit"/>
    <s v="Islamabad"/>
    <n v="227.84"/>
    <x v="5"/>
    <s v="Wholesale Market"/>
    <s v="Low Averg"/>
    <n v="226.566129032258"/>
    <n v="31"/>
    <x v="5"/>
    <n v="7063.04"/>
    <n v="345.20786151225798"/>
    <n v="3.6901563080328783E-3"/>
  </r>
  <r>
    <s v="Sugar"/>
    <s v="Grain"/>
    <s v="Islamabad"/>
    <n v="129.38"/>
    <x v="4"/>
    <s v="Local Market Survey"/>
    <s v="Low Averg"/>
    <n v="122.0377142857143"/>
    <n v="35"/>
    <x v="4"/>
    <n v="4528.3"/>
    <n v="345.42771491025502"/>
    <n v="2.125563583163349E-2"/>
  </r>
  <r>
    <s v="Lentils (Moong)"/>
    <s v="Pulses"/>
    <s v="Lahore"/>
    <n v="312.02"/>
    <x v="9"/>
    <s v="Retailer Listing"/>
    <s v="Low Averg"/>
    <n v="304.90820512820511"/>
    <n v="39"/>
    <x v="9"/>
    <n v="12168.779999999999"/>
    <n v="345.56518590986701"/>
    <n v="2.0580183310623845E-2"/>
  </r>
  <r>
    <s v="Carrot"/>
    <s v="Vegetable"/>
    <s v="Karachi"/>
    <n v="129.29"/>
    <x v="10"/>
    <s v="Retailer Listing"/>
    <s v="Low Averg"/>
    <n v="141.74161290322584"/>
    <n v="31"/>
    <x v="10"/>
    <n v="4007.99"/>
    <n v="345.82255406682901"/>
    <n v="-3.6005786079584677E-2"/>
  </r>
  <r>
    <s v="Banana"/>
    <s v="Fruit"/>
    <s v="Faisalabad"/>
    <n v="111.54"/>
    <x v="7"/>
    <s v="Retailer Listing"/>
    <s v="Low Averg"/>
    <n v="121.60903225806452"/>
    <n v="31"/>
    <x v="7"/>
    <n v="3457.7400000000002"/>
    <n v="345.960318438645"/>
    <n v="-2.9104587206726779E-2"/>
  </r>
  <r>
    <s v="Potato"/>
    <s v="Vegetable"/>
    <s v="Rawalpindi"/>
    <n v="59.32"/>
    <x v="6"/>
    <s v="Municipal Report"/>
    <s v="Low Averg"/>
    <n v="70.278611111111118"/>
    <n v="36"/>
    <x v="6"/>
    <n v="2135.52"/>
    <n v="346.078432008596"/>
    <n v="-3.166510853481596E-2"/>
  </r>
  <r>
    <s v="Tomato"/>
    <s v="Vegetable"/>
    <s v="Hyderabad"/>
    <n v="111.59"/>
    <x v="6"/>
    <s v="Municipal Report"/>
    <s v="Low Averg"/>
    <n v="123.43305555555558"/>
    <n v="36"/>
    <x v="6"/>
    <n v="4017.2400000000002"/>
    <n v="346.13037005316801"/>
    <n v="-3.4215592101139246E-2"/>
  </r>
  <r>
    <s v="Sugar"/>
    <s v="Grain"/>
    <s v="Karachi"/>
    <n v="115.24"/>
    <x v="4"/>
    <s v="Municipal Report"/>
    <s v="Low Averg"/>
    <n v="122.0377142857143"/>
    <n v="35"/>
    <x v="4"/>
    <n v="4033.3999999999996"/>
    <n v="346.24810549482999"/>
    <n v="-1.9632495247878856E-2"/>
  </r>
  <r>
    <s v="Chicken (Whole)"/>
    <s v="Meat"/>
    <s v="Hyderabad"/>
    <n v="496.31"/>
    <x v="10"/>
    <s v="Wholesale Market"/>
    <s v="Above Averg"/>
    <n v="533.4588235294118"/>
    <n v="34"/>
    <x v="10"/>
    <n v="16874.54"/>
    <n v="346.36989110251398"/>
    <n v="-0.10725188442668934"/>
  </r>
  <r>
    <s v="Beef (Local)"/>
    <s v="Meat"/>
    <s v="Quetta"/>
    <n v="861"/>
    <x v="6"/>
    <s v="Wholesale Market"/>
    <s v="Above Averg"/>
    <n v="920.12567567567555"/>
    <n v="37"/>
    <x v="6"/>
    <n v="31857"/>
    <n v="346.60230587354602"/>
    <n v="-0.17058650411069942"/>
  </r>
  <r>
    <s v="Guava"/>
    <s v="Fruit"/>
    <s v="Islamabad"/>
    <n v="123.06"/>
    <x v="4"/>
    <s v="Local Market Survey"/>
    <s v="Low Averg"/>
    <n v="132.90272727272728"/>
    <n v="22"/>
    <x v="4"/>
    <n v="2707.32"/>
    <n v="346.33268961884198"/>
    <n v="-2.8419862079897027E-2"/>
  </r>
  <r>
    <s v="Grapes"/>
    <s v="Fruit"/>
    <s v="Rawalpindi"/>
    <n v="231.54"/>
    <x v="9"/>
    <s v="Wholesale Market"/>
    <s v="Low Averg"/>
    <n v="226.566129032258"/>
    <n v="31"/>
    <x v="9"/>
    <n v="7177.74"/>
    <n v="346.46456737982697"/>
    <n v="1.4356074000170884E-2"/>
  </r>
  <r>
    <s v="Rice (Irri)"/>
    <s v="Grain"/>
    <s v="Rawalpindi"/>
    <n v="144.85"/>
    <x v="4"/>
    <s v="Online Retailer"/>
    <s v="Low Averg"/>
    <n v="140.29840000000002"/>
    <n v="25"/>
    <x v="4"/>
    <n v="3621.25"/>
    <n v="346.69029522784098"/>
    <n v="1.3128720540067956E-2"/>
  </r>
  <r>
    <s v="Mango"/>
    <s v="Fruit"/>
    <s v="Peshawar"/>
    <n v="253.99"/>
    <x v="3"/>
    <s v="Municipal Report"/>
    <s v="Low Averg"/>
    <n v="257.40029411764709"/>
    <n v="34"/>
    <x v="3"/>
    <n v="8635.66"/>
    <n v="346.84548499612998"/>
    <n v="-9.8323151523368821E-3"/>
  </r>
  <r>
    <s v="Sugar"/>
    <s v="Grain"/>
    <s v="Sialkot"/>
    <n v="128.33000000000001"/>
    <x v="8"/>
    <s v="Retailer Listing"/>
    <s v="Low Averg"/>
    <n v="122.0377142857143"/>
    <n v="35"/>
    <x v="8"/>
    <n v="4491.55"/>
    <n v="347.08482939885101"/>
    <n v="1.8128956328007522E-2"/>
  </r>
  <r>
    <s v="Cooking Oil (Sunflower)"/>
    <s v="Oil"/>
    <s v="Multan"/>
    <n v="397.39"/>
    <x v="7"/>
    <s v="Local Market Survey"/>
    <s v="Above Averg"/>
    <n v="368.73933333333326"/>
    <n v="30"/>
    <x v="7"/>
    <n v="11921.699999999999"/>
    <n v="347.22297344128401"/>
    <n v="8.2513741480621239E-2"/>
  </r>
  <r>
    <s v="Potato"/>
    <s v="Vegetable"/>
    <s v="Sialkot"/>
    <n v="79.63"/>
    <x v="7"/>
    <s v="Retailer Listing"/>
    <s v="Low Averg"/>
    <n v="70.278611111111118"/>
    <n v="36"/>
    <x v="7"/>
    <n v="2866.68"/>
    <n v="347.49261342227999"/>
    <n v="2.6911043652962149E-2"/>
  </r>
  <r>
    <s v="Tea (Loose)"/>
    <s v="Beverage"/>
    <s v="Rawalpindi"/>
    <n v="930.03"/>
    <x v="6"/>
    <s v="Retailer Listing"/>
    <s v="Above Averg"/>
    <n v="911.5772916666665"/>
    <n v="48"/>
    <x v="6"/>
    <n v="44641.440000000002"/>
    <n v="347.57258120661203"/>
    <n v="5.3090230159335831E-2"/>
  </r>
  <r>
    <s v="Tea (Loose)"/>
    <s v="Beverage"/>
    <s v="Rawalpindi"/>
    <n v="875.12"/>
    <x v="1"/>
    <s v="Retailer Listing"/>
    <s v="Above Averg"/>
    <n v="911.5772916666665"/>
    <n v="48"/>
    <x v="1"/>
    <n v="42005.760000000002"/>
    <n v="347.14098570661002"/>
    <n v="-0.10502157096908968"/>
  </r>
  <r>
    <s v="Fish (Pomfret)"/>
    <s v="Meat"/>
    <s v="Lahore"/>
    <n v="1104.78"/>
    <x v="11"/>
    <s v="Local Market Survey"/>
    <s v="Above Averg"/>
    <n v="1113.4854166666667"/>
    <n v="24"/>
    <x v="11"/>
    <n v="26514.720000000001"/>
    <n v="346.83764390467798"/>
    <n v="-2.5099399732571141E-2"/>
  </r>
  <r>
    <s v="Chicken (Whole)"/>
    <s v="Meat"/>
    <s v="Karachi"/>
    <n v="490.55"/>
    <x v="0"/>
    <s v="Local Market Survey"/>
    <s v="Above Averg"/>
    <n v="533.4588235294118"/>
    <n v="34"/>
    <x v="0"/>
    <n v="16678.7"/>
    <n v="345.883782458491"/>
    <n v="-0.1240556097323274"/>
  </r>
  <r>
    <s v="Fish (Rohu)"/>
    <s v="Meat"/>
    <s v="Hyderabad"/>
    <n v="720.63"/>
    <x v="6"/>
    <s v="Online Retailer"/>
    <s v="Above Averg"/>
    <n v="720.27689655172423"/>
    <n v="29"/>
    <x v="6"/>
    <n v="20898.27"/>
    <n v="346.12235680875"/>
    <n v="1.0201694323688773E-3"/>
  </r>
  <r>
    <s v="Oranges"/>
    <s v="Fruit"/>
    <s v="Peshawar"/>
    <n v="135.27000000000001"/>
    <x v="6"/>
    <s v="Wholesale Market"/>
    <s v="Low Averg"/>
    <n v="151.26457142857143"/>
    <n v="35"/>
    <x v="6"/>
    <n v="4734.4500000000007"/>
    <n v="346.11283221035001"/>
    <n v="-4.6212015100470821E-2"/>
  </r>
  <r>
    <s v="Flour (Atta)"/>
    <s v="Grain"/>
    <s v="Peshawar"/>
    <n v="108.48"/>
    <x v="11"/>
    <s v="Wholesale Market"/>
    <s v="Low Averg"/>
    <n v="113.26108695652174"/>
    <n v="46"/>
    <x v="11"/>
    <n v="4990.08"/>
    <n v="346.26212649923599"/>
    <n v="-1.380770979737018E-2"/>
  </r>
  <r>
    <s v="Tomato"/>
    <s v="Vegetable"/>
    <s v="Multan"/>
    <n v="118.35"/>
    <x v="2"/>
    <s v="Online Retailer"/>
    <s v="Low Averg"/>
    <n v="123.43305555555558"/>
    <n v="36"/>
    <x v="2"/>
    <n v="4260.5999999999995"/>
    <n v="346.38119499366502"/>
    <n v="-1.4674744556062153E-2"/>
  </r>
  <r>
    <s v="Eggplant"/>
    <s v="Vegetable"/>
    <s v="Peshawar"/>
    <n v="70.75"/>
    <x v="8"/>
    <s v="Municipal Report"/>
    <s v="Low Averg"/>
    <n v="81.934666666666672"/>
    <n v="30"/>
    <x v="8"/>
    <n v="2122.5"/>
    <n v="346.51166607513301"/>
    <n v="-3.2277893536321912E-2"/>
  </r>
  <r>
    <s v="Fish (Pomfret)"/>
    <s v="Meat"/>
    <s v="Islamabad"/>
    <n v="927.84"/>
    <x v="6"/>
    <s v="Online Retailer"/>
    <s v="Above Averg"/>
    <n v="1113.4854166666667"/>
    <n v="24"/>
    <x v="6"/>
    <n v="22268.16"/>
    <n v="346.58203358945599"/>
    <n v="-0.53564639443074258"/>
  </r>
  <r>
    <s v="Sugar"/>
    <s v="Grain"/>
    <s v="Sialkot"/>
    <n v="123.77"/>
    <x v="7"/>
    <s v="Municipal Report"/>
    <s v="Low Averg"/>
    <n v="122.0377142857143"/>
    <n v="35"/>
    <x v="7"/>
    <n v="4331.95"/>
    <n v="346.14211963337902"/>
    <n v="5.0045504896094927E-3"/>
  </r>
  <r>
    <s v="Onion"/>
    <s v="Vegetable"/>
    <s v="Rawalpindi"/>
    <n v="93.97"/>
    <x v="8"/>
    <s v="Local Market Survey"/>
    <s v="Low Averg"/>
    <n v="90.269599999999997"/>
    <n v="25"/>
    <x v="8"/>
    <n v="2349.25"/>
    <n v="346.27913033595098"/>
    <n v="1.0686176774239817E-2"/>
  </r>
  <r>
    <s v="Milk"/>
    <s v="Dairy"/>
    <s v="Rawalpindi"/>
    <n v="206.71"/>
    <x v="11"/>
    <s v="Municipal Report"/>
    <s v="Low Averg"/>
    <n v="206.78702702702708"/>
    <n v="37"/>
    <x v="11"/>
    <n v="7648.27"/>
    <n v="346.38027931463603"/>
    <n v="-2.2237705674087638E-4"/>
  </r>
  <r>
    <s v="Maize"/>
    <s v="Grain"/>
    <s v="Sialkot"/>
    <n v="110.06"/>
    <x v="5"/>
    <s v="Local Market Survey"/>
    <s v="Low Averg"/>
    <n v="102.25285714285715"/>
    <n v="28"/>
    <x v="5"/>
    <n v="3081.6800000000003"/>
    <n v="346.59541648287598"/>
    <n v="2.252523399289838E-2"/>
  </r>
  <r>
    <s v="Onion"/>
    <s v="Vegetable"/>
    <s v="Karachi"/>
    <n v="86.92"/>
    <x v="4"/>
    <s v="Retailer Listing"/>
    <s v="Low Averg"/>
    <n v="90.269599999999997"/>
    <n v="25"/>
    <x v="4"/>
    <n v="2173"/>
    <n v="346.71634815549402"/>
    <n v="-9.6609231662124553E-3"/>
  </r>
  <r>
    <s v="Beef (Local)"/>
    <s v="Meat"/>
    <s v="Quetta"/>
    <n v="977.54"/>
    <x v="0"/>
    <s v="Wholesale Market"/>
    <s v="Above Averg"/>
    <n v="920.12567567567555"/>
    <n v="37"/>
    <x v="0"/>
    <n v="36168.979999999996"/>
    <n v="346.80799256718899"/>
    <n v="0.1655507530242436"/>
  </r>
  <r>
    <s v="Fish (Pomfret)"/>
    <s v="Meat"/>
    <s v="Peshawar"/>
    <n v="1018.52"/>
    <x v="2"/>
    <s v="Retailer Listing"/>
    <s v="Above Averg"/>
    <n v="1113.4854166666667"/>
    <n v="24"/>
    <x v="2"/>
    <n v="24444.48"/>
    <n v="346.23303113594699"/>
    <n v="-0.27428179326246571"/>
  </r>
  <r>
    <s v="Carrot"/>
    <s v="Vegetable"/>
    <s v="Islamabad"/>
    <n v="145.41"/>
    <x v="7"/>
    <s v="Municipal Report"/>
    <s v="Low Averg"/>
    <n v="141.74161290322584"/>
    <n v="31"/>
    <x v="7"/>
    <n v="4507.71"/>
    <n v="345.53258641650501"/>
    <n v="1.0616616900937615E-2"/>
  </r>
  <r>
    <s v="Carrot"/>
    <s v="Vegetable"/>
    <s v="Islamabad"/>
    <n v="150.85"/>
    <x v="10"/>
    <s v="Municipal Report"/>
    <s v="Low Averg"/>
    <n v="141.74161290322584"/>
    <n v="31"/>
    <x v="10"/>
    <n v="4676.3499999999995"/>
    <n v="345.69412739153"/>
    <n v="2.6348110584065769E-2"/>
  </r>
  <r>
    <s v="Chicken (Whole)"/>
    <s v="Meat"/>
    <s v="Islamabad"/>
    <n v="494.45"/>
    <x v="6"/>
    <s v="Local Market Survey"/>
    <s v="Above Averg"/>
    <n v="533.4588235294118"/>
    <n v="34"/>
    <x v="6"/>
    <n v="16811.3"/>
    <n v="345.86135801774498"/>
    <n v="-0.11278745839947348"/>
  </r>
  <r>
    <s v="Banana"/>
    <s v="Fruit"/>
    <s v="Karachi"/>
    <n v="117.61"/>
    <x v="10"/>
    <s v="Wholesale Market"/>
    <s v="Low Averg"/>
    <n v="121.60903225806452"/>
    <n v="31"/>
    <x v="10"/>
    <n v="3645.91"/>
    <n v="346.10421707799998"/>
    <n v="-1.1554416446660264E-2"/>
  </r>
  <r>
    <s v="Mutton"/>
    <s v="Meat"/>
    <s v="Hyderabad"/>
    <n v="1302.9000000000001"/>
    <x v="2"/>
    <s v="Wholesale Market"/>
    <s v="Above Averg"/>
    <n v="1235.856"/>
    <n v="25"/>
    <x v="2"/>
    <n v="32572.500000000004"/>
    <n v="346.235699034557"/>
    <n v="0.19363687853951936"/>
  </r>
  <r>
    <s v="Beef (Local)"/>
    <s v="Meat"/>
    <s v="Lahore"/>
    <n v="863.94"/>
    <x v="11"/>
    <s v="Wholesale Market"/>
    <s v="Above Averg"/>
    <n v="920.12567567567555"/>
    <n v="37"/>
    <x v="11"/>
    <n v="31965.780000000002"/>
    <n v="344.470944887374"/>
    <n v="-0.16310715463693345"/>
  </r>
  <r>
    <s v="Cheese (Local)"/>
    <s v="Dairy"/>
    <s v="Quetta"/>
    <n v="875.36"/>
    <x v="8"/>
    <s v="Online Retailer"/>
    <s v="Above Averg"/>
    <n v="905.6025925925926"/>
    <n v="27"/>
    <x v="8"/>
    <n v="23634.720000000001"/>
    <n v="344.17076072405899"/>
    <n v="-8.7870894462297941E-2"/>
  </r>
  <r>
    <s v="Rice (Irri)"/>
    <s v="Grain"/>
    <s v="Karachi"/>
    <n v="132.76"/>
    <x v="7"/>
    <s v="Municipal Report"/>
    <s v="Low Averg"/>
    <n v="140.29840000000002"/>
    <n v="25"/>
    <x v="7"/>
    <n v="3319"/>
    <n v="343.84029005780599"/>
    <n v="-2.1924132272959279E-2"/>
  </r>
  <r>
    <s v="Spinach"/>
    <s v="Vegetable"/>
    <s v="Faisalabad"/>
    <n v="55.72"/>
    <x v="2"/>
    <s v="Retailer Listing"/>
    <s v="Low Averg"/>
    <n v="62.182121212121217"/>
    <n v="33"/>
    <x v="2"/>
    <n v="1838.76"/>
    <n v="343.99039815979899"/>
    <n v="-1.8785760436020288E-2"/>
  </r>
  <r>
    <s v="Eggplant"/>
    <s v="Vegetable"/>
    <s v="Quetta"/>
    <n v="82"/>
    <x v="1"/>
    <s v="Wholesale Market"/>
    <s v="Low Averg"/>
    <n v="81.934666666666672"/>
    <n v="30"/>
    <x v="1"/>
    <n v="2460"/>
    <n v="344.04068006753198"/>
    <n v="1.899000238009749E-4"/>
  </r>
  <r>
    <s v="Flour (Atta)"/>
    <s v="Grain"/>
    <s v="Sialkot"/>
    <n v="126.29"/>
    <x v="5"/>
    <s v="Wholesale Market"/>
    <s v="Low Averg"/>
    <n v="113.26108695652174"/>
    <n v="46"/>
    <x v="5"/>
    <n v="5809.34"/>
    <n v="344.12770923302497"/>
    <n v="3.7860691522099379E-2"/>
  </r>
  <r>
    <s v="Tea (Loose)"/>
    <s v="Beverage"/>
    <s v="Islamabad"/>
    <n v="907.98"/>
    <x v="6"/>
    <s v="Municipal Report"/>
    <s v="Above Averg"/>
    <n v="911.5772916666665"/>
    <n v="48"/>
    <x v="6"/>
    <n v="43583.040000000001"/>
    <n v="344.27003531460798"/>
    <n v="-1.0449040862296154E-2"/>
  </r>
  <r>
    <s v="Rice (Basmati)"/>
    <s v="Grain"/>
    <s v="Rawalpindi"/>
    <n v="330.09"/>
    <x v="1"/>
    <s v="Municipal Report"/>
    <s v="Low Averg"/>
    <n v="309.01727272727271"/>
    <n v="22"/>
    <x v="1"/>
    <n v="7261.98"/>
    <n v="343.85785608000202"/>
    <n v="6.1283250913495138E-2"/>
  </r>
  <r>
    <s v="Chicken Breast"/>
    <s v="Meat"/>
    <s v="Quetta"/>
    <n v="653.88"/>
    <x v="9"/>
    <s v="Retailer Listing"/>
    <s v="Above Averg"/>
    <n v="673.04079999999988"/>
    <n v="25"/>
    <x v="9"/>
    <n v="16347"/>
    <n v="344.13669224445198"/>
    <n v="-5.5677875773819878E-2"/>
  </r>
  <r>
    <s v="Lentils (Moong)"/>
    <s v="Pulses"/>
    <s v="Hyderabad"/>
    <n v="330.8"/>
    <x v="3"/>
    <s v="Online Retailer"/>
    <s v="Low Averg"/>
    <n v="304.90820512820511"/>
    <n v="39"/>
    <x v="3"/>
    <n v="12901.2"/>
    <n v="344.22359877513202"/>
    <n v="7.5217954155168215E-2"/>
  </r>
  <r>
    <s v="Lentils (Masoor)"/>
    <s v="Pulses"/>
    <s v="Islamabad"/>
    <n v="234.02"/>
    <x v="5"/>
    <s v="Retailer Listing"/>
    <s v="Low Averg"/>
    <n v="249.29749999999999"/>
    <n v="32"/>
    <x v="5"/>
    <n v="7488.64"/>
    <n v="344.50385595988598"/>
    <n v="-4.4346383170175273E-2"/>
  </r>
  <r>
    <s v="Rice (Irri)"/>
    <s v="Grain"/>
    <s v="Faisalabad"/>
    <n v="126.55"/>
    <x v="2"/>
    <s v="Retailer Listing"/>
    <s v="Low Averg"/>
    <n v="140.29840000000002"/>
    <n v="25"/>
    <x v="2"/>
    <n v="3163.75"/>
    <n v="344.74543524097902"/>
    <n v="-3.987986089036917E-2"/>
  </r>
  <r>
    <s v="Beef (Local)"/>
    <s v="Meat"/>
    <s v="Lahore"/>
    <n v="1009.2"/>
    <x v="4"/>
    <s v="Municipal Report"/>
    <s v="Above Averg"/>
    <n v="920.12567567567555"/>
    <n v="37"/>
    <x v="4"/>
    <n v="37340.400000000001"/>
    <n v="344.890948676763"/>
    <n v="0.25826808347993585"/>
  </r>
  <r>
    <s v="Potato"/>
    <s v="Vegetable"/>
    <s v="Islamabad"/>
    <n v="62.14"/>
    <x v="6"/>
    <s v="Municipal Report"/>
    <s v="Low Averg"/>
    <n v="70.278611111111118"/>
    <n v="36"/>
    <x v="6"/>
    <n v="2237.04"/>
    <n v="344.18686660511298"/>
    <n v="-2.3645908373513217E-2"/>
  </r>
  <r>
    <s v="Ghee"/>
    <s v="Oil"/>
    <s v="Karachi"/>
    <n v="1073.9000000000001"/>
    <x v="7"/>
    <s v="Online Retailer"/>
    <s v="Above Averg"/>
    <n v="1024.1451428571424"/>
    <n v="35"/>
    <x v="7"/>
    <n v="37586.5"/>
    <n v="344.248270524259"/>
    <n v="0.14453190154618786"/>
  </r>
  <r>
    <s v="Oranges"/>
    <s v="Fruit"/>
    <s v="Lahore"/>
    <n v="153.72999999999999"/>
    <x v="5"/>
    <s v="Online Retailer"/>
    <s v="Low Averg"/>
    <n v="151.26457142857143"/>
    <n v="35"/>
    <x v="5"/>
    <n v="5380.5499999999993"/>
    <n v="343.32637269091299"/>
    <n v="7.1810055024468401E-3"/>
  </r>
  <r>
    <s v="Cheese (Local)"/>
    <s v="Dairy"/>
    <s v="Islamabad"/>
    <n v="814.18"/>
    <x v="2"/>
    <s v="Online Retailer"/>
    <s v="Above Averg"/>
    <n v="905.6025925925926"/>
    <n v="27"/>
    <x v="2"/>
    <n v="21982.859999999997"/>
    <n v="343.50244829770202"/>
    <n v="-0.26614829980297483"/>
  </r>
  <r>
    <s v="Cooking Oil (Sunflower)"/>
    <s v="Oil"/>
    <s v="Sialkot"/>
    <n v="358.87"/>
    <x v="6"/>
    <s v="Retailer Listing"/>
    <s v="Low Averg"/>
    <n v="368.73933333333326"/>
    <n v="30"/>
    <x v="6"/>
    <n v="10766.1"/>
    <n v="343.30160057449598"/>
    <n v="-2.8748288143188038E-2"/>
  </r>
  <r>
    <s v="Apple"/>
    <s v="Fruit"/>
    <s v="Sialkot"/>
    <n v="216.4"/>
    <x v="10"/>
    <s v="Wholesale Market"/>
    <s v="Low Averg"/>
    <n v="206.14838709677423"/>
    <n v="31"/>
    <x v="10"/>
    <n v="6708.4000000000005"/>
    <n v="343.58792831890401"/>
    <n v="2.9836941458870628E-2"/>
  </r>
  <r>
    <s v="Lentils (Moong)"/>
    <s v="Pulses"/>
    <s v="Lahore"/>
    <n v="281.49"/>
    <x v="9"/>
    <s v="Retailer Listing"/>
    <s v="Low Averg"/>
    <n v="304.90820512820511"/>
    <n v="39"/>
    <x v="9"/>
    <n v="10978.11"/>
    <n v="343.82075466994701"/>
    <n v="-6.8111668100681019E-2"/>
  </r>
  <r>
    <s v="Banana"/>
    <s v="Fruit"/>
    <s v="Faisalabad"/>
    <n v="119.67"/>
    <x v="11"/>
    <s v="Local Market Survey"/>
    <s v="Low Averg"/>
    <n v="121.60903225806452"/>
    <n v="31"/>
    <x v="11"/>
    <n v="3709.77"/>
    <n v="344.09117663024"/>
    <n v="-5.6352280725529809E-3"/>
  </r>
  <r>
    <s v="Apple"/>
    <s v="Fruit"/>
    <s v="Islamabad"/>
    <n v="183.59"/>
    <x v="2"/>
    <s v="Local Market Survey"/>
    <s v="Low Averg"/>
    <n v="206.14838709677423"/>
    <n v="31"/>
    <x v="2"/>
    <n v="5691.29"/>
    <n v="344.23145030901998"/>
    <n v="-6.553261497903036E-2"/>
  </r>
  <r>
    <s v="Oranges"/>
    <s v="Fruit"/>
    <s v="Lahore"/>
    <n v="163.75"/>
    <x v="4"/>
    <s v="Municipal Report"/>
    <s v="Low Averg"/>
    <n v="151.26457142857143"/>
    <n v="35"/>
    <x v="4"/>
    <n v="5731.25"/>
    <n v="344.43879433391101"/>
    <n v="3.6248613038996881E-2"/>
  </r>
  <r>
    <s v="Tea (Loose)"/>
    <s v="Beverage"/>
    <s v="Hyderabad"/>
    <n v="1057.54"/>
    <x v="10"/>
    <s v="Online Retailer"/>
    <s v="Above Averg"/>
    <n v="911.5772916666665"/>
    <n v="48"/>
    <x v="10"/>
    <n v="50761.919999999998"/>
    <n v="344.62768054333702"/>
    <n v="0.42353738998332902"/>
  </r>
  <r>
    <s v="Apple"/>
    <s v="Fruit"/>
    <s v="Multan"/>
    <n v="219.63"/>
    <x v="5"/>
    <s v="Retailer Listing"/>
    <s v="Low Averg"/>
    <n v="206.14838709677423"/>
    <n v="31"/>
    <x v="5"/>
    <n v="6808.53"/>
    <n v="343.74922639985402"/>
    <n v="3.9219325798696525E-2"/>
  </r>
  <r>
    <s v="Flour (Atta)"/>
    <s v="Grain"/>
    <s v="Rawalpindi"/>
    <n v="115.69"/>
    <x v="6"/>
    <s v="Local Market Survey"/>
    <s v="Low Averg"/>
    <n v="113.26108695652174"/>
    <n v="46"/>
    <x v="6"/>
    <n v="5321.74"/>
    <n v="343.98671155208098"/>
    <n v="7.0610664944553052E-3"/>
  </r>
  <r>
    <s v="Lentils (Moong)"/>
    <s v="Pulses"/>
    <s v="Karachi"/>
    <n v="276.66000000000003"/>
    <x v="9"/>
    <s v="Online Retailer"/>
    <s v="Low Averg"/>
    <n v="304.90820512820511"/>
    <n v="39"/>
    <x v="9"/>
    <n v="10789.740000000002"/>
    <n v="344.12298515923402"/>
    <n v="-8.2087527850352573E-2"/>
  </r>
  <r>
    <s v="Grapes"/>
    <s v="Fruit"/>
    <s v="Quetta"/>
    <n v="247.9"/>
    <x v="4"/>
    <s v="Online Retailer"/>
    <s v="Low Averg"/>
    <n v="226.566129032258"/>
    <n v="31"/>
    <x v="4"/>
    <n v="7684.9000000000005"/>
    <n v="344.39450126732601"/>
    <n v="6.1946026691007523E-2"/>
  </r>
  <r>
    <s v="Onion"/>
    <s v="Vegetable"/>
    <s v="Islamabad"/>
    <n v="87.75"/>
    <x v="0"/>
    <s v="Online Retailer"/>
    <s v="Low Averg"/>
    <n v="90.269599999999997"/>
    <n v="25"/>
    <x v="0"/>
    <n v="2193.75"/>
    <n v="344.65181409387799"/>
    <n v="-7.3105664817818012E-3"/>
  </r>
  <r>
    <s v="Flour (Atta)"/>
    <s v="Grain"/>
    <s v="Hyderabad"/>
    <n v="126.33"/>
    <x v="3"/>
    <s v="Municipal Report"/>
    <s v="Low Averg"/>
    <n v="113.26108695652174"/>
    <n v="46"/>
    <x v="3"/>
    <n v="5811.18"/>
    <n v="344.75204958448501"/>
    <n v="3.7908151841967774E-2"/>
  </r>
  <r>
    <s v="Carrot"/>
    <s v="Vegetable"/>
    <s v="Karachi"/>
    <n v="151.63999999999999"/>
    <x v="4"/>
    <s v="Retailer Listing"/>
    <s v="Low Averg"/>
    <n v="141.74161290322584"/>
    <n v="31"/>
    <x v="4"/>
    <n v="4700.8399999999992"/>
    <n v="344.901670197123"/>
    <n v="2.8699156751305032E-2"/>
  </r>
  <r>
    <s v="Beef (Local)"/>
    <s v="Meat"/>
    <s v="Peshawar"/>
    <n v="931.78"/>
    <x v="5"/>
    <s v="Retailer Listing"/>
    <s v="Above Averg"/>
    <n v="920.12567567567555"/>
    <n v="37"/>
    <x v="5"/>
    <n v="34475.86"/>
    <n v="345.07995371871499"/>
    <n v="3.3772823366680436E-2"/>
  </r>
  <r>
    <s v="Salt"/>
    <s v="Condiment"/>
    <s v="Multan"/>
    <n v="45.2"/>
    <x v="9"/>
    <s v="Municipal Report"/>
    <s v="Low Averg"/>
    <n v="40.881379310344826"/>
    <n v="29"/>
    <x v="9"/>
    <n v="1310.8000000000002"/>
    <n v="344.58685112777903"/>
    <n v="1.253274951009014E-2"/>
  </r>
  <r>
    <s v="Yogurt"/>
    <s v="Dairy"/>
    <s v="Karachi"/>
    <n v="203.56"/>
    <x v="1"/>
    <s v="Retailer Listing"/>
    <s v="Low Averg"/>
    <n v="226.49633333333335"/>
    <n v="30"/>
    <x v="1"/>
    <n v="6106.8"/>
    <n v="344.62355755773302"/>
    <n v="-6.6554745983930436E-2"/>
  </r>
  <r>
    <s v="Eggplant"/>
    <s v="Vegetable"/>
    <s v="Hyderabad"/>
    <n v="77.17"/>
    <x v="9"/>
    <s v="Online Retailer"/>
    <s v="Low Averg"/>
    <n v="81.934666666666672"/>
    <n v="30"/>
    <x v="9"/>
    <n v="2315.1"/>
    <n v="344.851705596535"/>
    <n v="-1.3816566916566658E-2"/>
  </r>
  <r>
    <s v="Ghee"/>
    <s v="Oil"/>
    <s v="Islamabad"/>
    <n v="1077.05"/>
    <x v="11"/>
    <s v="Wholesale Market"/>
    <s v="Above Averg"/>
    <n v="1024.1451428571424"/>
    <n v="35"/>
    <x v="11"/>
    <n v="37696.75"/>
    <n v="344.93660228396601"/>
    <n v="0.15337559653731397"/>
  </r>
  <r>
    <s v="Lentils (Masoor)"/>
    <s v="Pulses"/>
    <s v="Multan"/>
    <n v="286.48"/>
    <x v="2"/>
    <s v="Local Market Survey"/>
    <s v="Low Averg"/>
    <n v="249.29749999999999"/>
    <n v="32"/>
    <x v="2"/>
    <n v="9167.36"/>
    <n v="343.97809893916298"/>
    <n v="0.1080955447880891"/>
  </r>
  <r>
    <s v="Chicken Breast"/>
    <s v="Meat"/>
    <s v="Sialkot"/>
    <n v="777.87"/>
    <x v="2"/>
    <s v="Online Retailer"/>
    <s v="Above Averg"/>
    <n v="673.04079999999988"/>
    <n v="25"/>
    <x v="2"/>
    <n v="19446.75"/>
    <n v="344.258048078287"/>
    <n v="0.30450762323546648"/>
  </r>
  <r>
    <s v="Tea (Loose)"/>
    <s v="Beverage"/>
    <s v="Islamabad"/>
    <n v="929.79"/>
    <x v="0"/>
    <s v="Online Retailer"/>
    <s v="Above Averg"/>
    <n v="911.5772916666665"/>
    <n v="48"/>
    <x v="0"/>
    <n v="44629.919999999998"/>
    <n v="344.13238836539102"/>
    <n v="5.2923551950000348E-2"/>
  </r>
  <r>
    <s v="Guava"/>
    <s v="Fruit"/>
    <s v="Islamabad"/>
    <n v="115.21"/>
    <x v="9"/>
    <s v="Wholesale Market"/>
    <s v="Low Averg"/>
    <n v="132.90272727272728"/>
    <n v="22"/>
    <x v="9"/>
    <n v="2534.62"/>
    <n v="343.631905361186"/>
    <n v="-5.1487440475385254E-2"/>
  </r>
  <r>
    <s v="Tomato"/>
    <s v="Vegetable"/>
    <s v="Islamabad"/>
    <n v="111.14"/>
    <x v="1"/>
    <s v="Wholesale Market"/>
    <s v="Low Averg"/>
    <n v="123.43305555555558"/>
    <n v="36"/>
    <x v="1"/>
    <n v="4001.04"/>
    <n v="343.77085179069297"/>
    <n v="-3.5759447002331329E-2"/>
  </r>
  <r>
    <s v="Grapes"/>
    <s v="Fruit"/>
    <s v="Karachi"/>
    <n v="199.57"/>
    <x v="9"/>
    <s v="Municipal Report"/>
    <s v="Low Averg"/>
    <n v="226.566129032258"/>
    <n v="31"/>
    <x v="9"/>
    <n v="6186.67"/>
    <n v="343.90446209813399"/>
    <n v="-7.8498920507040701E-2"/>
  </r>
  <r>
    <s v="Tea (Loose)"/>
    <s v="Beverage"/>
    <s v="Faisalabad"/>
    <n v="991.62"/>
    <x v="5"/>
    <s v="Wholesale Market"/>
    <s v="Above Averg"/>
    <n v="911.5772916666665"/>
    <n v="48"/>
    <x v="5"/>
    <n v="47597.760000000002"/>
    <n v="344.13258868358798"/>
    <n v="0.23259264296799456"/>
  </r>
  <r>
    <s v="Wheat"/>
    <s v="Grain"/>
    <s v="Rawalpindi"/>
    <n v="127.83"/>
    <x v="3"/>
    <s v="Wholesale Market"/>
    <s v="Low Averg"/>
    <n v="120.53625"/>
    <n v="24"/>
    <x v="3"/>
    <n v="3067.92"/>
    <n v="343.44271050298403"/>
    <n v="2.1237166423820869E-2"/>
  </r>
  <r>
    <s v="Chicken Breast"/>
    <s v="Meat"/>
    <s v="Karachi"/>
    <n v="569.76"/>
    <x v="6"/>
    <s v="Local Market Survey"/>
    <s v="Above Averg"/>
    <n v="673.04079999999988"/>
    <n v="25"/>
    <x v="6"/>
    <n v="14244"/>
    <n v="343.597968890826"/>
    <n v="-0.30058617730891207"/>
  </r>
  <r>
    <s v="Yogurt"/>
    <s v="Dairy"/>
    <s v="Rawalpindi"/>
    <n v="208.48"/>
    <x v="11"/>
    <s v="Wholesale Market"/>
    <s v="Low Averg"/>
    <n v="226.49633333333335"/>
    <n v="30"/>
    <x v="11"/>
    <n v="6254.4"/>
    <n v="343.792901108786"/>
    <n v="-5.2404611250633344E-2"/>
  </r>
  <r>
    <s v="Spices (Mixed)"/>
    <s v="Condiment"/>
    <s v="Karachi"/>
    <n v="813.93"/>
    <x v="0"/>
    <s v="Retailer Listing"/>
    <s v="Above Averg"/>
    <n v="810.77454545454566"/>
    <n v="33"/>
    <x v="0"/>
    <n v="26859.69"/>
    <n v="344.03049274461102"/>
    <n v="9.1720199575353427E-3"/>
  </r>
  <r>
    <s v="Milk"/>
    <s v="Dairy"/>
    <s v="Rawalpindi"/>
    <n v="187.9"/>
    <x v="3"/>
    <s v="Retailer Listing"/>
    <s v="Low Averg"/>
    <n v="206.78702702702708"/>
    <n v="37"/>
    <x v="3"/>
    <n v="6952.3"/>
    <n v="343.820533509195"/>
    <n v="-5.4932807049820849E-2"/>
  </r>
  <r>
    <s v="Potato"/>
    <s v="Vegetable"/>
    <s v="Quetta"/>
    <n v="71.95"/>
    <x v="2"/>
    <s v="Wholesale Market"/>
    <s v="Low Averg"/>
    <n v="70.278611111111118"/>
    <n v="36"/>
    <x v="2"/>
    <n v="2590.2000000000003"/>
    <n v="344.04177152535601"/>
    <n v="4.8580987171370337E-3"/>
  </r>
  <r>
    <s v="Apple"/>
    <s v="Fruit"/>
    <s v="Peshawar"/>
    <n v="178.62"/>
    <x v="6"/>
    <s v="Online Retailer"/>
    <s v="Low Averg"/>
    <n v="206.14838709677423"/>
    <n v="31"/>
    <x v="6"/>
    <n v="5537.22"/>
    <n v="344.12317310007899"/>
    <n v="-7.9995737714438464E-2"/>
  </r>
  <r>
    <s v="Beef (Local)"/>
    <s v="Meat"/>
    <s v="Karachi"/>
    <n v="854.06"/>
    <x v="5"/>
    <s v="Retailer Listing"/>
    <s v="Above Averg"/>
    <n v="920.12567567567555"/>
    <n v="37"/>
    <x v="5"/>
    <n v="31600.219999999998"/>
    <n v="344.33605200639602"/>
    <n v="-0.19186395177246338"/>
  </r>
  <r>
    <s v="Onion"/>
    <s v="Vegetable"/>
    <s v="Sialkot"/>
    <n v="91.03"/>
    <x v="5"/>
    <s v="Online Retailer"/>
    <s v="Low Averg"/>
    <n v="90.269599999999997"/>
    <n v="25"/>
    <x v="5"/>
    <n v="2275.75"/>
    <n v="344.02973725195898"/>
    <n v="2.2102740480341261E-3"/>
  </r>
  <r>
    <s v="Lentils (Masoor)"/>
    <s v="Pulses"/>
    <s v="Islamabad"/>
    <n v="212.41"/>
    <x v="6"/>
    <s v="Online Retailer"/>
    <s v="Low Averg"/>
    <n v="249.29749999999999"/>
    <n v="32"/>
    <x v="6"/>
    <n v="6797.12"/>
    <n v="344.13952516981101"/>
    <n v="-0.1071876297318605"/>
  </r>
  <r>
    <s v="Maize"/>
    <s v="Grain"/>
    <s v="Quetta"/>
    <n v="106.1"/>
    <x v="1"/>
    <s v="Online Retailer"/>
    <s v="Low Averg"/>
    <n v="102.25285714285715"/>
    <n v="28"/>
    <x v="1"/>
    <n v="2970.7999999999997"/>
    <n v="344.383370087196"/>
    <n v="1.1171105202230776E-2"/>
  </r>
  <r>
    <s v="Onion"/>
    <s v="Vegetable"/>
    <s v="Karachi"/>
    <n v="91.25"/>
    <x v="7"/>
    <s v="Retailer Listing"/>
    <s v="Low Averg"/>
    <n v="90.269599999999997"/>
    <n v="25"/>
    <x v="7"/>
    <n v="2281.25"/>
    <n v="344.513848432207"/>
    <n v="2.8457491751392541E-3"/>
  </r>
  <r>
    <s v="Ghee"/>
    <s v="Oil"/>
    <s v="Rawalpindi"/>
    <n v="1079.6500000000001"/>
    <x v="3"/>
    <s v="Retailer Listing"/>
    <s v="Above Averg"/>
    <n v="1024.1451428571424"/>
    <n v="35"/>
    <x v="3"/>
    <n v="37787.75"/>
    <n v="344.62350185294298"/>
    <n v="0.16105940785937042"/>
  </r>
  <r>
    <s v="Salt"/>
    <s v="Condiment"/>
    <s v="Quetta"/>
    <n v="39.86"/>
    <x v="7"/>
    <s v="Online Retailer"/>
    <s v="Low Averg"/>
    <n v="40.881379310344826"/>
    <n v="29"/>
    <x v="7"/>
    <n v="1155.94"/>
    <n v="343.61551978008998"/>
    <n v="-2.9724481333046246E-3"/>
  </r>
  <r>
    <s v="Mango"/>
    <s v="Fruit"/>
    <s v="Sialkot"/>
    <n v="292.64"/>
    <x v="9"/>
    <s v="Retailer Listing"/>
    <s v="Low Averg"/>
    <n v="257.40029411764709"/>
    <n v="34"/>
    <x v="9"/>
    <n v="9949.76"/>
    <n v="343.64491105699"/>
    <n v="0.10254685795858839"/>
  </r>
  <r>
    <s v="Rice (Basmati)"/>
    <s v="Grain"/>
    <s v="Quetta"/>
    <n v="306.01"/>
    <x v="4"/>
    <s v="Wholesale Market"/>
    <s v="Low Averg"/>
    <n v="309.01727272727271"/>
    <n v="22"/>
    <x v="4"/>
    <n v="6732.2199999999993"/>
    <n v="343.93778472889397"/>
    <n v="-8.7436532442725871E-3"/>
  </r>
  <r>
    <s v="Sugar"/>
    <s v="Grain"/>
    <s v="Karachi"/>
    <n v="130.66999999999999"/>
    <x v="7"/>
    <s v="Municipal Report"/>
    <s v="Low Averg"/>
    <n v="122.0377142857143"/>
    <n v="35"/>
    <x v="7"/>
    <n v="4573.45"/>
    <n v="344.23612689584502"/>
    <n v="2.5076640828281056E-2"/>
  </r>
  <r>
    <s v="Chickpeas"/>
    <s v="Pulses"/>
    <s v="Karachi"/>
    <n v="187.98"/>
    <x v="11"/>
    <s v="Online Retailer"/>
    <s v="Low Averg"/>
    <n v="203.25225806451613"/>
    <n v="31"/>
    <x v="11"/>
    <n v="5827.38"/>
    <n v="344.39902550758899"/>
    <n v="-4.4344661086097081E-2"/>
  </r>
  <r>
    <s v="Wheat"/>
    <s v="Grain"/>
    <s v="Karachi"/>
    <n v="119.94"/>
    <x v="3"/>
    <s v="Municipal Report"/>
    <s v="Low Averg"/>
    <n v="120.53625"/>
    <n v="24"/>
    <x v="3"/>
    <n v="2878.56"/>
    <n v="344.62430670146"/>
    <n v="-1.7301449387216764E-3"/>
  </r>
  <r>
    <s v="Milk"/>
    <s v="Dairy"/>
    <s v="Peshawar"/>
    <n v="232.37"/>
    <x v="2"/>
    <s v="Municipal Report"/>
    <s v="Low Averg"/>
    <n v="206.78702702702708"/>
    <n v="37"/>
    <x v="2"/>
    <n v="8597.69"/>
    <n v="344.773754001349"/>
    <n v="7.4202205579931776E-2"/>
  </r>
  <r>
    <s v="Mango"/>
    <s v="Fruit"/>
    <s v="Hyderabad"/>
    <n v="276.77"/>
    <x v="4"/>
    <s v="Municipal Report"/>
    <s v="Low Averg"/>
    <n v="257.40029411764709"/>
    <n v="34"/>
    <x v="4"/>
    <n v="9410.18"/>
    <n v="345.036347899502"/>
    <n v="5.6138160516336855E-2"/>
  </r>
  <r>
    <s v="Salt"/>
    <s v="Condiment"/>
    <s v="Multan"/>
    <n v="40.130000000000003"/>
    <x v="2"/>
    <s v="Online Retailer"/>
    <s v="Low Averg"/>
    <n v="40.881379310344826"/>
    <n v="29"/>
    <x v="2"/>
    <n v="1163.77"/>
    <n v="345.32607017620001"/>
    <n v="-2.1758545769841185E-3"/>
  </r>
  <r>
    <s v="Lentils (Masoor)"/>
    <s v="Pulses"/>
    <s v="Peshawar"/>
    <n v="266.14999999999998"/>
    <x v="9"/>
    <s v="Municipal Report"/>
    <s v="Low Averg"/>
    <n v="249.29749999999999"/>
    <n v="32"/>
    <x v="9"/>
    <n v="8516.7999999999993"/>
    <n v="345.35511175614801"/>
    <n v="4.8797598258511904E-2"/>
  </r>
  <r>
    <s v="Carrot"/>
    <s v="Vegetable"/>
    <s v="Sialkot"/>
    <n v="145.16"/>
    <x v="2"/>
    <s v="Wholesale Market"/>
    <s v="Low Averg"/>
    <n v="141.74161290322584"/>
    <n v="31"/>
    <x v="2"/>
    <n v="4499.96"/>
    <n v="345.64035872407499"/>
    <n v="9.8900114251503132E-3"/>
  </r>
  <r>
    <s v="Apple"/>
    <s v="Fruit"/>
    <s v="Lahore"/>
    <n v="214.31"/>
    <x v="10"/>
    <s v="Online Retailer"/>
    <s v="Low Averg"/>
    <n v="206.14838709677423"/>
    <n v="31"/>
    <x v="10"/>
    <n v="6643.61"/>
    <n v="345.821895827947"/>
    <n v="2.3600625066512074E-2"/>
  </r>
  <r>
    <s v="Lentils (Moong)"/>
    <s v="Pulses"/>
    <s v="Karachi"/>
    <n v="268.31"/>
    <x v="1"/>
    <s v="Local Market Survey"/>
    <s v="Low Averg"/>
    <n v="304.90820512820511"/>
    <n v="39"/>
    <x v="1"/>
    <n v="10464.09"/>
    <n v="346.07287008198699"/>
    <n v="-0.10575288701346265"/>
  </r>
  <r>
    <s v="Mutton"/>
    <s v="Meat"/>
    <s v="Sialkot"/>
    <n v="1358.35"/>
    <x v="5"/>
    <s v="Local Market Survey"/>
    <s v="Above Averg"/>
    <n v="1235.856"/>
    <n v="25"/>
    <x v="5"/>
    <n v="33958.75"/>
    <n v="346.36108504243998"/>
    <n v="0.35365982291281539"/>
  </r>
  <r>
    <s v="Maize"/>
    <s v="Grain"/>
    <s v="Sialkot"/>
    <n v="95.01"/>
    <x v="9"/>
    <s v="Municipal Report"/>
    <s v="Low Averg"/>
    <n v="102.25285714285715"/>
    <n v="28"/>
    <x v="9"/>
    <n v="2660.28"/>
    <n v="344.08963750995503"/>
    <n v="-2.1049332363714673E-2"/>
  </r>
  <r>
    <s v="Potato"/>
    <s v="Vegetable"/>
    <s v="Multan"/>
    <n v="68.45"/>
    <x v="11"/>
    <s v="Wholesale Market"/>
    <s v="Low Averg"/>
    <n v="70.278611111111118"/>
    <n v="36"/>
    <x v="11"/>
    <n v="2464.2000000000003"/>
    <n v="344.20515969481499"/>
    <n v="-5.3125615918495515E-3"/>
  </r>
  <r>
    <s v="Banana"/>
    <s v="Fruit"/>
    <s v="Karachi"/>
    <n v="108.58"/>
    <x v="11"/>
    <s v="Municipal Report"/>
    <s v="Low Averg"/>
    <n v="121.60903225806452"/>
    <n v="31"/>
    <x v="11"/>
    <n v="3365.98"/>
    <n v="344.27958596946303"/>
    <n v="-3.7844335792887152E-2"/>
  </r>
  <r>
    <s v="Onion"/>
    <s v="Vegetable"/>
    <s v="Sialkot"/>
    <n v="97.2"/>
    <x v="7"/>
    <s v="Local Market Survey"/>
    <s v="Low Averg"/>
    <n v="90.269599999999997"/>
    <n v="25"/>
    <x v="7"/>
    <n v="2430"/>
    <n v="344.41371177806502"/>
    <n v="2.0122311519542087E-2"/>
  </r>
  <r>
    <s v="Wheat"/>
    <s v="Grain"/>
    <s v="Faisalabad"/>
    <n v="109.98"/>
    <x v="8"/>
    <s v="Wholesale Market"/>
    <s v="Low Averg"/>
    <n v="120.53625"/>
    <n v="24"/>
    <x v="8"/>
    <n v="2639.52"/>
    <n v="344.531323245951"/>
    <n v="-3.0639449268489844E-2"/>
  </r>
  <r>
    <s v="Apple"/>
    <s v="Fruit"/>
    <s v="Islamabad"/>
    <n v="213.45"/>
    <x v="6"/>
    <s v="Online Retailer"/>
    <s v="Low Averg"/>
    <n v="206.14838709677423"/>
    <n v="31"/>
    <x v="6"/>
    <n v="6616.95"/>
    <n v="344.666895001466"/>
    <n v="2.1184549514668947E-2"/>
  </r>
  <r>
    <s v="Eggplant"/>
    <s v="Vegetable"/>
    <s v="Sialkot"/>
    <n v="85.04"/>
    <x v="8"/>
    <s v="Online Retailer"/>
    <s v="Low Averg"/>
    <n v="81.934666666666672"/>
    <n v="30"/>
    <x v="8"/>
    <n v="2551.2000000000003"/>
    <n v="344.91858013106901"/>
    <n v="9.0030909096091832E-3"/>
  </r>
  <r>
    <s v="Beef (Local)"/>
    <s v="Meat"/>
    <s v="Rawalpindi"/>
    <n v="917.57"/>
    <x v="7"/>
    <s v="Online Retailer"/>
    <s v="Above Averg"/>
    <n v="920.12567567567555"/>
    <n v="37"/>
    <x v="7"/>
    <n v="33950.090000000004"/>
    <n v="345.01740573219399"/>
    <n v="-7.4073818688998073E-3"/>
  </r>
  <r>
    <s v="Oranges"/>
    <s v="Fruit"/>
    <s v="Faisalabad"/>
    <n v="166.23"/>
    <x v="4"/>
    <s v="Local Market Survey"/>
    <s v="Low Averg"/>
    <n v="151.26457142857143"/>
    <n v="35"/>
    <x v="4"/>
    <n v="5818.0499999999993"/>
    <n v="344.53513406483103"/>
    <n v="4.3436581909270598E-2"/>
  </r>
  <r>
    <s v="Oranges"/>
    <s v="Fruit"/>
    <s v="Faisalabad"/>
    <n v="142.33000000000001"/>
    <x v="6"/>
    <s v="Municipal Report"/>
    <s v="Low Averg"/>
    <n v="151.26457142857143"/>
    <n v="35"/>
    <x v="6"/>
    <n v="4981.55"/>
    <n v="344.742052832144"/>
    <n v="-2.5916685693467421E-2"/>
  </r>
  <r>
    <s v="Oranges"/>
    <s v="Fruit"/>
    <s v="Faisalabad"/>
    <n v="133.71"/>
    <x v="8"/>
    <s v="Wholesale Market"/>
    <s v="Low Averg"/>
    <n v="151.26457142857143"/>
    <n v="35"/>
    <x v="8"/>
    <n v="4679.8500000000004"/>
    <n v="344.92114345965302"/>
    <n v="-5.0894448662944486E-2"/>
  </r>
  <r>
    <s v="Flour (Atta)"/>
    <s v="Grain"/>
    <s v="Karachi"/>
    <n v="99.03"/>
    <x v="10"/>
    <s v="Municipal Report"/>
    <s v="Low Averg"/>
    <n v="113.26108695652174"/>
    <n v="46"/>
    <x v="10"/>
    <n v="4555.38"/>
    <n v="345.08936908729203"/>
    <n v="-4.1238844865493125E-2"/>
  </r>
  <r>
    <s v="Chickpeas"/>
    <s v="Pulses"/>
    <s v="Sialkot"/>
    <n v="206.98"/>
    <x v="8"/>
    <s v="Municipal Report"/>
    <s v="Low Averg"/>
    <n v="203.25225806451613"/>
    <n v="31"/>
    <x v="8"/>
    <n v="6416.38"/>
    <n v="345.20945003455199"/>
    <n v="1.0798493306341276E-2"/>
  </r>
  <r>
    <s v="Banana"/>
    <s v="Fruit"/>
    <s v="Islamabad"/>
    <n v="117.54"/>
    <x v="3"/>
    <s v="Local Market Survey"/>
    <s v="Low Averg"/>
    <n v="121.60903225806452"/>
    <n v="31"/>
    <x v="3"/>
    <n v="3643.7400000000002"/>
    <n v="345.45798822174601"/>
    <n v="-1.1778660204124849E-2"/>
  </r>
  <r>
    <s v="Beef (Local)"/>
    <s v="Meat"/>
    <s v="Islamabad"/>
    <n v="1034.1400000000001"/>
    <x v="4"/>
    <s v="Municipal Report"/>
    <s v="Above Averg"/>
    <n v="920.12567567567555"/>
    <n v="37"/>
    <x v="4"/>
    <n v="38263.18"/>
    <n v="345.60451034547401"/>
    <n v="0.32989825338319018"/>
  </r>
  <r>
    <s v="Fish (Rohu)"/>
    <s v="Meat"/>
    <s v="Lahore"/>
    <n v="685.87"/>
    <x v="11"/>
    <s v="Wholesale Market"/>
    <s v="Above Averg"/>
    <n v="720.27689655172423"/>
    <n v="29"/>
    <x v="11"/>
    <n v="19890.23"/>
    <n v="344.73898103857698"/>
    <n v="-9.9805645558469727E-2"/>
  </r>
  <r>
    <s v="Lentils (Masoor)"/>
    <s v="Pulses"/>
    <s v="Rawalpindi"/>
    <n v="234.01"/>
    <x v="7"/>
    <s v="Municipal Report"/>
    <s v="Low Averg"/>
    <n v="249.29749999999999"/>
    <n v="32"/>
    <x v="7"/>
    <n v="7488.32"/>
    <n v="344.79437752890402"/>
    <n v="-4.4338019980382212E-2"/>
  </r>
  <r>
    <s v="Milk"/>
    <s v="Dairy"/>
    <s v="Quetta"/>
    <n v="223.93"/>
    <x v="1"/>
    <s v="Local Market Survey"/>
    <s v="Low Averg"/>
    <n v="206.78702702702708"/>
    <n v="37"/>
    <x v="1"/>
    <n v="8285.41"/>
    <n v="345.06762997069097"/>
    <n v="4.9680038010024297E-2"/>
  </r>
  <r>
    <s v="Guava"/>
    <s v="Fruit"/>
    <s v="Lahore"/>
    <n v="124.77"/>
    <x v="2"/>
    <s v="Municipal Report"/>
    <s v="Low Averg"/>
    <n v="132.90272727272728"/>
    <n v="22"/>
    <x v="2"/>
    <n v="2744.94"/>
    <n v="345.33360134769299"/>
    <n v="-2.355035027286264E-2"/>
  </r>
  <r>
    <s v="Apple"/>
    <s v="Fruit"/>
    <s v="Sialkot"/>
    <n v="193.87"/>
    <x v="11"/>
    <s v="Municipal Report"/>
    <s v="Low Averg"/>
    <n v="206.14838709677423"/>
    <n v="31"/>
    <x v="11"/>
    <n v="6009.97"/>
    <n v="345.49243080717099"/>
    <n v="-3.5538802016844E-2"/>
  </r>
  <r>
    <s v="Flour (Atta)"/>
    <s v="Grain"/>
    <s v="Islamabad"/>
    <n v="115.58"/>
    <x v="6"/>
    <s v="Online Retailer"/>
    <s v="Low Averg"/>
    <n v="113.26108695652174"/>
    <n v="46"/>
    <x v="6"/>
    <n v="5316.68"/>
    <n v="345.73221497775597"/>
    <n v="6.7072518643582508E-3"/>
  </r>
  <r>
    <s v="Mango"/>
    <s v="Fruit"/>
    <s v="Islamabad"/>
    <n v="285.13"/>
    <x v="3"/>
    <s v="Online Retailer"/>
    <s v="Low Averg"/>
    <n v="257.40029411764709"/>
    <n v="34"/>
    <x v="3"/>
    <n v="9694.42"/>
    <n v="345.87832640405497"/>
    <n v="8.0171851675837791E-2"/>
  </r>
  <r>
    <s v="Beef (Local)"/>
    <s v="Meat"/>
    <s v="Hyderabad"/>
    <n v="821.71"/>
    <x v="6"/>
    <s v="Retailer Listing"/>
    <s v="Above Averg"/>
    <n v="920.12567567567555"/>
    <n v="37"/>
    <x v="6"/>
    <n v="30403.27"/>
    <n v="346.18607204241198"/>
    <n v="-0.28428548582283347"/>
  </r>
  <r>
    <s v="Sugar"/>
    <s v="Grain"/>
    <s v="Faisalabad"/>
    <n v="128.09"/>
    <x v="8"/>
    <s v="Online Retailer"/>
    <s v="Low Averg"/>
    <n v="122.0377142857143"/>
    <n v="35"/>
    <x v="8"/>
    <n v="4483.1500000000005"/>
    <n v="345.96187464905103"/>
    <n v="1.7494082896923925E-2"/>
  </r>
  <r>
    <s v="Ghee"/>
    <s v="Oil"/>
    <s v="Peshawar"/>
    <n v="1154.17"/>
    <x v="7"/>
    <s v="Local Market Survey"/>
    <s v="Above Averg"/>
    <n v="1024.1451428571424"/>
    <n v="35"/>
    <x v="7"/>
    <n v="40395.950000000004"/>
    <n v="346.126819346697"/>
    <n v="0.3756566953935418"/>
  </r>
  <r>
    <s v="Banana"/>
    <s v="Fruit"/>
    <s v="Karachi"/>
    <n v="117.63"/>
    <x v="2"/>
    <s v="Local Market Survey"/>
    <s v="Low Averg"/>
    <n v="121.60903225806452"/>
    <n v="31"/>
    <x v="2"/>
    <n v="3646.5299999999997"/>
    <n v="344.76479396037797"/>
    <n v="-1.1541295189559903E-2"/>
  </r>
  <r>
    <s v="Chickpeas"/>
    <s v="Pulses"/>
    <s v="Hyderabad"/>
    <n v="197.77"/>
    <x v="0"/>
    <s v="Municipal Report"/>
    <s v="Low Averg"/>
    <n v="203.25225806451613"/>
    <n v="31"/>
    <x v="0"/>
    <n v="6130.87"/>
    <n v="344.91552674825402"/>
    <n v="-1.5894494852699084E-2"/>
  </r>
  <r>
    <s v="Chicken Breast"/>
    <s v="Meat"/>
    <s v="Karachi"/>
    <n v="632.66999999999996"/>
    <x v="2"/>
    <s v="Municipal Report"/>
    <s v="Above Averg"/>
    <n v="673.04079999999988"/>
    <n v="25"/>
    <x v="2"/>
    <n v="15816.749999999998"/>
    <n v="345.16206940058697"/>
    <n v="-0.11696186684159236"/>
  </r>
  <r>
    <s v="Lentils (Masoor)"/>
    <s v="Pulses"/>
    <s v="Islamabad"/>
    <n v="233.73"/>
    <x v="5"/>
    <s v="Local Market Survey"/>
    <s v="Low Averg"/>
    <n v="249.29749999999999"/>
    <n v="32"/>
    <x v="5"/>
    <n v="7479.36"/>
    <n v="345.30538044016203"/>
    <n v="-4.508328245611478E-2"/>
  </r>
  <r>
    <s v="Lentils (Moong)"/>
    <s v="Pulses"/>
    <s v="Islamabad"/>
    <n v="301.77"/>
    <x v="10"/>
    <s v="Retailer Listing"/>
    <s v="Low Averg"/>
    <n v="304.90820512820511"/>
    <n v="39"/>
    <x v="10"/>
    <n v="11769.029999999999"/>
    <n v="345.58497160169202"/>
    <n v="-9.080849533648426E-3"/>
  </r>
  <r>
    <s v="Chickpeas"/>
    <s v="Pulses"/>
    <s v="Islamabad"/>
    <n v="221.64"/>
    <x v="4"/>
    <s v="Retailer Listing"/>
    <s v="Low Averg"/>
    <n v="203.25225806451613"/>
    <n v="31"/>
    <x v="4"/>
    <n v="6870.8399999999992"/>
    <n v="345.90508159740398"/>
    <n v="5.3158345782514979E-2"/>
  </r>
  <r>
    <s v="Spinach"/>
    <s v="Vegetable"/>
    <s v="Sialkot"/>
    <n v="58.68"/>
    <x v="3"/>
    <s v="Online Retailer"/>
    <s v="Low Averg"/>
    <n v="62.182121212121217"/>
    <n v="33"/>
    <x v="3"/>
    <n v="1936.44"/>
    <n v="346.17629803935102"/>
    <n v="-1.0116582885530538E-2"/>
  </r>
  <r>
    <s v="Milk"/>
    <s v="Dairy"/>
    <s v="Quetta"/>
    <n v="227.89"/>
    <x v="5"/>
    <s v="Wholesale Market"/>
    <s v="Low Averg"/>
    <n v="206.78702702702708"/>
    <n v="37"/>
    <x v="5"/>
    <n v="8431.93"/>
    <n v="346.23517905337201"/>
    <n v="6.0949823269460128E-2"/>
  </r>
  <r>
    <s v="Tea (Loose)"/>
    <s v="Beverage"/>
    <s v="Karachi"/>
    <n v="840.79"/>
    <x v="4"/>
    <s v="Retailer Listing"/>
    <s v="Above Averg"/>
    <n v="911.5772916666665"/>
    <n v="48"/>
    <x v="4"/>
    <n v="40357.919999999998"/>
    <n v="346.512290682806"/>
    <n v="-0.20428508185721048"/>
  </r>
  <r>
    <s v="Spices (Mixed)"/>
    <s v="Condiment"/>
    <s v="Rawalpindi"/>
    <n v="810.62"/>
    <x v="0"/>
    <s v="Wholesale Market"/>
    <s v="Above Averg"/>
    <n v="810.77454545454566"/>
    <n v="33"/>
    <x v="0"/>
    <n v="26750.46"/>
    <n v="346.23493541092301"/>
    <n v="-4.4636008311014434E-4"/>
  </r>
  <r>
    <s v="Milk"/>
    <s v="Dairy"/>
    <s v="Karachi"/>
    <n v="215.79"/>
    <x v="9"/>
    <s v="Retailer Listing"/>
    <s v="Low Averg"/>
    <n v="206.78702702702708"/>
    <n v="37"/>
    <x v="9"/>
    <n v="7984.23"/>
    <n v="346.03116000111203"/>
    <n v="2.6017809994175033E-2"/>
  </r>
  <r>
    <s v="Milk"/>
    <s v="Dairy"/>
    <s v="Sialkot"/>
    <n v="216.26"/>
    <x v="1"/>
    <s v="Wholesale Market"/>
    <s v="Low Averg"/>
    <n v="206.78702702702708"/>
    <n v="37"/>
    <x v="1"/>
    <n v="8001.62"/>
    <n v="346.300594885056"/>
    <n v="2.7354769564046456E-2"/>
  </r>
  <r>
    <s v="Carrot"/>
    <s v="Vegetable"/>
    <s v="Karachi"/>
    <n v="150.91"/>
    <x v="10"/>
    <s v="Municipal Report"/>
    <s v="Low Averg"/>
    <n v="141.74161290322584"/>
    <n v="31"/>
    <x v="10"/>
    <n v="4678.21"/>
    <n v="346.57102144136502"/>
    <n v="2.6454569278883917E-2"/>
  </r>
  <r>
    <s v="Oranges"/>
    <s v="Fruit"/>
    <s v="Quetta"/>
    <n v="146.61000000000001"/>
    <x v="3"/>
    <s v="Local Market Survey"/>
    <s v="Low Averg"/>
    <n v="151.26457142857143"/>
    <n v="35"/>
    <x v="3"/>
    <n v="5131.3500000000004"/>
    <n v="346.77195182835402"/>
    <n v="-1.3422571819981986E-2"/>
  </r>
  <r>
    <s v="Mango"/>
    <s v="Fruit"/>
    <s v="Faisalabad"/>
    <n v="273.82"/>
    <x v="9"/>
    <s v="Local Market Survey"/>
    <s v="Low Averg"/>
    <n v="257.40029411764709"/>
    <n v="34"/>
    <x v="9"/>
    <n v="9309.8799999999992"/>
    <n v="346.96752807695299"/>
    <n v="4.7323465608894728E-2"/>
  </r>
  <r>
    <s v="Cooking Oil (Sunflower)"/>
    <s v="Oil"/>
    <s v="Faisalabad"/>
    <n v="308"/>
    <x v="6"/>
    <s v="Online Retailer"/>
    <s v="Low Averg"/>
    <n v="368.73933333333326"/>
    <n v="30"/>
    <x v="6"/>
    <n v="9240"/>
    <n v="347.28133152405002"/>
    <n v="-0.1748995060194502"/>
  </r>
  <r>
    <s v="Fish (Rohu)"/>
    <s v="Meat"/>
    <s v="Quetta"/>
    <n v="711.13"/>
    <x v="4"/>
    <s v="Online Retailer"/>
    <s v="Above Averg"/>
    <n v="720.27689655172423"/>
    <n v="29"/>
    <x v="4"/>
    <n v="20622.77"/>
    <n v="347.61207588116503"/>
    <n v="-2.6313517815909265E-2"/>
  </r>
  <r>
    <s v="Fish (Rohu)"/>
    <s v="Meat"/>
    <s v="Islamabad"/>
    <n v="630.28"/>
    <x v="9"/>
    <s v="Local Market Survey"/>
    <s v="Above Averg"/>
    <n v="720.27689655172423"/>
    <n v="29"/>
    <x v="9"/>
    <n v="18278.12"/>
    <n v="347.63132077211299"/>
    <n v="-0.2588860415449189"/>
  </r>
  <r>
    <s v="Spices (Mixed)"/>
    <s v="Condiment"/>
    <s v="Islamabad"/>
    <n v="912.99"/>
    <x v="4"/>
    <s v="Municipal Report"/>
    <s v="Above Averg"/>
    <n v="810.77454545454566"/>
    <n v="33"/>
    <x v="4"/>
    <n v="30128.670000000002"/>
    <n v="347.78694731426202"/>
    <n v="0.29390250362987874"/>
  </r>
  <r>
    <s v="Mango"/>
    <s v="Fruit"/>
    <s v="Faisalabad"/>
    <n v="262.89"/>
    <x v="7"/>
    <s v="Retailer Listing"/>
    <s v="Low Averg"/>
    <n v="257.40029411764709"/>
    <n v="34"/>
    <x v="7"/>
    <n v="8938.26"/>
    <n v="347.29580394540102"/>
    <n v="1.5807003194360333E-2"/>
  </r>
  <r>
    <s v="Carrot"/>
    <s v="Vegetable"/>
    <s v="Peshawar"/>
    <n v="141.22"/>
    <x v="4"/>
    <s v="Municipal Report"/>
    <s v="Low Averg"/>
    <n v="141.74161290322584"/>
    <n v="31"/>
    <x v="4"/>
    <n v="4377.82"/>
    <n v="347.60770255720502"/>
    <n v="-1.5005792431771645E-3"/>
  </r>
  <r>
    <s v="Fish (Pomfret)"/>
    <s v="Meat"/>
    <s v="Islamabad"/>
    <n v="1049.1400000000001"/>
    <x v="11"/>
    <s v="Municipal Report"/>
    <s v="Above Averg"/>
    <n v="1113.4854166666667"/>
    <n v="24"/>
    <x v="11"/>
    <n v="25179.360000000001"/>
    <n v="347.80177477170503"/>
    <n v="-0.18500600437965703"/>
  </r>
  <r>
    <s v="Spices (Mixed)"/>
    <s v="Condiment"/>
    <s v="Faisalabad"/>
    <n v="755.66"/>
    <x v="7"/>
    <s v="Wholesale Market"/>
    <s v="Above Averg"/>
    <n v="810.77454545454566"/>
    <n v="33"/>
    <x v="7"/>
    <n v="24936.78"/>
    <n v="346.82777999037199"/>
    <n v="-0.15891041212464493"/>
  </r>
  <r>
    <s v="Banana"/>
    <s v="Fruit"/>
    <s v="Rawalpindi"/>
    <n v="112.27"/>
    <x v="11"/>
    <s v="Municipal Report"/>
    <s v="Low Averg"/>
    <n v="121.60903225806452"/>
    <n v="31"/>
    <x v="11"/>
    <n v="3480.37"/>
    <n v="346.746485435203"/>
    <n v="-2.6933314828968088E-2"/>
  </r>
  <r>
    <s v="Tea (Loose)"/>
    <s v="Beverage"/>
    <s v="Multan"/>
    <n v="1028.53"/>
    <x v="10"/>
    <s v="Wholesale Market"/>
    <s v="Above Averg"/>
    <n v="911.5772916666665"/>
    <n v="48"/>
    <x v="10"/>
    <n v="49369.440000000002"/>
    <n v="346.90184634111699"/>
    <n v="0.33713486845593504"/>
  </r>
  <r>
    <s v="Rice (Basmati)"/>
    <s v="Grain"/>
    <s v="Karachi"/>
    <n v="286.74"/>
    <x v="7"/>
    <s v="Wholesale Market"/>
    <s v="Low Averg"/>
    <n v="309.01727272727271"/>
    <n v="22"/>
    <x v="7"/>
    <n v="6308.2800000000007"/>
    <n v="345.991511495194"/>
    <n v="-6.4386760909254687E-2"/>
  </r>
  <r>
    <s v="Tomato"/>
    <s v="Vegetable"/>
    <s v="Islamabad"/>
    <n v="109.19"/>
    <x v="5"/>
    <s v="Online Retailer"/>
    <s v="Low Averg"/>
    <n v="123.43305555555558"/>
    <n v="36"/>
    <x v="5"/>
    <n v="3930.84"/>
    <n v="346.32028100638399"/>
    <n v="-4.1126830672942982E-2"/>
  </r>
  <r>
    <s v="Mango"/>
    <s v="Fruit"/>
    <s v="Quetta"/>
    <n v="255.8"/>
    <x v="3"/>
    <s v="Local Market Survey"/>
    <s v="Low Averg"/>
    <n v="257.40029411764709"/>
    <n v="34"/>
    <x v="3"/>
    <n v="8697.2000000000007"/>
    <n v="346.47221851930499"/>
    <n v="-4.618823767418209E-3"/>
  </r>
  <r>
    <s v="Ghee"/>
    <s v="Oil"/>
    <s v="Sialkot"/>
    <n v="1125.71"/>
    <x v="11"/>
    <s v="Municipal Report"/>
    <s v="Above Averg"/>
    <n v="1024.1451428571424"/>
    <n v="35"/>
    <x v="11"/>
    <n v="39399.85"/>
    <n v="346.784648827681"/>
    <n v="0.29287587407978277"/>
  </r>
  <r>
    <s v="Beef (Local)"/>
    <s v="Meat"/>
    <s v="Peshawar"/>
    <n v="991.1"/>
    <x v="0"/>
    <s v="Wholesale Market"/>
    <s v="Above Averg"/>
    <n v="920.12567567567555"/>
    <n v="37"/>
    <x v="0"/>
    <n v="36670.700000000004"/>
    <n v="345.46081237225798"/>
    <n v="0.20544826441224459"/>
  </r>
  <r>
    <s v="Spices (Mixed)"/>
    <s v="Condiment"/>
    <s v="Karachi"/>
    <n v="793.87"/>
    <x v="7"/>
    <s v="Retailer Listing"/>
    <s v="Above Averg"/>
    <n v="810.77454545454566"/>
    <n v="33"/>
    <x v="7"/>
    <n v="26197.71"/>
    <n v="344.66872996455203"/>
    <n v="-4.9045776378623694E-2"/>
  </r>
  <r>
    <s v="Spinach"/>
    <s v="Vegetable"/>
    <s v="Quetta"/>
    <n v="57.15"/>
    <x v="8"/>
    <s v="Municipal Report"/>
    <s v="Low Averg"/>
    <n v="62.182121212121217"/>
    <n v="33"/>
    <x v="8"/>
    <n v="1885.95"/>
    <n v="344.481062054049"/>
    <n v="-1.4607831217530558E-2"/>
  </r>
  <r>
    <s v="Apple"/>
    <s v="Fruit"/>
    <s v="Quetta"/>
    <n v="232.62"/>
    <x v="1"/>
    <s v="Online Retailer"/>
    <s v="Low Averg"/>
    <n v="206.14838709677423"/>
    <n v="31"/>
    <x v="1"/>
    <n v="7211.22"/>
    <n v="344.54856900025197"/>
    <n v="7.6829844280114884E-2"/>
  </r>
  <r>
    <s v="Salt"/>
    <s v="Condiment"/>
    <s v="Lahore"/>
    <n v="36.869999999999997"/>
    <x v="3"/>
    <s v="Retailer Listing"/>
    <s v="Low Averg"/>
    <n v="40.881379310344826"/>
    <n v="29"/>
    <x v="3"/>
    <n v="1069.23"/>
    <n v="344.84695820449201"/>
    <n v="-1.1632346508813068E-2"/>
  </r>
  <r>
    <s v="Cooking Oil (Sunflower)"/>
    <s v="Oil"/>
    <s v="Multan"/>
    <n v="345.7"/>
    <x v="0"/>
    <s v="Retailer Listing"/>
    <s v="Low Averg"/>
    <n v="368.73933333333326"/>
    <n v="30"/>
    <x v="0"/>
    <n v="10371"/>
    <n v="344.87506790424902"/>
    <n v="-6.6804867841968513E-2"/>
  </r>
  <r>
    <s v="Wheat"/>
    <s v="Grain"/>
    <s v="Sialkot"/>
    <n v="125.32"/>
    <x v="2"/>
    <s v="Municipal Report"/>
    <s v="Low Averg"/>
    <n v="120.53625"/>
    <n v="24"/>
    <x v="2"/>
    <n v="3007.68"/>
    <n v="345.22747854021702"/>
    <n v="1.3856805432255643E-2"/>
  </r>
  <r>
    <s v="Fish (Pomfret)"/>
    <s v="Meat"/>
    <s v="Hyderabad"/>
    <n v="1257.53"/>
    <x v="11"/>
    <s v="Retailer Listing"/>
    <s v="Above Averg"/>
    <n v="1113.4854166666667"/>
    <n v="24"/>
    <x v="11"/>
    <n v="30180.720000000001"/>
    <n v="345.40659342199598"/>
    <n v="0.41702904946388425"/>
  </r>
  <r>
    <s v="Chicken (Whole)"/>
    <s v="Meat"/>
    <s v="Peshawar"/>
    <n v="471.42"/>
    <x v="11"/>
    <s v="Local Market Survey"/>
    <s v="Above Averg"/>
    <n v="533.4588235294118"/>
    <n v="34"/>
    <x v="11"/>
    <n v="16028.28"/>
    <n v="343.39346436792101"/>
    <n v="-0.18066396121896403"/>
  </r>
  <r>
    <s v="Carrot"/>
    <s v="Vegetable"/>
    <s v="Karachi"/>
    <n v="126.17"/>
    <x v="5"/>
    <s v="Online Retailer"/>
    <s v="Low Averg"/>
    <n v="141.74161290322584"/>
    <n v="31"/>
    <x v="5"/>
    <n v="3911.27"/>
    <n v="343.71504324144502"/>
    <n v="-4.5303844592822939E-2"/>
  </r>
  <r>
    <s v="Maize"/>
    <s v="Grain"/>
    <s v="Faisalabad"/>
    <n v="103.53"/>
    <x v="10"/>
    <s v="Municipal Report"/>
    <s v="Low Averg"/>
    <n v="102.25285714285715"/>
    <n v="28"/>
    <x v="10"/>
    <n v="2898.84"/>
    <n v="343.896416609102"/>
    <n v="3.7137428465692426E-3"/>
  </r>
  <r>
    <s v="Ghee"/>
    <s v="Oil"/>
    <s v="Quetta"/>
    <n v="1103.53"/>
    <x v="9"/>
    <s v="Local Market Survey"/>
    <s v="Above Averg"/>
    <n v="1024.1451428571424"/>
    <n v="35"/>
    <x v="9"/>
    <n v="38623.549999999996"/>
    <n v="344.04322217400698"/>
    <n v="0.23074094191196418"/>
  </r>
  <r>
    <s v="Lentils (Masoor)"/>
    <s v="Pulses"/>
    <s v="Faisalabad"/>
    <n v="286.3"/>
    <x v="7"/>
    <s v="Local Market Survey"/>
    <s v="Low Averg"/>
    <n v="249.29749999999999"/>
    <n v="32"/>
    <x v="7"/>
    <n v="9161.6"/>
    <n v="342.75865453151999"/>
    <n v="0.10795496922047022"/>
  </r>
  <r>
    <s v="Salt"/>
    <s v="Condiment"/>
    <s v="Multan"/>
    <n v="43.35"/>
    <x v="8"/>
    <s v="Retailer Listing"/>
    <s v="Low Averg"/>
    <n v="40.881379310344826"/>
    <n v="29"/>
    <x v="8"/>
    <n v="1257.1500000000001"/>
    <n v="343.09615125904202"/>
    <n v="7.1951278981014707E-3"/>
  </r>
  <r>
    <s v="Flour (Atta)"/>
    <s v="Grain"/>
    <s v="Islamabad"/>
    <n v="105.08"/>
    <x v="0"/>
    <s v="Wholesale Market"/>
    <s v="Low Averg"/>
    <n v="113.26108695652174"/>
    <n v="46"/>
    <x v="0"/>
    <n v="4833.68"/>
    <n v="343.13644289139597"/>
    <n v="-2.3842081265355673E-2"/>
  </r>
  <r>
    <s v="Tea (Loose)"/>
    <s v="Beverage"/>
    <s v="Lahore"/>
    <n v="910.09"/>
    <x v="10"/>
    <s v="Municipal Report"/>
    <s v="Above Averg"/>
    <n v="911.5772916666665"/>
    <n v="48"/>
    <x v="10"/>
    <n v="43684.32"/>
    <n v="343.28592513816"/>
    <n v="-4.3325157186910141E-3"/>
  </r>
  <r>
    <s v="Lentils (Moong)"/>
    <s v="Pulses"/>
    <s v="Lahore"/>
    <n v="278.57"/>
    <x v="6"/>
    <s v="Local Market Survey"/>
    <s v="Low Averg"/>
    <n v="304.90820512820511"/>
    <n v="39"/>
    <x v="6"/>
    <n v="10864.23"/>
    <n v="342.74434108590202"/>
    <n v="-7.6845047374841921E-2"/>
  </r>
  <r>
    <s v="Rice (Irri)"/>
    <s v="Grain"/>
    <s v="Peshawar"/>
    <n v="140.07"/>
    <x v="0"/>
    <s v="Local Market Survey"/>
    <s v="Low Averg"/>
    <n v="140.29840000000002"/>
    <n v="25"/>
    <x v="0"/>
    <n v="3501.75"/>
    <n v="343.08055499980202"/>
    <n v="-6.6573286265132021E-4"/>
  </r>
  <r>
    <s v="Spinach"/>
    <s v="Vegetable"/>
    <s v="Peshawar"/>
    <n v="69.430000000000007"/>
    <x v="7"/>
    <s v="Online Retailer"/>
    <s v="Low Averg"/>
    <n v="62.182121212121217"/>
    <n v="33"/>
    <x v="7"/>
    <n v="2291.19"/>
    <n v="343.28399258418801"/>
    <n v="2.1113360787136902E-2"/>
  </r>
  <r>
    <s v="Mutton"/>
    <s v="Meat"/>
    <s v="Karachi"/>
    <n v="1152.3499999999999"/>
    <x v="7"/>
    <s v="Wholesale Market"/>
    <s v="Above Averg"/>
    <n v="1235.856"/>
    <n v="25"/>
    <x v="7"/>
    <n v="28808.749999999996"/>
    <n v="343.37347154502498"/>
    <n v="-0.24319292816728366"/>
  </r>
  <r>
    <s v="Chicken (Whole)"/>
    <s v="Meat"/>
    <s v="Lahore"/>
    <n v="515.34"/>
    <x v="8"/>
    <s v="Wholesale Market"/>
    <s v="Above Averg"/>
    <n v="533.4588235294118"/>
    <n v="34"/>
    <x v="8"/>
    <n v="17521.560000000001"/>
    <n v="341.83315475395"/>
    <n v="-5.3004874680613177E-2"/>
  </r>
  <r>
    <s v="Mutton"/>
    <s v="Meat"/>
    <s v="Hyderabad"/>
    <n v="1359.06"/>
    <x v="8"/>
    <s v="Online Retailer"/>
    <s v="Above Averg"/>
    <n v="1235.856"/>
    <n v="25"/>
    <x v="8"/>
    <n v="33976.5"/>
    <n v="342.125832434865"/>
    <n v="0.36011311722114969"/>
  </r>
  <r>
    <s v="Spinach"/>
    <s v="Vegetable"/>
    <s v="Lahore"/>
    <n v="64.040000000000006"/>
    <x v="3"/>
    <s v="Online Retailer"/>
    <s v="Low Averg"/>
    <n v="62.182121212121217"/>
    <n v="33"/>
    <x v="3"/>
    <n v="2113.3200000000002"/>
    <n v="339.40953590095"/>
    <n v="5.4738555973305788E-3"/>
  </r>
  <r>
    <s v="Eggplant"/>
    <s v="Vegetable"/>
    <s v="Sialkot"/>
    <n v="81.67"/>
    <x v="2"/>
    <s v="Municipal Report"/>
    <s v="Low Averg"/>
    <n v="81.934666666666672"/>
    <n v="30"/>
    <x v="2"/>
    <n v="2450.1"/>
    <n v="339.48887501569999"/>
    <n v="-7.7960335711864078E-4"/>
  </r>
  <r>
    <s v="Fish (Rohu)"/>
    <s v="Meat"/>
    <s v="Quetta"/>
    <n v="792.85"/>
    <x v="4"/>
    <s v="Local Market Survey"/>
    <s v="Above Averg"/>
    <n v="720.27689655172423"/>
    <n v="29"/>
    <x v="4"/>
    <n v="22992.65"/>
    <n v="339.59964831967199"/>
    <n v="0.21370193934936371"/>
  </r>
  <r>
    <s v="Carrot"/>
    <s v="Vegetable"/>
    <s v="Faisalabad"/>
    <n v="150.52000000000001"/>
    <x v="3"/>
    <s v="Wholesale Market"/>
    <s v="Low Averg"/>
    <n v="141.74161290322584"/>
    <n v="31"/>
    <x v="3"/>
    <n v="4666.12"/>
    <n v="339.38464583919898"/>
    <n v="2.5865598825391124E-2"/>
  </r>
  <r>
    <s v="Cooking Oil (Sunflower)"/>
    <s v="Oil"/>
    <s v="Hyderabad"/>
    <n v="399.98"/>
    <x v="2"/>
    <s v="Wholesale Market"/>
    <s v="Above Averg"/>
    <n v="368.73933333333326"/>
    <n v="30"/>
    <x v="2"/>
    <n v="11999.400000000001"/>
    <n v="339.60406256119302"/>
    <n v="9.1991439769768715E-2"/>
  </r>
  <r>
    <s v="Chicken (Whole)"/>
    <s v="Meat"/>
    <s v="Lahore"/>
    <n v="436.31"/>
    <x v="8"/>
    <s v="Wholesale Market"/>
    <s v="Above Averg"/>
    <n v="533.4588235294118"/>
    <n v="34"/>
    <x v="8"/>
    <n v="14834.54"/>
    <n v="339.96422449861097"/>
    <n v="-0.28576190236690252"/>
  </r>
  <r>
    <s v="Salt"/>
    <s v="Condiment"/>
    <s v="Peshawar"/>
    <n v="46.32"/>
    <x v="1"/>
    <s v="Online Retailer"/>
    <s v="Low Averg"/>
    <n v="40.881379310344826"/>
    <n v="29"/>
    <x v="1"/>
    <n v="1343.28"/>
    <n v="340.31313070402302"/>
    <n v="1.5981224933648678E-2"/>
  </r>
  <r>
    <s v="Eggplant"/>
    <s v="Vegetable"/>
    <s v="Peshawar"/>
    <n v="91.73"/>
    <x v="10"/>
    <s v="Local Market Survey"/>
    <s v="Low Averg"/>
    <n v="81.934666666666672"/>
    <n v="30"/>
    <x v="10"/>
    <n v="2751.9"/>
    <n v="340.35944271101698"/>
    <n v="2.8779378809977909E-2"/>
  </r>
  <r>
    <s v="Guava"/>
    <s v="Fruit"/>
    <s v="Karachi"/>
    <n v="126.4"/>
    <x v="5"/>
    <s v="Retailer Listing"/>
    <s v="Low Averg"/>
    <n v="132.90272727272728"/>
    <n v="22"/>
    <x v="5"/>
    <n v="2780.8"/>
    <n v="340.48994511623198"/>
    <n v="-1.9098147730933594E-2"/>
  </r>
  <r>
    <s v="Fish (Rohu)"/>
    <s v="Meat"/>
    <s v="Rawalpindi"/>
    <n v="672.13"/>
    <x v="7"/>
    <s v="Local Market Survey"/>
    <s v="Above Averg"/>
    <n v="720.27689655172423"/>
    <n v="29"/>
    <x v="7"/>
    <n v="19491.77"/>
    <n v="340.67651678197399"/>
    <n v="-0.14132731250900182"/>
  </r>
  <r>
    <s v="Chicken (Whole)"/>
    <s v="Meat"/>
    <s v="Quetta"/>
    <n v="608.46"/>
    <x v="10"/>
    <s v="Local Market Survey"/>
    <s v="Above Averg"/>
    <n v="533.4588235294118"/>
    <n v="34"/>
    <x v="10"/>
    <n v="20687.64"/>
    <n v="340.74673698430098"/>
    <n v="0.22010827494451904"/>
  </r>
  <r>
    <s v="Sugar"/>
    <s v="Grain"/>
    <s v="Multan"/>
    <n v="120.75"/>
    <x v="5"/>
    <s v="Retailer Listing"/>
    <s v="Low Averg"/>
    <n v="122.0377142857143"/>
    <n v="35"/>
    <x v="5"/>
    <n v="4226.25"/>
    <n v="340.92789302710401"/>
    <n v="-3.7770869208754569E-3"/>
  </r>
  <r>
    <s v="Grapes"/>
    <s v="Fruit"/>
    <s v="Multan"/>
    <n v="221.47"/>
    <x v="4"/>
    <s v="Local Market Survey"/>
    <s v="Low Averg"/>
    <n v="226.566129032258"/>
    <n v="31"/>
    <x v="4"/>
    <n v="6865.57"/>
    <n v="341.10870408985301"/>
    <n v="-1.4939897373347621E-2"/>
  </r>
  <r>
    <s v="Carrot"/>
    <s v="Vegetable"/>
    <s v="Quetta"/>
    <n v="145.65"/>
    <x v="4"/>
    <s v="Wholesale Market"/>
    <s v="Low Averg"/>
    <n v="141.74161290322584"/>
    <n v="31"/>
    <x v="4"/>
    <n v="4515.1500000000005"/>
    <n v="341.414692670497"/>
    <n v="1.1447624196262079E-2"/>
  </r>
  <r>
    <s v="Mutton"/>
    <s v="Meat"/>
    <s v="Islamabad"/>
    <n v="1169.8800000000001"/>
    <x v="0"/>
    <s v="Wholesale Market"/>
    <s v="Above Averg"/>
    <n v="1235.856"/>
    <n v="25"/>
    <x v="0"/>
    <n v="29247.000000000004"/>
    <n v="341.63290938503201"/>
    <n v="-0.19311956836582939"/>
  </r>
  <r>
    <s v="Fish (Pomfret)"/>
    <s v="Meat"/>
    <s v="Lahore"/>
    <n v="1065.04"/>
    <x v="7"/>
    <s v="Wholesale Market"/>
    <s v="Above Averg"/>
    <n v="1113.4854166666667"/>
    <n v="24"/>
    <x v="7"/>
    <n v="25560.959999999999"/>
    <n v="339.92459046181301"/>
    <n v="-0.14251812909695635"/>
  </r>
  <r>
    <s v="Rice (Irri)"/>
    <s v="Grain"/>
    <s v="Lahore"/>
    <n v="149.80000000000001"/>
    <x v="1"/>
    <s v="Municipal Report"/>
    <s v="Low Averg"/>
    <n v="140.29840000000002"/>
    <n v="25"/>
    <x v="1"/>
    <n v="3745.0000000000005"/>
    <n v="338.70476997417899"/>
    <n v="2.8052749303543456E-2"/>
  </r>
  <r>
    <s v="Flour (Atta)"/>
    <s v="Grain"/>
    <s v="Sialkot"/>
    <n v="132.06"/>
    <x v="0"/>
    <s v="Local Market Survey"/>
    <s v="Low Averg"/>
    <n v="113.26108695652174"/>
    <n v="46"/>
    <x v="0"/>
    <n v="6074.76"/>
    <n v="338.93001052291999"/>
    <n v="5.5465472102851743E-2"/>
  </r>
  <r>
    <s v="Ghee"/>
    <s v="Oil"/>
    <s v="Islamabad"/>
    <n v="1136.26"/>
    <x v="0"/>
    <s v="Online Retailer"/>
    <s v="Above Averg"/>
    <n v="1024.1451428571424"/>
    <n v="35"/>
    <x v="0"/>
    <n v="39769.1"/>
    <n v="339.12972496684699"/>
    <n v="0.33059578352743274"/>
  </r>
  <r>
    <s v="Rice (Basmati)"/>
    <s v="Grain"/>
    <s v="Peshawar"/>
    <n v="330.64"/>
    <x v="0"/>
    <s v="Online Retailer"/>
    <s v="Low Averg"/>
    <n v="309.01727272727271"/>
    <n v="22"/>
    <x v="0"/>
    <n v="7274.08"/>
    <n v="337.549941241152"/>
    <n v="6.4057861166326183E-2"/>
  </r>
  <r>
    <s v="Cheese (Local)"/>
    <s v="Dairy"/>
    <s v="Hyderabad"/>
    <n v="914.3"/>
    <x v="11"/>
    <s v="Wholesale Market"/>
    <s v="Above Averg"/>
    <n v="905.6025925925926"/>
    <n v="27"/>
    <x v="11"/>
    <n v="24686.1"/>
    <n v="337.92072993341299"/>
    <n v="2.5738010832070501E-2"/>
  </r>
  <r>
    <s v="Rice (Irri)"/>
    <s v="Grain"/>
    <s v="Peshawar"/>
    <n v="143.85"/>
    <x v="8"/>
    <s v="Municipal Report"/>
    <s v="Low Averg"/>
    <n v="140.29840000000002"/>
    <n v="25"/>
    <x v="8"/>
    <n v="3596.25"/>
    <n v="337.29055759741101"/>
    <n v="1.0529793734217601E-2"/>
  </r>
  <r>
    <s v="Chickpeas"/>
    <s v="Pulses"/>
    <s v="Sialkot"/>
    <n v="241.01"/>
    <x v="1"/>
    <s v="Retailer Listing"/>
    <s v="Low Averg"/>
    <n v="203.25225806451613"/>
    <n v="31"/>
    <x v="1"/>
    <n v="7471.3099999999995"/>
    <n v="337.51032195624902"/>
    <n v="0.11187136949363684"/>
  </r>
  <r>
    <s v="Banana"/>
    <s v="Fruit"/>
    <s v="Islamabad"/>
    <n v="112.71"/>
    <x v="11"/>
    <s v="Municipal Report"/>
    <s v="Low Averg"/>
    <n v="121.60903225806452"/>
    <n v="31"/>
    <x v="11"/>
    <n v="3494.0099999999998"/>
    <n v="337.83889338087999"/>
    <n v="-2.6341053183689369E-2"/>
  </r>
  <r>
    <s v="Yogurt"/>
    <s v="Dairy"/>
    <s v="Rawalpindi"/>
    <n v="228.23"/>
    <x v="6"/>
    <s v="Retailer Listing"/>
    <s v="Low Averg"/>
    <n v="226.49633333333335"/>
    <n v="30"/>
    <x v="6"/>
    <n v="6846.9"/>
    <n v="338.01124015235501"/>
    <n v="5.1290207564849144E-3"/>
  </r>
  <r>
    <s v="Chickpeas"/>
    <s v="Pulses"/>
    <s v="Lahore"/>
    <n v="206.49"/>
    <x v="4"/>
    <s v="Wholesale Market"/>
    <s v="Low Averg"/>
    <n v="203.25225806451613"/>
    <n v="31"/>
    <x v="4"/>
    <n v="6401.1900000000005"/>
    <n v="338.33043350410401"/>
    <n v="9.5697626191957926E-3"/>
  </r>
  <r>
    <s v="Lentils (Moong)"/>
    <s v="Pulses"/>
    <s v="Karachi"/>
    <n v="282.33"/>
    <x v="3"/>
    <s v="Local Market Survey"/>
    <s v="Low Averg"/>
    <n v="304.90820512820511"/>
    <n v="39"/>
    <x v="3"/>
    <n v="11010.869999999999"/>
    <n v="338.62951684075898"/>
    <n v="-6.6675242426733172E-2"/>
  </r>
  <r>
    <s v="Carrot"/>
    <s v="Vegetable"/>
    <s v="Rawalpindi"/>
    <n v="140.49"/>
    <x v="10"/>
    <s v="Local Market Survey"/>
    <s v="Low Averg"/>
    <n v="141.74161290322584"/>
    <n v="31"/>
    <x v="10"/>
    <n v="4355.1900000000005"/>
    <n v="338.98909774252797"/>
    <n v="-3.692192201934676E-3"/>
  </r>
  <r>
    <s v="Mango"/>
    <s v="Fruit"/>
    <s v="Quetta"/>
    <n v="251.19"/>
    <x v="1"/>
    <s v="Online Retailer"/>
    <s v="Low Averg"/>
    <n v="257.40029411764709"/>
    <n v="34"/>
    <x v="1"/>
    <n v="8540.4599999999991"/>
    <n v="339.20648641799801"/>
    <n v="-1.8308300006958777E-2"/>
  </r>
  <r>
    <s v="Lentils (Moong)"/>
    <s v="Pulses"/>
    <s v="Sialkot"/>
    <n v="339.82"/>
    <x v="7"/>
    <s v="Local Market Survey"/>
    <s v="Low Averg"/>
    <n v="304.90820512820511"/>
    <n v="39"/>
    <x v="7"/>
    <n v="13252.98"/>
    <n v="339.54790698304498"/>
    <n v="0.10281846583003137"/>
  </r>
  <r>
    <s v="Lentils (Moong)"/>
    <s v="Pulses"/>
    <s v="Islamabad"/>
    <n v="291.39999999999998"/>
    <x v="2"/>
    <s v="Wholesale Market"/>
    <s v="Low Averg"/>
    <n v="304.90820512820511"/>
    <n v="39"/>
    <x v="2"/>
    <n v="11364.599999999999"/>
    <n v="339.93075646910103"/>
    <n v="-3.9738108044462872E-2"/>
  </r>
  <r>
    <s v="Flour (Atta)"/>
    <s v="Grain"/>
    <s v="Islamabad"/>
    <n v="111.34"/>
    <x v="9"/>
    <s v="Retailer Listing"/>
    <s v="Low Averg"/>
    <n v="113.26108695652174"/>
    <n v="46"/>
    <x v="9"/>
    <n v="5121.6400000000003"/>
    <n v="340.299297795038"/>
    <n v="-5.6452862787827523E-3"/>
  </r>
  <r>
    <s v="Chicken (Whole)"/>
    <s v="Meat"/>
    <s v="Multan"/>
    <n v="535.02"/>
    <x v="11"/>
    <s v="Municipal Report"/>
    <s v="Above Averg"/>
    <n v="533.4588235294118"/>
    <n v="34"/>
    <x v="11"/>
    <n v="18190.68"/>
    <n v="340.47282169844698"/>
    <n v="4.585318918556432E-3"/>
  </r>
  <r>
    <s v="Flour (Atta)"/>
    <s v="Grain"/>
    <s v="Faisalabad"/>
    <n v="103.57"/>
    <x v="6"/>
    <s v="Local Market Survey"/>
    <s v="Low Averg"/>
    <n v="113.26108695652174"/>
    <n v="46"/>
    <x v="6"/>
    <n v="4764.2199999999993"/>
    <n v="340.76365161794598"/>
    <n v="-2.843932124364925E-2"/>
  </r>
  <r>
    <s v="Rice (Basmati)"/>
    <s v="Grain"/>
    <s v="Rawalpindi"/>
    <n v="286.05"/>
    <x v="11"/>
    <s v="Local Market Survey"/>
    <s v="Low Averg"/>
    <n v="309.01727272727271"/>
    <n v="22"/>
    <x v="11"/>
    <n v="6293.1"/>
    <n v="340.92505990366197"/>
    <n v="-6.7367511011841588E-2"/>
  </r>
  <r>
    <s v="Cooking Oil (Sunflower)"/>
    <s v="Oil"/>
    <s v="Hyderabad"/>
    <n v="418.22"/>
    <x v="0"/>
    <s v="Municipal Report"/>
    <s v="Above Averg"/>
    <n v="368.73933333333326"/>
    <n v="30"/>
    <x v="0"/>
    <n v="12546.6"/>
    <n v="341.29496993981502"/>
    <n v="0.1449791852349665"/>
  </r>
  <r>
    <s v="Beef (Local)"/>
    <s v="Meat"/>
    <s v="Quetta"/>
    <n v="1015.62"/>
    <x v="2"/>
    <s v="Municipal Report"/>
    <s v="Above Averg"/>
    <n v="920.12567567567555"/>
    <n v="37"/>
    <x v="2"/>
    <n v="37577.94"/>
    <n v="341.67744685242201"/>
    <n v="0.27948676508804093"/>
  </r>
  <r>
    <s v="Sugar"/>
    <s v="Grain"/>
    <s v="Rawalpindi"/>
    <n v="132.09"/>
    <x v="9"/>
    <s v="Local Market Survey"/>
    <s v="Low Averg"/>
    <n v="122.0377142857143"/>
    <n v="35"/>
    <x v="9"/>
    <n v="4623.1500000000005"/>
    <n v="340.63787066561503"/>
    <n v="2.9510182454591093E-2"/>
  </r>
  <r>
    <s v="Spinach"/>
    <s v="Vegetable"/>
    <s v="Islamabad"/>
    <n v="61.28"/>
    <x v="0"/>
    <s v="Local Market Survey"/>
    <s v="Low Averg"/>
    <n v="62.182121212121217"/>
    <n v="33"/>
    <x v="0"/>
    <n v="2022.24"/>
    <n v="340.84956633079298"/>
    <n v="-2.646684347679971E-3"/>
  </r>
  <r>
    <s v="Mutton"/>
    <s v="Meat"/>
    <s v="Multan"/>
    <n v="1119.33"/>
    <x v="5"/>
    <s v="Retailer Listing"/>
    <s v="Above Averg"/>
    <n v="1235.856"/>
    <n v="25"/>
    <x v="5"/>
    <n v="27983.25"/>
    <n v="340.93257543453097"/>
    <n v="-0.34178605506230503"/>
  </r>
  <r>
    <s v="Apple"/>
    <s v="Fruit"/>
    <s v="Hyderabad"/>
    <n v="196.8"/>
    <x v="1"/>
    <s v="Online Retailer"/>
    <s v="Low Averg"/>
    <n v="206.14838709677423"/>
    <n v="31"/>
    <x v="1"/>
    <n v="6100.8"/>
    <n v="339.38131216292999"/>
    <n v="-2.7545379671012202E-2"/>
  </r>
  <r>
    <s v="Sugar"/>
    <s v="Grain"/>
    <s v="Peshawar"/>
    <n v="125.02"/>
    <x v="4"/>
    <s v="Local Market Survey"/>
    <s v="Low Averg"/>
    <n v="122.0377142857143"/>
    <n v="35"/>
    <x v="4"/>
    <n v="4375.7"/>
    <n v="339.68123278734402"/>
    <n v="8.7796599471032365E-3"/>
  </r>
  <r>
    <s v="Guava"/>
    <s v="Fruit"/>
    <s v="Lahore"/>
    <n v="129.24"/>
    <x v="0"/>
    <s v="Online Retailer"/>
    <s v="Low Averg"/>
    <n v="132.90272727272728"/>
    <n v="22"/>
    <x v="0"/>
    <n v="2843.28"/>
    <n v="339.88207483014401"/>
    <n v="-1.0776464968203205E-2"/>
  </r>
  <r>
    <s v="Spices (Mixed)"/>
    <s v="Condiment"/>
    <s v="Peshawar"/>
    <n v="876.29"/>
    <x v="6"/>
    <s v="Retailer Listing"/>
    <s v="Above Averg"/>
    <n v="810.77454545454566"/>
    <n v="33"/>
    <x v="6"/>
    <n v="28917.57"/>
    <n v="340.08970018229701"/>
    <n v="0.19264168985516555"/>
  </r>
  <r>
    <s v="Wheat"/>
    <s v="Grain"/>
    <s v="Lahore"/>
    <n v="106.22"/>
    <x v="8"/>
    <s v="Municipal Report"/>
    <s v="Low Averg"/>
    <n v="120.53625"/>
    <n v="24"/>
    <x v="8"/>
    <n v="2549.2799999999997"/>
    <n v="339.58267076334101"/>
    <n v="-4.2158364464885051E-2"/>
  </r>
  <r>
    <s v="Maize"/>
    <s v="Grain"/>
    <s v="Hyderabad"/>
    <n v="105.49"/>
    <x v="10"/>
    <s v="Wholesale Market"/>
    <s v="Low Averg"/>
    <n v="102.25285714285715"/>
    <n v="28"/>
    <x v="10"/>
    <n v="2953.72"/>
    <n v="339.75269755404003"/>
    <n v="9.5279386461028827E-3"/>
  </r>
  <r>
    <s v="Tea (Loose)"/>
    <s v="Beverage"/>
    <s v="Islamabad"/>
    <n v="978.39"/>
    <x v="1"/>
    <s v="Municipal Report"/>
    <s v="Above Averg"/>
    <n v="911.5772916666665"/>
    <n v="48"/>
    <x v="1"/>
    <n v="46962.720000000001"/>
    <n v="339.92105892526001"/>
    <n v="0.1965536014290421"/>
  </r>
  <r>
    <s v="Cheese (Local)"/>
    <s v="Dairy"/>
    <s v="Islamabad"/>
    <n v="813.03"/>
    <x v="9"/>
    <s v="Local Market Survey"/>
    <s v="Above Averg"/>
    <n v="905.6025925925926"/>
    <n v="27"/>
    <x v="9"/>
    <n v="21951.809999999998"/>
    <n v="339.00913675463403"/>
    <n v="-0.27306813461961132"/>
  </r>
  <r>
    <s v="Lentils (Moong)"/>
    <s v="Pulses"/>
    <s v="Faisalabad"/>
    <n v="305.68"/>
    <x v="0"/>
    <s v="Retailer Listing"/>
    <s v="Low Averg"/>
    <n v="304.90820512820511"/>
    <n v="39"/>
    <x v="0"/>
    <n v="11921.52"/>
    <n v="338.70127415369501"/>
    <n v="2.2786890120899649E-3"/>
  </r>
  <r>
    <s v="Ghee"/>
    <s v="Oil"/>
    <s v="Rawalpindi"/>
    <n v="1047.04"/>
    <x v="10"/>
    <s v="Retailer Listing"/>
    <s v="Above Averg"/>
    <n v="1024.1451428571424"/>
    <n v="35"/>
    <x v="10"/>
    <n v="36646.400000000001"/>
    <n v="339.091334249255"/>
    <n v="6.751826080588734E-2"/>
  </r>
  <r>
    <s v="Milk"/>
    <s v="Dairy"/>
    <s v="Quetta"/>
    <n v="207.46"/>
    <x v="7"/>
    <s v="Wholesale Market"/>
    <s v="Low Averg"/>
    <n v="206.78702702702708"/>
    <n v="37"/>
    <x v="7"/>
    <n v="7676.02"/>
    <n v="337.84363015922702"/>
    <n v="1.9919658472049742E-3"/>
  </r>
  <r>
    <s v="Eggplant"/>
    <s v="Vegetable"/>
    <s v="Islamabad"/>
    <n v="72.73"/>
    <x v="6"/>
    <s v="Retailer Listing"/>
    <s v="Low Averg"/>
    <n v="81.934666666666672"/>
    <n v="30"/>
    <x v="6"/>
    <n v="2181.9"/>
    <n v="338.16321742052202"/>
    <n v="-2.7219597497560557E-2"/>
  </r>
  <r>
    <s v="Chicken Breast"/>
    <s v="Meat"/>
    <s v="Peshawar"/>
    <n v="619.4"/>
    <x v="7"/>
    <s v="Municipal Report"/>
    <s v="Above Averg"/>
    <n v="673.04079999999988"/>
    <n v="25"/>
    <x v="7"/>
    <n v="15485"/>
    <n v="338.27358288924597"/>
    <n v="-0.15857224067527145"/>
  </r>
  <r>
    <s v="Chicken (Whole)"/>
    <s v="Meat"/>
    <s v="Peshawar"/>
    <n v="554.73"/>
    <x v="8"/>
    <s v="Municipal Report"/>
    <s v="Above Averg"/>
    <n v="533.4588235294118"/>
    <n v="34"/>
    <x v="8"/>
    <n v="18860.82"/>
    <n v="338.44204884975102"/>
    <n v="6.2850276857978143E-2"/>
  </r>
  <r>
    <s v="Fish (Rohu)"/>
    <s v="Meat"/>
    <s v="Lahore"/>
    <n v="663.97"/>
    <x v="0"/>
    <s v="Local Market Survey"/>
    <s v="Above Averg"/>
    <n v="720.27689655172423"/>
    <n v="29"/>
    <x v="0"/>
    <n v="19255.13"/>
    <n v="338.714022774954"/>
    <n v="-0.1662372761848577"/>
  </r>
  <r>
    <s v="Apple"/>
    <s v="Fruit"/>
    <s v="Peshawar"/>
    <n v="218.89"/>
    <x v="4"/>
    <s v="Municipal Report"/>
    <s v="Low Averg"/>
    <n v="206.14838709677423"/>
    <n v="31"/>
    <x v="4"/>
    <n v="6785.5899999999992"/>
    <n v="338.79293422573397"/>
    <n v="3.7608850764095814E-2"/>
  </r>
  <r>
    <s v="Apple"/>
    <s v="Fruit"/>
    <s v="Rawalpindi"/>
    <n v="185.56"/>
    <x v="10"/>
    <s v="Wholesale Market"/>
    <s v="Low Averg"/>
    <n v="206.14838709677423"/>
    <n v="31"/>
    <x v="10"/>
    <n v="5752.36"/>
    <n v="339.13048132998603"/>
    <n v="-6.0709338234745683E-2"/>
  </r>
  <r>
    <s v="Onion"/>
    <s v="Vegetable"/>
    <s v="Hyderabad"/>
    <n v="92.14"/>
    <x v="4"/>
    <s v="Retailer Listing"/>
    <s v="Low Averg"/>
    <n v="90.269599999999997"/>
    <n v="25"/>
    <x v="4"/>
    <n v="2303.5"/>
    <n v="339.431512692083"/>
    <n v="5.5103899610427342E-3"/>
  </r>
  <r>
    <s v="Sugar"/>
    <s v="Grain"/>
    <s v="Multan"/>
    <n v="129.19999999999999"/>
    <x v="1"/>
    <s v="Local Market Survey"/>
    <s v="Low Averg"/>
    <n v="122.0377142857143"/>
    <n v="35"/>
    <x v="1"/>
    <n v="4522"/>
    <n v="339.58541173370003"/>
    <n v="2.1091264426583468E-2"/>
  </r>
  <r>
    <s v="Cooking Oil (Sunflower)"/>
    <s v="Oil"/>
    <s v="Quetta"/>
    <n v="334.31"/>
    <x v="2"/>
    <s v="Retailer Listing"/>
    <s v="Low Averg"/>
    <n v="368.73933333333326"/>
    <n v="30"/>
    <x v="2"/>
    <n v="10029.299999999999"/>
    <n v="339.80514634091998"/>
    <n v="-0.10132081195377475"/>
  </r>
  <r>
    <s v="Fish (Pomfret)"/>
    <s v="Meat"/>
    <s v="Rawalpindi"/>
    <n v="991.07"/>
    <x v="7"/>
    <s v="Retailer Listing"/>
    <s v="Above Averg"/>
    <n v="1113.4854166666667"/>
    <n v="24"/>
    <x v="7"/>
    <n v="23785.68"/>
    <n v="340.21564202353397"/>
    <n v="-0.35981713227106316"/>
  </r>
  <r>
    <s v="Yogurt"/>
    <s v="Dairy"/>
    <s v="Multan"/>
    <n v="228.57"/>
    <x v="0"/>
    <s v="Retailer Listing"/>
    <s v="Low Averg"/>
    <n v="226.49633333333335"/>
    <n v="30"/>
    <x v="0"/>
    <n v="6857.0999999999995"/>
    <n v="339.204922877532"/>
    <n v="6.1133153642800317E-3"/>
  </r>
  <r>
    <s v="Wheat"/>
    <s v="Grain"/>
    <s v="Lahore"/>
    <n v="110.57"/>
    <x v="1"/>
    <s v="Online Retailer"/>
    <s v="Low Averg"/>
    <n v="120.53625"/>
    <n v="24"/>
    <x v="1"/>
    <n v="2653.68"/>
    <n v="339.557018650575"/>
    <n v="-2.9350740678565933E-2"/>
  </r>
  <r>
    <s v="Spices (Mixed)"/>
    <s v="Condiment"/>
    <s v="Faisalabad"/>
    <n v="755.7"/>
    <x v="0"/>
    <s v="Wholesale Market"/>
    <s v="Above Averg"/>
    <n v="810.77454545454566"/>
    <n v="33"/>
    <x v="0"/>
    <n v="24938.100000000002"/>
    <n v="339.74743848375903"/>
    <n v="-0.16210437288456067"/>
  </r>
  <r>
    <s v="Beef (Local)"/>
    <s v="Meat"/>
    <s v="Islamabad"/>
    <n v="956.77"/>
    <x v="7"/>
    <s v="Municipal Report"/>
    <s v="Above Averg"/>
    <n v="920.12567567567555"/>
    <n v="37"/>
    <x v="7"/>
    <n v="35400.49"/>
    <n v="339.59986277306598"/>
    <n v="0.10790441440434742"/>
  </r>
  <r>
    <s v="Wheat"/>
    <s v="Grain"/>
    <s v="Hyderabad"/>
    <n v="116.13"/>
    <x v="1"/>
    <s v="Online Retailer"/>
    <s v="Low Averg"/>
    <n v="120.53625"/>
    <n v="24"/>
    <x v="1"/>
    <n v="2787.12"/>
    <n v="338.72209277621198"/>
    <n v="-1.3008451748410563E-2"/>
  </r>
  <r>
    <s v="Chickpeas"/>
    <s v="Pulses"/>
    <s v="Multan"/>
    <n v="195.16"/>
    <x v="10"/>
    <s v="Local Market Survey"/>
    <s v="Low Averg"/>
    <n v="203.25225806451613"/>
    <n v="31"/>
    <x v="10"/>
    <n v="6049.96"/>
    <n v="338.92559590913601"/>
    <n v="-2.3876208118213702E-2"/>
  </r>
  <r>
    <s v="Apple"/>
    <s v="Fruit"/>
    <s v="Faisalabad"/>
    <n v="217.66"/>
    <x v="2"/>
    <s v="Municipal Report"/>
    <s v="Low Averg"/>
    <n v="206.14838709677423"/>
    <n v="31"/>
    <x v="2"/>
    <n v="6747.46"/>
    <n v="339.24654100049497"/>
    <n v="3.3932882172581891E-2"/>
  </r>
  <r>
    <s v="Chicken (Whole)"/>
    <s v="Meat"/>
    <s v="Hyderabad"/>
    <n v="585.86"/>
    <x v="5"/>
    <s v="Online Retailer"/>
    <s v="Above Averg"/>
    <n v="533.4588235294118"/>
    <n v="34"/>
    <x v="5"/>
    <n v="19919.240000000002"/>
    <n v="339.59351639848097"/>
    <n v="0.15430558576713335"/>
  </r>
  <r>
    <s v="Fish (Pomfret)"/>
    <s v="Meat"/>
    <s v="Karachi"/>
    <n v="1178.68"/>
    <x v="0"/>
    <s v="Wholesale Market"/>
    <s v="Above Averg"/>
    <n v="1113.4854166666667"/>
    <n v="24"/>
    <x v="0"/>
    <n v="28288.32"/>
    <n v="339.82824925580701"/>
    <n v="0.19184568521335005"/>
  </r>
  <r>
    <s v="Apple"/>
    <s v="Fruit"/>
    <s v="Multan"/>
    <n v="229.74"/>
    <x v="7"/>
    <s v="Online Retailer"/>
    <s v="Low Averg"/>
    <n v="206.14838709677423"/>
    <n v="31"/>
    <x v="7"/>
    <n v="7121.9400000000005"/>
    <n v="337.77611534352599"/>
    <n v="6.9843934581438866E-2"/>
  </r>
  <r>
    <s v="Carrot"/>
    <s v="Vegetable"/>
    <s v="Faisalabad"/>
    <n v="134.29"/>
    <x v="10"/>
    <s v="Municipal Report"/>
    <s v="Low Averg"/>
    <n v="141.74161290322584"/>
    <n v="31"/>
    <x v="10"/>
    <n v="4162.99"/>
    <n v="338.13783175444502"/>
    <n v="-2.2037205551838978E-2"/>
  </r>
  <r>
    <s v="Cheese (Local)"/>
    <s v="Dairy"/>
    <s v="Rawalpindi"/>
    <n v="999.98"/>
    <x v="7"/>
    <s v="Municipal Report"/>
    <s v="Above Averg"/>
    <n v="905.6025925925926"/>
    <n v="27"/>
    <x v="7"/>
    <n v="26999.46"/>
    <n v="338.37627788555"/>
    <n v="0.27891259989368689"/>
  </r>
  <r>
    <s v="Beef (Local)"/>
    <s v="Meat"/>
    <s v="Peshawar"/>
    <n v="868.04"/>
    <x v="0"/>
    <s v="Online Retailer"/>
    <s v="Above Averg"/>
    <n v="920.12567567567555"/>
    <n v="37"/>
    <x v="0"/>
    <n v="32117.48"/>
    <n v="337.26614133085502"/>
    <n v="-0.15443493814749704"/>
  </r>
  <r>
    <s v="Tea (Loose)"/>
    <s v="Beverage"/>
    <s v="Quetta"/>
    <n v="834.83"/>
    <x v="6"/>
    <s v="Retailer Listing"/>
    <s v="Above Averg"/>
    <n v="911.5772916666665"/>
    <n v="48"/>
    <x v="6"/>
    <n v="40071.840000000004"/>
    <n v="336.71086913849001"/>
    <n v="-0.22793232622110604"/>
  </r>
  <r>
    <s v="Spinach"/>
    <s v="Vegetable"/>
    <s v="Lahore"/>
    <n v="53.38"/>
    <x v="11"/>
    <s v="Wholesale Market"/>
    <s v="Low Averg"/>
    <n v="62.182121212121217"/>
    <n v="33"/>
    <x v="11"/>
    <n v="1761.5400000000002"/>
    <n v="336.27099090547603"/>
    <n v="-2.6175678099439281E-2"/>
  </r>
  <r>
    <s v="Tea (Loose)"/>
    <s v="Beverage"/>
    <s v="Hyderabad"/>
    <n v="829.06"/>
    <x v="6"/>
    <s v="Municipal Report"/>
    <s v="Above Averg"/>
    <n v="911.5772916666665"/>
    <n v="48"/>
    <x v="6"/>
    <n v="39794.879999999997"/>
    <n v="336.35555825695599"/>
    <n v="-0.2453275697130837"/>
  </r>
  <r>
    <s v="Spinach"/>
    <s v="Vegetable"/>
    <s v="Islamabad"/>
    <n v="58.93"/>
    <x v="3"/>
    <s v="Online Retailer"/>
    <s v="Low Averg"/>
    <n v="62.182121212121217"/>
    <n v="33"/>
    <x v="3"/>
    <n v="1944.69"/>
    <n v="335.93128708220303"/>
    <n v="-9.6809119518701369E-3"/>
  </r>
  <r>
    <s v="Rice (Irri)"/>
    <s v="Grain"/>
    <s v="Hyderabad"/>
    <n v="154.41999999999999"/>
    <x v="11"/>
    <s v="Local Market Survey"/>
    <s v="Low Averg"/>
    <n v="140.29840000000002"/>
    <n v="25"/>
    <x v="11"/>
    <n v="3860.4999999999995"/>
    <n v="336.02904014688301"/>
    <n v="4.202493925473591E-2"/>
  </r>
  <r>
    <s v="Potato"/>
    <s v="Vegetable"/>
    <s v="Lahore"/>
    <n v="73.81"/>
    <x v="2"/>
    <s v="Wholesale Market"/>
    <s v="Low Averg"/>
    <n v="70.278611111111118"/>
    <n v="36"/>
    <x v="2"/>
    <n v="2657.16"/>
    <n v="336.30546534158799"/>
    <n v="1.0500539696261035E-2"/>
  </r>
  <r>
    <s v="Onion"/>
    <s v="Vegetable"/>
    <s v="Rawalpindi"/>
    <n v="82.45"/>
    <x v="1"/>
    <s v="Local Market Survey"/>
    <s v="Low Averg"/>
    <n v="90.269599999999997"/>
    <n v="25"/>
    <x v="1"/>
    <n v="2061.25"/>
    <n v="336.43444756117498"/>
    <n v="-2.3242566439568086E-2"/>
  </r>
  <r>
    <s v="Tea (Loose)"/>
    <s v="Beverage"/>
    <s v="Hyderabad"/>
    <n v="951.1"/>
    <x v="7"/>
    <s v="Wholesale Market"/>
    <s v="Above Averg"/>
    <n v="911.5772916666665"/>
    <n v="48"/>
    <x v="7"/>
    <n v="45652.800000000003"/>
    <n v="336.58080560673"/>
    <n v="0.11742413017904804"/>
  </r>
  <r>
    <s v="Beef (Local)"/>
    <s v="Meat"/>
    <s v="Karachi"/>
    <n v="832.63"/>
    <x v="10"/>
    <s v="Retailer Listing"/>
    <s v="Above Averg"/>
    <n v="920.12567567567555"/>
    <n v="37"/>
    <x v="10"/>
    <n v="30807.31"/>
    <n v="335.65739415418102"/>
    <n v="-0.26066959107561105"/>
  </r>
  <r>
    <s v="Spices (Mixed)"/>
    <s v="Condiment"/>
    <s v="Sialkot"/>
    <n v="921.15"/>
    <x v="3"/>
    <s v="Online Retailer"/>
    <s v="Above Averg"/>
    <n v="810.77454545454566"/>
    <n v="33"/>
    <x v="3"/>
    <n v="30397.95"/>
    <n v="335.21052294256702"/>
    <n v="0.32927204544937688"/>
  </r>
  <r>
    <s v="Mutton"/>
    <s v="Meat"/>
    <s v="Quetta"/>
    <n v="1359.63"/>
    <x v="0"/>
    <s v="Retailer Listing"/>
    <s v="Above Averg"/>
    <n v="1235.856"/>
    <n v="25"/>
    <x v="0"/>
    <n v="33990.75"/>
    <n v="334.39744147333101"/>
    <n v="0.37014039178846825"/>
  </r>
  <r>
    <s v="Salt"/>
    <s v="Condiment"/>
    <s v="Lahore"/>
    <n v="40.57"/>
    <x v="3"/>
    <s v="Wholesale Market"/>
    <s v="Low Averg"/>
    <n v="40.881379310344826"/>
    <n v="29"/>
    <x v="3"/>
    <n v="1176.53"/>
    <n v="330.869062611549"/>
    <n v="-9.4109527160717141E-4"/>
  </r>
  <r>
    <s v="Cooking Oil (Sunflower)"/>
    <s v="Oil"/>
    <s v="Quetta"/>
    <n v="363.92"/>
    <x v="9"/>
    <s v="Wholesale Market"/>
    <s v="Low Averg"/>
    <n v="368.73933333333326"/>
    <n v="30"/>
    <x v="9"/>
    <n v="10917.6"/>
    <n v="330.92336562565703"/>
    <n v="-1.4563291184415529E-2"/>
  </r>
  <r>
    <s v="Cooking Oil (Sunflower)"/>
    <s v="Oil"/>
    <s v="Lahore"/>
    <n v="355.41"/>
    <x v="5"/>
    <s v="Online Retailer"/>
    <s v="Low Averg"/>
    <n v="368.73933333333326"/>
    <n v="30"/>
    <x v="5"/>
    <n v="10662.300000000001"/>
    <n v="331.35323634438799"/>
    <n v="-4.0226959846197355E-2"/>
  </r>
  <r>
    <s v="Spinach"/>
    <s v="Vegetable"/>
    <s v="Quetta"/>
    <n v="64.61"/>
    <x v="0"/>
    <s v="Wholesale Market"/>
    <s v="Low Averg"/>
    <n v="62.182121212121217"/>
    <n v="33"/>
    <x v="0"/>
    <n v="2132.13"/>
    <n v="331.78542286213099"/>
    <n v="7.3176174134921383E-3"/>
  </r>
  <r>
    <s v="Yogurt"/>
    <s v="Dairy"/>
    <s v="Lahore"/>
    <n v="221.14"/>
    <x v="2"/>
    <s v="Online Retailer"/>
    <s v="Low Averg"/>
    <n v="226.49633333333335"/>
    <n v="30"/>
    <x v="2"/>
    <n v="6634.2"/>
    <n v="331.89713016613501"/>
    <n v="-1.6138534643707802E-2"/>
  </r>
  <r>
    <s v="Yogurt"/>
    <s v="Dairy"/>
    <s v="Hyderabad"/>
    <n v="225.36"/>
    <x v="9"/>
    <s v="Wholesale Market"/>
    <s v="Low Averg"/>
    <n v="226.49633333333335"/>
    <n v="30"/>
    <x v="9"/>
    <n v="6760.8"/>
    <n v="332.26571283079397"/>
    <n v="-3.4199536378645753E-3"/>
  </r>
  <r>
    <s v="Oranges"/>
    <s v="Fruit"/>
    <s v="Quetta"/>
    <n v="162.62"/>
    <x v="7"/>
    <s v="Municipal Report"/>
    <s v="Low Averg"/>
    <n v="151.26457142857143"/>
    <n v="35"/>
    <x v="7"/>
    <n v="5691.7"/>
    <n v="332.639758033958"/>
    <n v="3.4137316112012504E-2"/>
  </r>
  <r>
    <s v="Oranges"/>
    <s v="Fruit"/>
    <s v="Hyderabad"/>
    <n v="174.32"/>
    <x v="5"/>
    <s v="Wholesale Market"/>
    <s v="Low Averg"/>
    <n v="151.26457142857143"/>
    <n v="35"/>
    <x v="5"/>
    <n v="6101.2"/>
    <n v="332.93646345764"/>
    <n v="6.9248733923558181E-2"/>
  </r>
  <r>
    <s v="Tea (Loose)"/>
    <s v="Beverage"/>
    <s v="Rawalpindi"/>
    <n v="798.49"/>
    <x v="9"/>
    <s v="Retailer Listing"/>
    <s v="Above Averg"/>
    <n v="911.5772916666665"/>
    <n v="48"/>
    <x v="9"/>
    <n v="38327.520000000004"/>
    <n v="333.25082247236497"/>
    <n v="-0.33934587416072864"/>
  </r>
  <r>
    <s v="Banana"/>
    <s v="Fruit"/>
    <s v="Rawalpindi"/>
    <n v="131.93"/>
    <x v="3"/>
    <s v="Local Market Survey"/>
    <s v="Low Averg"/>
    <n v="121.60903225806452"/>
    <n v="31"/>
    <x v="3"/>
    <n v="4089.8300000000004"/>
    <n v="332.89912289355101"/>
    <n v="3.1003289081166365E-2"/>
  </r>
  <r>
    <s v="Rice (Basmati)"/>
    <s v="Grain"/>
    <s v="Hyderabad"/>
    <n v="325.55"/>
    <x v="0"/>
    <s v="Municipal Report"/>
    <s v="Low Averg"/>
    <n v="309.01727272727271"/>
    <n v="22"/>
    <x v="0"/>
    <n v="7162.1"/>
    <n v="333.14883551766599"/>
    <n v="4.9625649289867062E-2"/>
  </r>
  <r>
    <s v="Beef (Local)"/>
    <s v="Meat"/>
    <s v="Peshawar"/>
    <n v="868.32"/>
    <x v="3"/>
    <s v="Municipal Report"/>
    <s v="Above Averg"/>
    <n v="920.12567567567555"/>
    <n v="37"/>
    <x v="3"/>
    <n v="32127.84"/>
    <n v="333.589942939369"/>
    <n v="-0.15529747455573426"/>
  </r>
  <r>
    <s v="Banana"/>
    <s v="Fruit"/>
    <s v="Quetta"/>
    <n v="123.79"/>
    <x v="4"/>
    <s v="Wholesale Market"/>
    <s v="Low Averg"/>
    <n v="121.60903225806452"/>
    <n v="31"/>
    <x v="4"/>
    <n v="3837.4900000000002"/>
    <n v="332.96423591197401"/>
    <n v="6.5501561630543223E-3"/>
  </r>
  <r>
    <s v="Spinach"/>
    <s v="Vegetable"/>
    <s v="Rawalpindi"/>
    <n v="55.43"/>
    <x v="2"/>
    <s v="Wholesale Market"/>
    <s v="Low Averg"/>
    <n v="62.182121212121217"/>
    <n v="33"/>
    <x v="2"/>
    <n v="1829.19"/>
    <n v="333.20272714484202"/>
    <n v="-2.0264303566717493E-2"/>
  </r>
  <r>
    <s v="Banana"/>
    <s v="Fruit"/>
    <s v="Peshawar"/>
    <n v="130.13"/>
    <x v="6"/>
    <s v="Online Retailer"/>
    <s v="Low Averg"/>
    <n v="121.60903225806452"/>
    <n v="31"/>
    <x v="6"/>
    <n v="4034.0299999999997"/>
    <n v="333.29659663071101"/>
    <n v="2.5565720826656441E-2"/>
  </r>
  <r>
    <s v="Tomato"/>
    <s v="Vegetable"/>
    <s v="Rawalpindi"/>
    <n v="120.96"/>
    <x v="0"/>
    <s v="Municipal Report"/>
    <s v="Low Averg"/>
    <n v="123.43305555555558"/>
    <n v="36"/>
    <x v="0"/>
    <n v="4354.5599999999995"/>
    <n v="333.54600859165998"/>
    <n v="-7.4144360653501341E-3"/>
  </r>
  <r>
    <s v="Sugar"/>
    <s v="Grain"/>
    <s v="Multan"/>
    <n v="127.92"/>
    <x v="1"/>
    <s v="Local Market Survey"/>
    <s v="Low Averg"/>
    <n v="122.0377142857143"/>
    <n v="35"/>
    <x v="1"/>
    <n v="4477.2"/>
    <n v="333.77859503625098"/>
    <n v="1.7623316179537631E-2"/>
  </r>
  <r>
    <s v="Carrot"/>
    <s v="Vegetable"/>
    <s v="Peshawar"/>
    <n v="161.54"/>
    <x v="1"/>
    <s v="Municipal Report"/>
    <s v="Low Averg"/>
    <n v="141.74161290322584"/>
    <n v="31"/>
    <x v="1"/>
    <n v="5007.74"/>
    <n v="334.024055617508"/>
    <n v="5.9272339113938984E-2"/>
  </r>
  <r>
    <s v="Milk"/>
    <s v="Dairy"/>
    <s v="Peshawar"/>
    <n v="216.12"/>
    <x v="11"/>
    <s v="Municipal Report"/>
    <s v="Low Averg"/>
    <n v="206.78702702702708"/>
    <n v="37"/>
    <x v="11"/>
    <n v="7996.4400000000005"/>
    <n v="334.32686013004002"/>
    <n v="2.791571388952346E-2"/>
  </r>
  <r>
    <s v="Carrot"/>
    <s v="Vegetable"/>
    <s v="Sialkot"/>
    <n v="148.09"/>
    <x v="3"/>
    <s v="Wholesale Market"/>
    <s v="Low Averg"/>
    <n v="141.74161290322584"/>
    <n v="31"/>
    <x v="3"/>
    <n v="4590.79"/>
    <n v="334.70399584546601"/>
    <n v="1.8967168529727484E-2"/>
  </r>
  <r>
    <s v="Grapes"/>
    <s v="Fruit"/>
    <s v="Multan"/>
    <n v="257.62"/>
    <x v="4"/>
    <s v="Local Market Survey"/>
    <s v="Low Averg"/>
    <n v="226.566129032258"/>
    <n v="31"/>
    <x v="4"/>
    <n v="7986.22"/>
    <n v="334.98627832646599"/>
    <n v="9.2701919382733575E-2"/>
  </r>
  <r>
    <s v="Lentils (Moong)"/>
    <s v="Pulses"/>
    <s v="Quetta"/>
    <n v="345.47"/>
    <x v="5"/>
    <s v="Online Retailer"/>
    <s v="Low Averg"/>
    <n v="304.90820512820511"/>
    <n v="39"/>
    <x v="5"/>
    <n v="13473.330000000002"/>
    <n v="335.40574156137399"/>
    <n v="0.12093351378832239"/>
  </r>
  <r>
    <s v="Beef (Local)"/>
    <s v="Meat"/>
    <s v="Faisalabad"/>
    <n v="853.04"/>
    <x v="0"/>
    <s v="Online Retailer"/>
    <s v="Above Averg"/>
    <n v="920.12567567567555"/>
    <n v="37"/>
    <x v="0"/>
    <n v="31562.48"/>
    <n v="335.86572599844698"/>
    <n v="-0.19973956996131778"/>
  </r>
  <r>
    <s v="Potato"/>
    <s v="Vegetable"/>
    <s v="Multan"/>
    <n v="67.89"/>
    <x v="4"/>
    <s v="Retailer Listing"/>
    <s v="Low Averg"/>
    <n v="70.278611111111118"/>
    <n v="36"/>
    <x v="4"/>
    <n v="2444.04"/>
    <n v="335.31046551496399"/>
    <n v="-7.1235805522584274E-3"/>
  </r>
  <r>
    <s v="Flour (Atta)"/>
    <s v="Grain"/>
    <s v="Faisalabad"/>
    <n v="119.86"/>
    <x v="1"/>
    <s v="Wholesale Market"/>
    <s v="Low Averg"/>
    <n v="113.26108695652174"/>
    <n v="46"/>
    <x v="1"/>
    <n v="5513.56"/>
    <n v="335.43481144453602"/>
    <n v="1.9672713798130608E-2"/>
  </r>
  <r>
    <s v="Onion"/>
    <s v="Vegetable"/>
    <s v="Quetta"/>
    <n v="93.44"/>
    <x v="6"/>
    <s v="Municipal Report"/>
    <s v="Low Averg"/>
    <n v="90.269599999999997"/>
    <n v="25"/>
    <x v="6"/>
    <n v="2336"/>
    <n v="335.67026930514203"/>
    <n v="9.4449830381550404E-3"/>
  </r>
  <r>
    <s v="Salt"/>
    <s v="Condiment"/>
    <s v="Rawalpindi"/>
    <n v="37.25"/>
    <x v="2"/>
    <s v="Local Market Survey"/>
    <s v="Low Averg"/>
    <n v="40.881379310344826"/>
    <n v="29"/>
    <x v="2"/>
    <n v="1080.25"/>
    <n v="335.85102796643503"/>
    <n v="-1.0812470434682565E-2"/>
  </r>
  <r>
    <s v="Potato"/>
    <s v="Vegetable"/>
    <s v="Islamabad"/>
    <n v="74.400000000000006"/>
    <x v="5"/>
    <s v="Wholesale Market"/>
    <s v="Low Averg"/>
    <n v="70.278611111111118"/>
    <n v="36"/>
    <x v="5"/>
    <n v="2678.4"/>
    <n v="335.89511684270502"/>
    <n v="1.2269868426872298E-2"/>
  </r>
  <r>
    <s v="Apple"/>
    <s v="Fruit"/>
    <s v="Multan"/>
    <n v="221"/>
    <x v="5"/>
    <s v="Municipal Report"/>
    <s v="Low Averg"/>
    <n v="206.14838709677423"/>
    <n v="31"/>
    <x v="5"/>
    <n v="6851"/>
    <n v="336.03045942234098"/>
    <n v="4.4197222265971649E-2"/>
  </r>
  <r>
    <s v="Salt"/>
    <s v="Condiment"/>
    <s v="Karachi"/>
    <n v="36.89"/>
    <x v="1"/>
    <s v="Municipal Report"/>
    <s v="Low Averg"/>
    <n v="40.881379310344826"/>
    <n v="29"/>
    <x v="1"/>
    <n v="1069.81"/>
    <n v="336.42228657122803"/>
    <n v="-1.1864194108614034E-2"/>
  </r>
  <r>
    <s v="Tomato"/>
    <s v="Vegetable"/>
    <s v="Sialkot"/>
    <n v="114.13"/>
    <x v="9"/>
    <s v="Online Retailer"/>
    <s v="Low Averg"/>
    <n v="123.43305555555558"/>
    <n v="36"/>
    <x v="9"/>
    <n v="4108.68"/>
    <n v="336.461779515518"/>
    <n v="-2.7649665198083873E-2"/>
  </r>
  <r>
    <s v="Cheese (Local)"/>
    <s v="Dairy"/>
    <s v="Quetta"/>
    <n v="883.43"/>
    <x v="4"/>
    <s v="Local Market Survey"/>
    <s v="Above Averg"/>
    <n v="905.6025925925926"/>
    <n v="27"/>
    <x v="4"/>
    <n v="23852.609999999997"/>
    <n v="336.68307492607602"/>
    <n v="-6.5855976269258515E-2"/>
  </r>
  <r>
    <s v="Mango"/>
    <s v="Fruit"/>
    <s v="Sialkot"/>
    <n v="277.88"/>
    <x v="0"/>
    <s v="Wholesale Market"/>
    <s v="Low Averg"/>
    <n v="257.40029411764709"/>
    <n v="34"/>
    <x v="0"/>
    <n v="9447.92"/>
    <n v="336.005693245408"/>
    <n v="6.0950472846289454E-2"/>
  </r>
  <r>
    <s v="Cooking Oil (Sunflower)"/>
    <s v="Oil"/>
    <s v="Lahore"/>
    <n v="367.03"/>
    <x v="2"/>
    <s v="Local Market Survey"/>
    <s v="Low Averg"/>
    <n v="368.73933333333326"/>
    <n v="30"/>
    <x v="2"/>
    <n v="11010.9"/>
    <n v="336.45377136299902"/>
    <n v="-5.0804404016892291E-3"/>
  </r>
  <r>
    <s v="Lentils (Moong)"/>
    <s v="Pulses"/>
    <s v="Quetta"/>
    <n v="293.89999999999998"/>
    <x v="5"/>
    <s v="Retailer Listing"/>
    <s v="Low Averg"/>
    <n v="304.90820512820511"/>
    <n v="39"/>
    <x v="5"/>
    <n v="11462.099999999999"/>
    <n v="336.93106603074398"/>
    <n v="-3.2671980229928302E-2"/>
  </r>
  <r>
    <s v="Yogurt"/>
    <s v="Dairy"/>
    <s v="Faisalabad"/>
    <n v="222.11"/>
    <x v="11"/>
    <s v="Online Retailer"/>
    <s v="Low Averg"/>
    <n v="226.49633333333335"/>
    <n v="30"/>
    <x v="11"/>
    <n v="6663.3"/>
    <n v="337.392841400772"/>
    <n v="-1.3000671013416776E-2"/>
  </r>
  <r>
    <s v="Mango"/>
    <s v="Fruit"/>
    <s v="Multan"/>
    <n v="236.08"/>
    <x v="5"/>
    <s v="Local Market Survey"/>
    <s v="Low Averg"/>
    <n v="257.40029411764709"/>
    <n v="34"/>
    <x v="5"/>
    <n v="8026.72"/>
    <n v="337.79502231720699"/>
    <n v="-6.3116069536472391E-2"/>
  </r>
  <r>
    <s v="Guava"/>
    <s v="Fruit"/>
    <s v="Peshawar"/>
    <n v="129.88999999999999"/>
    <x v="9"/>
    <s v="Online Retailer"/>
    <s v="Low Averg"/>
    <n v="132.90272727272728"/>
    <n v="22"/>
    <x v="9"/>
    <n v="2857.58"/>
    <n v="338.21403592574802"/>
    <n v="-8.9077535309288816E-3"/>
  </r>
  <r>
    <s v="Lentils (Masoor)"/>
    <s v="Pulses"/>
    <s v="Islamabad"/>
    <n v="255.05"/>
    <x v="3"/>
    <s v="Local Market Survey"/>
    <s v="Low Averg"/>
    <n v="249.29749999999999"/>
    <n v="32"/>
    <x v="3"/>
    <n v="8161.6"/>
    <n v="338.474793873583"/>
    <n v="1.699535712590914E-2"/>
  </r>
  <r>
    <s v="Tomato"/>
    <s v="Vegetable"/>
    <s v="Lahore"/>
    <n v="129.84"/>
    <x v="3"/>
    <s v="Online Retailer"/>
    <s v="Low Averg"/>
    <n v="123.43305555555558"/>
    <n v="36"/>
    <x v="3"/>
    <n v="4674.24"/>
    <n v="338.91483914053401"/>
    <n v="1.8904290118107587E-2"/>
  </r>
  <r>
    <s v="Guava"/>
    <s v="Fruit"/>
    <s v="Peshawar"/>
    <n v="144.54"/>
    <x v="1"/>
    <s v="Retailer Listing"/>
    <s v="Low Averg"/>
    <n v="132.90272727272728"/>
    <n v="22"/>
    <x v="1"/>
    <n v="3179.8799999999997"/>
    <n v="339.17658907370901"/>
    <n v="3.4310365461997533E-2"/>
  </r>
  <r>
    <s v="Sugar"/>
    <s v="Grain"/>
    <s v="Karachi"/>
    <n v="113.03"/>
    <x v="4"/>
    <s v="Online Retailer"/>
    <s v="Low Averg"/>
    <n v="122.0377142857143"/>
    <n v="35"/>
    <x v="4"/>
    <n v="3956.05"/>
    <n v="339.46655429515801"/>
    <n v="-2.653490946823088E-2"/>
  </r>
  <r>
    <s v="Chicken (Whole)"/>
    <s v="Meat"/>
    <s v="Islamabad"/>
    <n v="515.49"/>
    <x v="5"/>
    <s v="Retailer Listing"/>
    <s v="Above Averg"/>
    <n v="533.4588235294118"/>
    <n v="34"/>
    <x v="5"/>
    <n v="17526.66"/>
    <n v="339.69372444043103"/>
    <n v="-5.2897131258492887E-2"/>
  </r>
  <r>
    <s v="Cooking Oil (Sunflower)"/>
    <s v="Oil"/>
    <s v="Hyderabad"/>
    <n v="349.01"/>
    <x v="9"/>
    <s v="Municipal Report"/>
    <s v="Low Averg"/>
    <n v="368.73933333333326"/>
    <n v="30"/>
    <x v="9"/>
    <n v="10470.299999999999"/>
    <n v="340.08822778859002"/>
    <n v="-5.8012397140655141E-2"/>
  </r>
  <r>
    <s v="Milk"/>
    <s v="Dairy"/>
    <s v="Hyderabad"/>
    <n v="226.12"/>
    <x v="0"/>
    <s v="Online Retailer"/>
    <s v="Low Averg"/>
    <n v="206.78702702702708"/>
    <n v="37"/>
    <x v="0"/>
    <n v="8366.44"/>
    <n v="340.58431256610498"/>
    <n v="5.6764132285806713E-2"/>
  </r>
  <r>
    <s v="Lentils (Masoor)"/>
    <s v="Pulses"/>
    <s v="Sialkot"/>
    <n v="270.45"/>
    <x v="8"/>
    <s v="Online Retailer"/>
    <s v="Low Averg"/>
    <n v="249.29749999999999"/>
    <n v="32"/>
    <x v="8"/>
    <n v="8654.4"/>
    <n v="341.00335849173001"/>
    <n v="6.2030180856746581E-2"/>
  </r>
  <r>
    <s v="Apple"/>
    <s v="Fruit"/>
    <s v="Lahore"/>
    <n v="197.31"/>
    <x v="5"/>
    <s v="Online Retailer"/>
    <s v="Low Averg"/>
    <n v="206.14838709677423"/>
    <n v="31"/>
    <x v="5"/>
    <n v="6116.61"/>
    <n v="341.46770234056902"/>
    <n v="-2.5883522910635632E-2"/>
  </r>
  <r>
    <s v="Tea (Loose)"/>
    <s v="Beverage"/>
    <s v="Karachi"/>
    <n v="907.25"/>
    <x v="7"/>
    <s v="Municipal Report"/>
    <s v="Above Averg"/>
    <n v="911.5772916666665"/>
    <n v="48"/>
    <x v="7"/>
    <n v="43548"/>
    <n v="341.85222416295699"/>
    <n v="-1.2658369204009413E-2"/>
  </r>
  <r>
    <s v="Yogurt"/>
    <s v="Dairy"/>
    <s v="Hyderabad"/>
    <n v="215.45"/>
    <x v="0"/>
    <s v="Online Retailer"/>
    <s v="Low Averg"/>
    <n v="226.49633333333335"/>
    <n v="30"/>
    <x v="0"/>
    <n v="6463.5"/>
    <n v="341.07368934721097"/>
    <n v="-3.2386940647562715E-2"/>
  </r>
  <r>
    <s v="Spices (Mixed)"/>
    <s v="Condiment"/>
    <s v="Faisalabad"/>
    <n v="793.31"/>
    <x v="7"/>
    <s v="Wholesale Market"/>
    <s v="Above Averg"/>
    <n v="810.77454545454566"/>
    <n v="33"/>
    <x v="7"/>
    <n v="26179.23"/>
    <n v="341.48595689439799"/>
    <n v="-5.1142792556902995E-2"/>
  </r>
  <r>
    <s v="Salt"/>
    <s v="Condiment"/>
    <s v="Hyderabad"/>
    <n v="42.26"/>
    <x v="4"/>
    <s v="Online Retailer"/>
    <s v="Low Averg"/>
    <n v="40.881379310344826"/>
    <n v="29"/>
    <x v="4"/>
    <n v="1225.54"/>
    <n v="341.182042227247"/>
    <n v="4.0407187923945029E-3"/>
  </r>
  <r>
    <s v="Mutton"/>
    <s v="Meat"/>
    <s v="Faisalabad"/>
    <n v="1304.8599999999999"/>
    <x v="6"/>
    <s v="Municipal Report"/>
    <s v="Above Averg"/>
    <n v="1235.856"/>
    <n v="25"/>
    <x v="6"/>
    <n v="32621.499999999996"/>
    <n v="341.24545130553099"/>
    <n v="0.20221221919883645"/>
  </r>
  <r>
    <s v="Chickpeas"/>
    <s v="Pulses"/>
    <s v="Faisalabad"/>
    <n v="223.89"/>
    <x v="2"/>
    <s v="Municipal Report"/>
    <s v="Low Averg"/>
    <n v="203.25225806451613"/>
    <n v="31"/>
    <x v="2"/>
    <n v="6940.5899999999992"/>
    <n v="337.82738246148301"/>
    <n v="6.1089606724928067E-2"/>
  </r>
  <r>
    <s v="Salt"/>
    <s v="Condiment"/>
    <s v="Peshawar"/>
    <n v="37.06"/>
    <x v="11"/>
    <s v="Wholesale Market"/>
    <s v="Low Averg"/>
    <n v="40.881379310344826"/>
    <n v="29"/>
    <x v="11"/>
    <n v="1074.74"/>
    <n v="338.252802199499"/>
    <n v="-1.1297406216581771E-2"/>
  </r>
  <r>
    <s v="Beef (Local)"/>
    <s v="Meat"/>
    <s v="Sialkot"/>
    <n v="1006.84"/>
    <x v="1"/>
    <s v="Online Retailer"/>
    <s v="Above Averg"/>
    <n v="920.12567567567555"/>
    <n v="37"/>
    <x v="1"/>
    <n v="37253.08"/>
    <n v="338.29776056659898"/>
    <n v="0.25632544590035339"/>
  </r>
  <r>
    <s v="Yogurt"/>
    <s v="Dairy"/>
    <s v="Multan"/>
    <n v="236.84"/>
    <x v="6"/>
    <s v="Online Retailer"/>
    <s v="Low Averg"/>
    <n v="226.49633333333335"/>
    <n v="30"/>
    <x v="6"/>
    <n v="7105.2"/>
    <n v="336.93519936600399"/>
    <n v="3.0699275962054035E-2"/>
  </r>
  <r>
    <s v="Flour (Atta)"/>
    <s v="Grain"/>
    <s v="Islamabad"/>
    <n v="105.97"/>
    <x v="7"/>
    <s v="Municipal Report"/>
    <s v="Low Averg"/>
    <n v="113.26108695652174"/>
    <n v="46"/>
    <x v="7"/>
    <n v="4874.62"/>
    <n v="337.37856923597099"/>
    <n v="-2.1610996137167712E-2"/>
  </r>
  <r>
    <s v="Oranges"/>
    <s v="Fruit"/>
    <s v="Karachi"/>
    <n v="151.78"/>
    <x v="4"/>
    <s v="Wholesale Market"/>
    <s v="Low Averg"/>
    <n v="151.26457142857143"/>
    <n v="35"/>
    <x v="4"/>
    <n v="5312.3"/>
    <n v="337.60207331868298"/>
    <n v="1.5267340225781963E-3"/>
  </r>
  <r>
    <s v="Wheat"/>
    <s v="Grain"/>
    <s v="Rawalpindi"/>
    <n v="122.12"/>
    <x v="7"/>
    <s v="Local Market Survey"/>
    <s v="Low Averg"/>
    <n v="120.53625"/>
    <n v="24"/>
    <x v="7"/>
    <n v="2930.88"/>
    <n v="337.92074050052503"/>
    <n v="4.6867499096213319E-3"/>
  </r>
  <r>
    <s v="Maize"/>
    <s v="Grain"/>
    <s v="Islamabad"/>
    <n v="105.27"/>
    <x v="0"/>
    <s v="Online Retailer"/>
    <s v="Low Averg"/>
    <n v="102.25285714285715"/>
    <n v="28"/>
    <x v="0"/>
    <n v="2947.56"/>
    <n v="338.17976406177303"/>
    <n v="8.9217131767580348E-3"/>
  </r>
  <r>
    <s v="Lentils (Masoor)"/>
    <s v="Pulses"/>
    <s v="Hyderabad"/>
    <n v="274.98"/>
    <x v="8"/>
    <s v="Retailer Listing"/>
    <s v="Low Averg"/>
    <n v="249.29749999999999"/>
    <n v="32"/>
    <x v="8"/>
    <n v="8799.36"/>
    <n v="338.400701306683"/>
    <n v="7.5893755245869624E-2"/>
  </r>
  <r>
    <s v="Chickpeas"/>
    <s v="Pulses"/>
    <s v="Karachi"/>
    <n v="202.35"/>
    <x v="0"/>
    <s v="Online Retailer"/>
    <s v="Low Averg"/>
    <n v="203.25225806451613"/>
    <n v="31"/>
    <x v="0"/>
    <n v="6272.8499999999995"/>
    <n v="338.88655285298802"/>
    <n v="-2.6624191987562875E-3"/>
  </r>
  <r>
    <s v="Ghee"/>
    <s v="Oil"/>
    <s v="Multan"/>
    <n v="934.15"/>
    <x v="8"/>
    <s v="Local Market Survey"/>
    <s v="Above Averg"/>
    <n v="1024.1451428571424"/>
    <n v="35"/>
    <x v="8"/>
    <n v="32695.25"/>
    <n v="339.29268315585801"/>
    <n v="-0.26524339405162523"/>
  </r>
  <r>
    <s v="Tea (Loose)"/>
    <s v="Beverage"/>
    <s v="Karachi"/>
    <n v="865.01"/>
    <x v="10"/>
    <s v="Retailer Listing"/>
    <s v="Above Averg"/>
    <n v="911.5772916666665"/>
    <n v="48"/>
    <x v="10"/>
    <n v="41520.479999999996"/>
    <n v="338.32158076747498"/>
    <n v="-0.13764209649597178"/>
  </r>
  <r>
    <s v="Banana"/>
    <s v="Fruit"/>
    <s v="Quetta"/>
    <n v="126.51"/>
    <x v="8"/>
    <s v="Wholesale Market"/>
    <s v="Low Averg"/>
    <n v="121.60903225806452"/>
    <n v="31"/>
    <x v="8"/>
    <n v="3921.81"/>
    <n v="337.67608905422497"/>
    <n v="1.4513813387445616E-2"/>
  </r>
  <r>
    <s v="Spices (Mixed)"/>
    <s v="Condiment"/>
    <s v="Karachi"/>
    <n v="856.6"/>
    <x v="0"/>
    <s v="Local Market Survey"/>
    <s v="Above Averg"/>
    <n v="810.77454545454566"/>
    <n v="33"/>
    <x v="0"/>
    <n v="28267.8"/>
    <n v="337.95123095871003"/>
    <n v="0.13559783290463348"/>
  </r>
  <r>
    <s v="Carrot"/>
    <s v="Vegetable"/>
    <s v="Quetta"/>
    <n v="143.66"/>
    <x v="11"/>
    <s v="Wholesale Market"/>
    <s v="Low Averg"/>
    <n v="141.74161290322584"/>
    <n v="31"/>
    <x v="11"/>
    <n v="4453.46"/>
    <n v="337.33501538472802"/>
    <n v="5.6868899144260137E-3"/>
  </r>
  <r>
    <s v="Grapes"/>
    <s v="Fruit"/>
    <s v="Multan"/>
    <n v="234.31"/>
    <x v="0"/>
    <s v="Wholesale Market"/>
    <s v="Low Averg"/>
    <n v="226.566129032258"/>
    <n v="31"/>
    <x v="0"/>
    <n v="7263.61"/>
    <n v="337.64855131168599"/>
    <n v="2.293470810894601E-2"/>
  </r>
  <r>
    <s v="Cheese (Local)"/>
    <s v="Dairy"/>
    <s v="Islamabad"/>
    <n v="974.62"/>
    <x v="10"/>
    <s v="Retailer Listing"/>
    <s v="Above Averg"/>
    <n v="905.6025925925926"/>
    <n v="27"/>
    <x v="10"/>
    <n v="26314.74"/>
    <n v="338.10635124282197"/>
    <n v="0.20412928403654959"/>
  </r>
  <r>
    <s v="Sugar"/>
    <s v="Grain"/>
    <s v="Karachi"/>
    <n v="102.87"/>
    <x v="8"/>
    <s v="Retailer Listing"/>
    <s v="Low Averg"/>
    <n v="122.0377142857143"/>
    <n v="35"/>
    <x v="8"/>
    <n v="3600.4500000000003"/>
    <n v="336.86683354171998"/>
    <n v="-5.6899974640395791E-2"/>
  </r>
  <r>
    <s v="Fish (Pomfret)"/>
    <s v="Meat"/>
    <s v="Karachi"/>
    <n v="1017.77"/>
    <x v="2"/>
    <s v="Local Market Survey"/>
    <s v="Above Averg"/>
    <n v="1113.4854166666667"/>
    <n v="24"/>
    <x v="2"/>
    <n v="24426.48"/>
    <n v="337.09405509349699"/>
    <n v="-0.28394276084198183"/>
  </r>
  <r>
    <s v="Maize"/>
    <s v="Grain"/>
    <s v="Peshawar"/>
    <n v="112.13"/>
    <x v="7"/>
    <s v="Retailer Listing"/>
    <s v="Low Averg"/>
    <n v="102.25285714285715"/>
    <n v="28"/>
    <x v="7"/>
    <n v="3139.64"/>
    <n v="335.57194617332402"/>
    <n v="2.9433756217634669E-2"/>
  </r>
  <r>
    <s v="Tomato"/>
    <s v="Vegetable"/>
    <s v="Islamabad"/>
    <n v="131.96"/>
    <x v="0"/>
    <s v="Municipal Report"/>
    <s v="Low Averg"/>
    <n v="123.43305555555558"/>
    <n v="36"/>
    <x v="0"/>
    <n v="4750.5600000000004"/>
    <n v="335.82238208747901"/>
    <n v="2.5391233280643053E-2"/>
  </r>
  <r>
    <s v="Mango"/>
    <s v="Fruit"/>
    <s v="Hyderabad"/>
    <n v="251.71"/>
    <x v="8"/>
    <s v="Online Retailer"/>
    <s v="Low Averg"/>
    <n v="257.40029411764709"/>
    <n v="34"/>
    <x v="8"/>
    <n v="8558.14"/>
    <n v="336.116865322134"/>
    <n v="-1.6929510847941278E-2"/>
  </r>
  <r>
    <s v="Eggplant"/>
    <s v="Vegetable"/>
    <s v="Multan"/>
    <n v="91.14"/>
    <x v="1"/>
    <s v="Wholesale Market"/>
    <s v="Low Averg"/>
    <n v="81.934666666666672"/>
    <n v="30"/>
    <x v="1"/>
    <n v="2734.2"/>
    <n v="336.60133054088601"/>
    <n v="2.7347881597916568E-2"/>
  </r>
  <r>
    <s v="Fish (Rohu)"/>
    <s v="Meat"/>
    <s v="Faisalabad"/>
    <n v="684.9"/>
    <x v="6"/>
    <s v="Online Retailer"/>
    <s v="Above Averg"/>
    <n v="720.27689655172423"/>
    <n v="29"/>
    <x v="6"/>
    <n v="19862.099999999999"/>
    <n v="336.80084276723602"/>
    <n v="-0.10503802859000957"/>
  </r>
  <r>
    <s v="Sugar"/>
    <s v="Grain"/>
    <s v="Sialkot"/>
    <n v="121.44"/>
    <x v="4"/>
    <s v="Retailer Listing"/>
    <s v="Low Averg"/>
    <n v="122.0377142857143"/>
    <n v="35"/>
    <x v="4"/>
    <n v="4250.3999999999996"/>
    <n v="336.83378447631202"/>
    <n v="-1.774508120210068E-3"/>
  </r>
  <r>
    <s v="Milk"/>
    <s v="Dairy"/>
    <s v="Faisalabad"/>
    <n v="221.05"/>
    <x v="4"/>
    <s v="Retailer Listing"/>
    <s v="Low Averg"/>
    <n v="206.78702702702708"/>
    <n v="37"/>
    <x v="4"/>
    <n v="8178.85"/>
    <n v="337.10913377913698"/>
    <n v="4.2309660414949102E-2"/>
  </r>
  <r>
    <s v="Spices (Mixed)"/>
    <s v="Condiment"/>
    <s v="Faisalabad"/>
    <n v="843.19"/>
    <x v="8"/>
    <s v="Municipal Report"/>
    <s v="Above Averg"/>
    <n v="810.77454545454566"/>
    <n v="33"/>
    <x v="8"/>
    <n v="27825.27"/>
    <n v="337.56452955535201"/>
    <n v="9.6027430927511245E-2"/>
  </r>
  <r>
    <s v="Eggplant"/>
    <s v="Vegetable"/>
    <s v="Faisalabad"/>
    <n v="83.99"/>
    <x v="5"/>
    <s v="Retailer Listing"/>
    <s v="Low Averg"/>
    <n v="81.934666666666672"/>
    <n v="30"/>
    <x v="5"/>
    <n v="2519.6999999999998"/>
    <n v="336.97974375592599"/>
    <n v="6.0992785810354173E-3"/>
  </r>
  <r>
    <s v="Tea (Loose)"/>
    <s v="Beverage"/>
    <s v="Multan"/>
    <n v="827.79"/>
    <x v="1"/>
    <s v="Local Market Survey"/>
    <s v="Above Averg"/>
    <n v="911.5772916666665"/>
    <n v="48"/>
    <x v="1"/>
    <n v="39733.919999999998"/>
    <n v="337.16617164859002"/>
    <n v="-0.24850444294866411"/>
  </r>
  <r>
    <s v="Tea (Loose)"/>
    <s v="Beverage"/>
    <s v="Quetta"/>
    <n v="850.96"/>
    <x v="10"/>
    <s v="Online Retailer"/>
    <s v="Above Averg"/>
    <n v="911.5772916666665"/>
    <n v="48"/>
    <x v="10"/>
    <n v="40846.080000000002"/>
    <n v="336.64408396923398"/>
    <n v="-0.18006343955893281"/>
  </r>
  <r>
    <s v="Flour (Atta)"/>
    <s v="Grain"/>
    <s v="Lahore"/>
    <n v="104.91"/>
    <x v="3"/>
    <s v="Local Market Survey"/>
    <s v="Low Averg"/>
    <n v="113.26108695652174"/>
    <n v="46"/>
    <x v="3"/>
    <n v="4825.8599999999997"/>
    <n v="336.00087767143202"/>
    <n v="-2.4854360543331937E-2"/>
  </r>
  <r>
    <s v="Carrot"/>
    <s v="Vegetable"/>
    <s v="Rawalpindi"/>
    <n v="137.15"/>
    <x v="9"/>
    <s v="Wholesale Market"/>
    <s v="Low Averg"/>
    <n v="141.74161290322584"/>
    <n v="31"/>
    <x v="9"/>
    <n v="4251.6500000000005"/>
    <n v="336.24627097974701"/>
    <n v="-1.3655505798910113E-2"/>
  </r>
  <r>
    <s v="Wheat"/>
    <s v="Grain"/>
    <s v="Faisalabad"/>
    <n v="109.16"/>
    <x v="11"/>
    <s v="Wholesale Market"/>
    <s v="Low Averg"/>
    <n v="120.53625"/>
    <n v="24"/>
    <x v="11"/>
    <n v="2619.84"/>
    <n v="336.56589586829602"/>
    <n v="-3.3800958860227832E-2"/>
  </r>
  <r>
    <s v="Fish (Rohu)"/>
    <s v="Meat"/>
    <s v="Quetta"/>
    <n v="695.33"/>
    <x v="2"/>
    <s v="Local Market Survey"/>
    <s v="Above Averg"/>
    <n v="720.27689655172423"/>
    <n v="29"/>
    <x v="2"/>
    <n v="20164.57"/>
    <n v="336.82103573192597"/>
    <n v="-7.4065731962119172E-2"/>
  </r>
  <r>
    <s v="Chickpeas"/>
    <s v="Pulses"/>
    <s v="Karachi"/>
    <n v="180.44"/>
    <x v="11"/>
    <s v="Local Market Survey"/>
    <s v="Low Averg"/>
    <n v="203.25225806451613"/>
    <n v="31"/>
    <x v="11"/>
    <n v="5593.64"/>
    <n v="336.81642252537301"/>
    <n v="-6.772905517336418E-2"/>
  </r>
  <r>
    <s v="Mango"/>
    <s v="Fruit"/>
    <s v="Faisalabad"/>
    <n v="274.79000000000002"/>
    <x v="3"/>
    <s v="Online Retailer"/>
    <s v="Low Averg"/>
    <n v="257.40029411764709"/>
    <n v="34"/>
    <x v="3"/>
    <n v="9342.86"/>
    <n v="337.22488747443703"/>
    <n v="5.1567089287474777E-2"/>
  </r>
  <r>
    <s v="Chickpeas"/>
    <s v="Pulses"/>
    <s v="Hyderabad"/>
    <n v="218.63"/>
    <x v="0"/>
    <s v="Wholesale Market"/>
    <s v="Low Averg"/>
    <n v="203.25225806451613"/>
    <n v="31"/>
    <x v="0"/>
    <n v="6777.53"/>
    <n v="337.75641685685099"/>
    <n v="4.5529088917358192E-2"/>
  </r>
  <r>
    <s v="Maize"/>
    <s v="Grain"/>
    <s v="Sialkot"/>
    <n v="118.51"/>
    <x v="1"/>
    <s v="Online Retailer"/>
    <s v="Low Averg"/>
    <n v="102.25285714285715"/>
    <n v="28"/>
    <x v="1"/>
    <n v="3318.28"/>
    <n v="338.22835369799799"/>
    <n v="4.8065582555088672E-2"/>
  </r>
  <r>
    <s v="Ghee"/>
    <s v="Oil"/>
    <s v="Lahore"/>
    <n v="899.59"/>
    <x v="2"/>
    <s v="Municipal Report"/>
    <s v="Above Averg"/>
    <n v="1024.1451428571424"/>
    <n v="35"/>
    <x v="2"/>
    <n v="31485.65"/>
    <n v="338.51240781028798"/>
    <n v="-0.36794853004899802"/>
  </r>
  <r>
    <s v="Banana"/>
    <s v="Fruit"/>
    <s v="Hyderabad"/>
    <n v="126.44"/>
    <x v="0"/>
    <s v="Online Retailer"/>
    <s v="Low Averg"/>
    <n v="121.60903225806452"/>
    <n v="31"/>
    <x v="0"/>
    <n v="3919.64"/>
    <n v="337.615180636812"/>
    <n v="1.4309095144428274E-2"/>
  </r>
  <r>
    <s v="Grapes"/>
    <s v="Fruit"/>
    <s v="Islamabad"/>
    <n v="238.99"/>
    <x v="5"/>
    <s v="Online Retailer"/>
    <s v="Low Averg"/>
    <n v="226.566129032258"/>
    <n v="31"/>
    <x v="5"/>
    <n v="7408.6900000000005"/>
    <n v="337.92083062838401"/>
    <n v="3.6765626270032166E-2"/>
  </r>
  <r>
    <s v="Rice (Basmati)"/>
    <s v="Grain"/>
    <s v="Peshawar"/>
    <n v="316.85000000000002"/>
    <x v="2"/>
    <s v="Local Market Survey"/>
    <s v="Low Averg"/>
    <n v="309.01727272727271"/>
    <n v="22"/>
    <x v="2"/>
    <n v="6970.7000000000007"/>
    <n v="338.42575832371301"/>
    <n v="2.3144595469104644E-2"/>
  </r>
  <r>
    <s v="Chicken (Whole)"/>
    <s v="Meat"/>
    <s v="Peshawar"/>
    <n v="620.44000000000005"/>
    <x v="4"/>
    <s v="Municipal Report"/>
    <s v="Above Averg"/>
    <n v="533.4588235294118"/>
    <n v="34"/>
    <x v="4"/>
    <n v="21094.960000000003"/>
    <n v="338.99615251711299"/>
    <n v="0.256584553614358"/>
  </r>
  <r>
    <s v="Chicken (Whole)"/>
    <s v="Meat"/>
    <s v="Lahore"/>
    <n v="494.87"/>
    <x v="1"/>
    <s v="Wholesale Market"/>
    <s v="Above Averg"/>
    <n v="533.4588235294118"/>
    <n v="34"/>
    <x v="1"/>
    <n v="16825.580000000002"/>
    <n v="339.22878163165097"/>
    <n v="-0.11375456806407772"/>
  </r>
  <r>
    <s v="Ghee"/>
    <s v="Oil"/>
    <s v="Quetta"/>
    <n v="975.55"/>
    <x v="11"/>
    <s v="Municipal Report"/>
    <s v="Above Averg"/>
    <n v="1024.1451428571424"/>
    <n v="35"/>
    <x v="11"/>
    <n v="34144.25"/>
    <n v="339.71678912315502"/>
    <n v="-0.14304604427285356"/>
  </r>
  <r>
    <s v="Spinach"/>
    <s v="Vegetable"/>
    <s v="Islamabad"/>
    <n v="57.41"/>
    <x v="11"/>
    <s v="Wholesale Market"/>
    <s v="Low Averg"/>
    <n v="62.182121212121217"/>
    <n v="33"/>
    <x v="11"/>
    <n v="1894.53"/>
    <n v="338.34544087751698"/>
    <n v="-1.4104287026136569E-2"/>
  </r>
  <r>
    <s v="Rice (Irri)"/>
    <s v="Grain"/>
    <s v="Multan"/>
    <n v="134.38999999999999"/>
    <x v="5"/>
    <s v="Wholesale Market"/>
    <s v="Low Averg"/>
    <n v="140.29840000000002"/>
    <n v="25"/>
    <x v="5"/>
    <n v="3359.7499999999995"/>
    <n v="338.47776723366002"/>
    <n v="-1.7455799381710369E-2"/>
  </r>
  <r>
    <s v="Potato"/>
    <s v="Vegetable"/>
    <s v="Rawalpindi"/>
    <n v="77.34"/>
    <x v="11"/>
    <s v="Online Retailer"/>
    <s v="Low Averg"/>
    <n v="70.278611111111118"/>
    <n v="36"/>
    <x v="11"/>
    <n v="2784.2400000000002"/>
    <n v="338.81426152643002"/>
    <n v="2.0841474786438541E-2"/>
  </r>
  <r>
    <s v="Potato"/>
    <s v="Vegetable"/>
    <s v="Multan"/>
    <n v="75.44"/>
    <x v="0"/>
    <s v="Wholesale Market"/>
    <s v="Low Averg"/>
    <n v="70.278611111111118"/>
    <n v="36"/>
    <x v="0"/>
    <n v="2715.84"/>
    <n v="339.00305083857501"/>
    <n v="1.5225198935883935E-2"/>
  </r>
  <r>
    <s v="Sugar"/>
    <s v="Grain"/>
    <s v="Hyderabad"/>
    <n v="125.39"/>
    <x v="6"/>
    <s v="Local Market Survey"/>
    <s v="Low Averg"/>
    <n v="122.0377142857143"/>
    <n v="35"/>
    <x v="6"/>
    <n v="4388.6499999999996"/>
    <n v="339.18468665745701"/>
    <n v="9.8833639788437032E-3"/>
  </r>
  <r>
    <s v="Grapes"/>
    <s v="Fruit"/>
    <s v="Karachi"/>
    <n v="221.82"/>
    <x v="4"/>
    <s v="Local Market Survey"/>
    <s v="Low Averg"/>
    <n v="226.566129032258"/>
    <n v="31"/>
    <x v="4"/>
    <n v="6876.42"/>
    <n v="339.49877069164302"/>
    <n v="-1.397981212888922E-2"/>
  </r>
  <r>
    <s v="Grapes"/>
    <s v="Fruit"/>
    <s v="Rawalpindi"/>
    <n v="228.73"/>
    <x v="5"/>
    <s v="Local Market Survey"/>
    <s v="Low Averg"/>
    <n v="226.566129032258"/>
    <n v="31"/>
    <x v="5"/>
    <n v="7090.63"/>
    <n v="339.99956040349099"/>
    <n v="6.3643346043566465E-3"/>
  </r>
  <r>
    <s v="Banana"/>
    <s v="Fruit"/>
    <s v="Hyderabad"/>
    <n v="137.97"/>
    <x v="4"/>
    <s v="Wholesale Market"/>
    <s v="Low Averg"/>
    <n v="121.60903225806452"/>
    <n v="31"/>
    <x v="4"/>
    <n v="4277.07"/>
    <n v="340.51217119426701"/>
    <n v="4.804811435830092E-2"/>
  </r>
  <r>
    <s v="Spices (Mixed)"/>
    <s v="Condiment"/>
    <s v="Rawalpindi"/>
    <n v="850.04"/>
    <x v="1"/>
    <s v="Municipal Report"/>
    <s v="Above Averg"/>
    <n v="810.77454545454566"/>
    <n v="33"/>
    <x v="1"/>
    <n v="28051.32"/>
    <n v="340.85886834114802"/>
    <n v="0.11519563723410459"/>
  </r>
  <r>
    <s v="Yogurt"/>
    <s v="Dairy"/>
    <s v="Lahore"/>
    <n v="225.74"/>
    <x v="6"/>
    <s v="Wholesale Market"/>
    <s v="Low Averg"/>
    <n v="226.49633333333335"/>
    <n v="30"/>
    <x v="6"/>
    <n v="6772.2000000000007"/>
    <n v="340.20955651023002"/>
    <n v="-2.2231395881161906E-3"/>
  </r>
  <r>
    <s v="Beef (Local)"/>
    <s v="Meat"/>
    <s v="Peshawar"/>
    <n v="943.09"/>
    <x v="2"/>
    <s v="Online Retailer"/>
    <s v="Above Averg"/>
    <n v="920.12567567567555"/>
    <n v="37"/>
    <x v="2"/>
    <n v="34894.33"/>
    <n v="340.72461159184297"/>
    <n v="6.7398489991775667E-2"/>
  </r>
  <r>
    <s v="Salt"/>
    <s v="Condiment"/>
    <s v="Hyderabad"/>
    <n v="39.020000000000003"/>
    <x v="2"/>
    <s v="Wholesale Market"/>
    <s v="Low Averg"/>
    <n v="40.881379310344826"/>
    <n v="29"/>
    <x v="2"/>
    <n v="1131.5800000000002"/>
    <n v="339.53259593151699"/>
    <n v="-5.4821814831594526E-3"/>
  </r>
  <r>
    <s v="Spices (Mixed)"/>
    <s v="Condiment"/>
    <s v="Hyderabad"/>
    <n v="857.35"/>
    <x v="5"/>
    <s v="Retailer Listing"/>
    <s v="Above Averg"/>
    <n v="810.77454545454566"/>
    <n v="33"/>
    <x v="5"/>
    <n v="28292.55"/>
    <n v="339.60378835140199"/>
    <n v="0.1371464516681446"/>
  </r>
  <r>
    <s v="Chickpeas"/>
    <s v="Pulses"/>
    <s v="Lahore"/>
    <n v="211.65"/>
    <x v="3"/>
    <s v="Online Retailer"/>
    <s v="Low Averg"/>
    <n v="203.25225806451613"/>
    <n v="31"/>
    <x v="3"/>
    <n v="6561.1500000000005"/>
    <n v="338.887559696496"/>
    <n v="2.4780319298249854E-2"/>
  </r>
  <r>
    <s v="Salt"/>
    <s v="Condiment"/>
    <s v="Sialkot"/>
    <n v="38.86"/>
    <x v="11"/>
    <s v="Online Retailer"/>
    <s v="Low Averg"/>
    <n v="40.881379310344826"/>
    <n v="29"/>
    <x v="11"/>
    <n v="1126.94"/>
    <n v="339.38959630393299"/>
    <n v="-5.9559259693235389E-3"/>
  </r>
  <r>
    <s v="Salt"/>
    <s v="Condiment"/>
    <s v="Multan"/>
    <n v="39.01"/>
    <x v="4"/>
    <s v="Retailer Listing"/>
    <s v="Low Averg"/>
    <n v="40.881379310344826"/>
    <n v="29"/>
    <x v="4"/>
    <n v="1131.29"/>
    <n v="339.46094192557803"/>
    <n v="-5.5127971416372885E-3"/>
  </r>
  <r>
    <s v="Chickpeas"/>
    <s v="Pulses"/>
    <s v="Peshawar"/>
    <n v="183.83"/>
    <x v="2"/>
    <s v="Retailer Listing"/>
    <s v="Low Averg"/>
    <n v="203.25225806451613"/>
    <n v="31"/>
    <x v="2"/>
    <n v="5698.7300000000005"/>
    <n v="339.52930162305802"/>
    <n v="-5.7203481324502911E-2"/>
  </r>
  <r>
    <s v="Potato"/>
    <s v="Vegetable"/>
    <s v="Faisalabad"/>
    <n v="66.290000000000006"/>
    <x v="2"/>
    <s v="Local Market Survey"/>
    <s v="Low Averg"/>
    <n v="70.278611111111118"/>
    <n v="36"/>
    <x v="2"/>
    <n v="2386.44"/>
    <n v="339.98477716954"/>
    <n v="-1.1731734415632715E-2"/>
  </r>
  <r>
    <s v="Sugar"/>
    <s v="Grain"/>
    <s v="Faisalabad"/>
    <n v="117"/>
    <x v="2"/>
    <s v="Local Market Survey"/>
    <s v="Low Averg"/>
    <n v="122.0377142857143"/>
    <n v="35"/>
    <x v="2"/>
    <n v="4095"/>
    <n v="340.14057959452498"/>
    <n v="-1.481068295855691E-2"/>
  </r>
  <r>
    <s v="Lentils (Masoor)"/>
    <s v="Pulses"/>
    <s v="Lahore"/>
    <n v="233.49"/>
    <x v="4"/>
    <s v="Retailer Listing"/>
    <s v="Low Averg"/>
    <n v="249.29749999999999"/>
    <n v="32"/>
    <x v="4"/>
    <n v="7471.68"/>
    <n v="340.44347079451001"/>
    <n v="-4.6432084490001295E-2"/>
  </r>
  <r>
    <s v="Sugar"/>
    <s v="Grain"/>
    <s v="Multan"/>
    <n v="114.95"/>
    <x v="3"/>
    <s v="Local Market Survey"/>
    <s v="Low Averg"/>
    <n v="122.0377142857143"/>
    <n v="35"/>
    <x v="3"/>
    <n v="4023.25"/>
    <n v="340.984662509999"/>
    <n v="-2.0786020795015844E-2"/>
  </r>
  <r>
    <s v="Milk"/>
    <s v="Dairy"/>
    <s v="Islamabad"/>
    <n v="189.75"/>
    <x v="7"/>
    <s v="Municipal Report"/>
    <s v="Low Averg"/>
    <n v="206.78702702702708"/>
    <n v="37"/>
    <x v="7"/>
    <n v="7020.75"/>
    <n v="341.28292134742401"/>
    <n v="-4.9920537950633302E-2"/>
  </r>
  <r>
    <s v="Tea (Loose)"/>
    <s v="Beverage"/>
    <s v="Faisalabad"/>
    <n v="973.35"/>
    <x v="4"/>
    <s v="Municipal Report"/>
    <s v="Above Averg"/>
    <n v="911.5772916666665"/>
    <n v="48"/>
    <x v="4"/>
    <n v="46720.800000000003"/>
    <n v="341.75471267448899"/>
    <n v="0.18075159183589712"/>
  </r>
  <r>
    <s v="Banana"/>
    <s v="Fruit"/>
    <s v="Islamabad"/>
    <n v="110.28"/>
    <x v="10"/>
    <s v="Municipal Report"/>
    <s v="Low Averg"/>
    <n v="121.60903225806452"/>
    <n v="31"/>
    <x v="10"/>
    <n v="3418.68"/>
    <n v="340.34785561423399"/>
    <n v="-3.3286627405419489E-2"/>
  </r>
  <r>
    <s v="Tea (Loose)"/>
    <s v="Beverage"/>
    <s v="Multan"/>
    <n v="865.41"/>
    <x v="11"/>
    <s v="Retailer Listing"/>
    <s v="Above Averg"/>
    <n v="911.5772916666665"/>
    <n v="48"/>
    <x v="11"/>
    <n v="41539.68"/>
    <n v="340.63662428818998"/>
    <n v="-0.13553237783265329"/>
  </r>
  <r>
    <s v="Onion"/>
    <s v="Vegetable"/>
    <s v="Karachi"/>
    <n v="96.22"/>
    <x v="0"/>
    <s v="Wholesale Market"/>
    <s v="Low Averg"/>
    <n v="90.269599999999997"/>
    <n v="25"/>
    <x v="0"/>
    <n v="2405.5"/>
    <n v="339.87326622789999"/>
    <n v="1.7507702403430567E-2"/>
  </r>
  <r>
    <s v="Chicken Breast"/>
    <s v="Meat"/>
    <s v="Karachi"/>
    <n v="627.49"/>
    <x v="5"/>
    <s v="Retailer Listing"/>
    <s v="Above Averg"/>
    <n v="673.04079999999988"/>
    <n v="25"/>
    <x v="5"/>
    <n v="15687.25"/>
    <n v="340.12478580233898"/>
    <n v="-0.13392378886045483"/>
  </r>
  <r>
    <s v="Oranges"/>
    <s v="Fruit"/>
    <s v="Faisalabad"/>
    <n v="142.05000000000001"/>
    <x v="7"/>
    <s v="Online Retailer"/>
    <s v="Low Averg"/>
    <n v="151.26457142857143"/>
    <n v="35"/>
    <x v="7"/>
    <n v="4971.75"/>
    <n v="340.377700293271"/>
    <n v="-2.7071607278126918E-2"/>
  </r>
  <r>
    <s v="Cheese (Local)"/>
    <s v="Dairy"/>
    <s v="Karachi"/>
    <n v="795.19"/>
    <x v="1"/>
    <s v="Municipal Report"/>
    <s v="Above Averg"/>
    <n v="905.6025925925926"/>
    <n v="27"/>
    <x v="1"/>
    <n v="21470.13"/>
    <n v="340.75798660410402"/>
    <n v="-0.32402055691469672"/>
  </r>
  <r>
    <s v="Banana"/>
    <s v="Fruit"/>
    <s v="Quetta"/>
    <n v="138.27000000000001"/>
    <x v="1"/>
    <s v="Wholesale Market"/>
    <s v="Low Averg"/>
    <n v="121.60903225806452"/>
    <n v="31"/>
    <x v="1"/>
    <n v="4286.37"/>
    <n v="340.35059925276801"/>
    <n v="4.8952367877460094E-2"/>
  </r>
  <r>
    <s v="Wheat"/>
    <s v="Grain"/>
    <s v="Islamabad"/>
    <n v="125.28"/>
    <x v="7"/>
    <s v="Wholesale Market"/>
    <s v="Low Averg"/>
    <n v="120.53625"/>
    <n v="24"/>
    <x v="7"/>
    <n v="3006.7200000000003"/>
    <n v="340.72631273757497"/>
    <n v="1.3922464519649848E-2"/>
  </r>
  <r>
    <s v="Spinach"/>
    <s v="Vegetable"/>
    <s v="Lahore"/>
    <n v="64.069999999999993"/>
    <x v="4"/>
    <s v="Wholesale Market"/>
    <s v="Low Averg"/>
    <n v="62.182121212121217"/>
    <n v="33"/>
    <x v="4"/>
    <n v="2114.31"/>
    <n v="341.06833001589001"/>
    <n v="5.5351922818246474E-3"/>
  </r>
  <r>
    <s v="Mutton"/>
    <s v="Meat"/>
    <s v="Multan"/>
    <n v="1271.27"/>
    <x v="4"/>
    <s v="Wholesale Market"/>
    <s v="Above Averg"/>
    <n v="1235.856"/>
    <n v="25"/>
    <x v="4"/>
    <n v="31781.75"/>
    <n v="341.22276279415797"/>
    <n v="0.10378557312532934"/>
  </r>
  <r>
    <s v="Salt"/>
    <s v="Condiment"/>
    <s v="Multan"/>
    <n v="44.41"/>
    <x v="8"/>
    <s v="Municipal Report"/>
    <s v="Low Averg"/>
    <n v="40.881379310344826"/>
    <n v="29"/>
    <x v="8"/>
    <n v="1287.8899999999999"/>
    <n v="337.12841496111599"/>
    <n v="1.0466696169951018E-2"/>
  </r>
  <r>
    <s v="Fish (Rohu)"/>
    <s v="Meat"/>
    <s v="Islamabad"/>
    <n v="751.87"/>
    <x v="4"/>
    <s v="Retailer Listing"/>
    <s v="Above Averg"/>
    <n v="720.27689655172423"/>
    <n v="29"/>
    <x v="4"/>
    <n v="21804.23"/>
    <n v="337.20842535239001"/>
    <n v="9.3690136642523986E-2"/>
  </r>
  <r>
    <s v="Rice (Irri)"/>
    <s v="Grain"/>
    <s v="Faisalabad"/>
    <n v="128.87"/>
    <x v="1"/>
    <s v="Retailer Listing"/>
    <s v="Low Averg"/>
    <n v="140.29840000000002"/>
    <n v="25"/>
    <x v="1"/>
    <n v="3221.75"/>
    <n v="336.97719437286099"/>
    <n v="-3.391446124794615E-2"/>
  </r>
  <r>
    <s v="Mango"/>
    <s v="Fruit"/>
    <s v="Rawalpindi"/>
    <n v="244.94"/>
    <x v="7"/>
    <s v="Wholesale Market"/>
    <s v="Low Averg"/>
    <n v="257.40029411764709"/>
    <n v="34"/>
    <x v="7"/>
    <n v="8327.9599999999991"/>
    <n v="337.32963603142701"/>
    <n v="-3.6938035638488173E-2"/>
  </r>
  <r>
    <s v="Lentils (Moong)"/>
    <s v="Pulses"/>
    <s v="Islamabad"/>
    <n v="314.41000000000003"/>
    <x v="4"/>
    <s v="Municipal Report"/>
    <s v="Low Averg"/>
    <n v="304.90820512820511"/>
    <n v="39"/>
    <x v="4"/>
    <n v="12261.990000000002"/>
    <n v="337.919611296271"/>
    <n v="2.8118506751785458E-2"/>
  </r>
  <r>
    <s v="Cooking Oil (Sunflower)"/>
    <s v="Oil"/>
    <s v="Karachi"/>
    <n v="370.07"/>
    <x v="10"/>
    <s v="Local Market Survey"/>
    <s v="Low Averg"/>
    <n v="368.73933333333326"/>
    <n v="30"/>
    <x v="10"/>
    <n v="11102.1"/>
    <n v="338.57930900917302"/>
    <n v="3.930147623494259E-3"/>
  </r>
  <r>
    <s v="Yogurt"/>
    <s v="Dairy"/>
    <s v="Sialkot"/>
    <n v="206"/>
    <x v="9"/>
    <s v="Wholesale Market"/>
    <s v="Low Averg"/>
    <n v="226.49633333333335"/>
    <n v="30"/>
    <x v="9"/>
    <n v="6180"/>
    <n v="339.25531655193799"/>
    <n v="-6.0415658453492463E-2"/>
  </r>
  <r>
    <s v="Chicken (Whole)"/>
    <s v="Meat"/>
    <s v="Multan"/>
    <n v="571.30999999999995"/>
    <x v="5"/>
    <s v="Wholesale Market"/>
    <s v="Above Averg"/>
    <n v="533.4588235294118"/>
    <n v="34"/>
    <x v="5"/>
    <n v="19424.539999999997"/>
    <n v="339.79321918006798"/>
    <n v="0.11139473754633555"/>
  </r>
  <r>
    <s v="Rice (Irri)"/>
    <s v="Grain"/>
    <s v="Faisalabad"/>
    <n v="126.45"/>
    <x v="8"/>
    <s v="Retailer Listing"/>
    <s v="Low Averg"/>
    <n v="140.29840000000002"/>
    <n v="25"/>
    <x v="8"/>
    <n v="3161.25"/>
    <n v="340.21626801865801"/>
    <n v="-4.0704696693811666E-2"/>
  </r>
  <r>
    <s v="Guava"/>
    <s v="Fruit"/>
    <s v="Quetta"/>
    <n v="122.57"/>
    <x v="11"/>
    <s v="Online Retailer"/>
    <s v="Low Averg"/>
    <n v="132.90272727272728"/>
    <n v="22"/>
    <x v="11"/>
    <n v="2696.54"/>
    <n v="340.57653715197199"/>
    <n v="-3.0338928685849594E-2"/>
  </r>
  <r>
    <s v="Spinach"/>
    <s v="Vegetable"/>
    <s v="Faisalabad"/>
    <n v="53"/>
    <x v="11"/>
    <s v="Online Retailer"/>
    <s v="Low Averg"/>
    <n v="62.182121212121217"/>
    <n v="33"/>
    <x v="11"/>
    <n v="1749"/>
    <n v="340.92566505610898"/>
    <n v="-2.6932912811389657E-2"/>
  </r>
  <r>
    <s v="Grapes"/>
    <s v="Fruit"/>
    <s v="Lahore"/>
    <n v="182.38"/>
    <x v="6"/>
    <s v="Municipal Report"/>
    <s v="Low Averg"/>
    <n v="226.566129032258"/>
    <n v="31"/>
    <x v="6"/>
    <n v="5653.78"/>
    <n v="341.04468142680503"/>
    <n v="-0.12956111453607649"/>
  </r>
  <r>
    <s v="Grapes"/>
    <s v="Fruit"/>
    <s v="Quetta"/>
    <n v="211.44"/>
    <x v="7"/>
    <s v="Wholesale Market"/>
    <s v="Low Averg"/>
    <n v="226.566129032258"/>
    <n v="31"/>
    <x v="7"/>
    <n v="6554.64"/>
    <n v="341.54411803335398"/>
    <n v="-4.4287482154152756E-2"/>
  </r>
  <r>
    <s v="Flour (Atta)"/>
    <s v="Grain"/>
    <s v="Multan"/>
    <n v="105.52"/>
    <x v="3"/>
    <s v="Retailer Listing"/>
    <s v="Low Averg"/>
    <n v="113.26108695652174"/>
    <n v="46"/>
    <x v="3"/>
    <n v="4853.92"/>
    <n v="342.10421597974403"/>
    <n v="-2.2627861905624953E-2"/>
  </r>
  <r>
    <s v="Cooking Oil (Sunflower)"/>
    <s v="Oil"/>
    <s v="Hyderabad"/>
    <n v="402.76"/>
    <x v="1"/>
    <s v="Online Retailer"/>
    <s v="Above Averg"/>
    <n v="368.73933333333326"/>
    <n v="30"/>
    <x v="1"/>
    <n v="12082.8"/>
    <n v="342.40136363852002"/>
    <n v="9.9359027969827318E-2"/>
  </r>
  <r>
    <s v="Chicken Breast"/>
    <s v="Meat"/>
    <s v="Faisalabad"/>
    <n v="686.38"/>
    <x v="6"/>
    <s v="Local Market Survey"/>
    <s v="Above Averg"/>
    <n v="673.04079999999988"/>
    <n v="25"/>
    <x v="6"/>
    <n v="17159.5"/>
    <n v="343.10300558136998"/>
    <n v="3.887812051485106E-2"/>
  </r>
  <r>
    <s v="Onion"/>
    <s v="Vegetable"/>
    <s v="Lahore"/>
    <n v="90.63"/>
    <x v="11"/>
    <s v="Local Market Survey"/>
    <s v="Low Averg"/>
    <n v="90.269599999999997"/>
    <n v="25"/>
    <x v="11"/>
    <n v="2265.75"/>
    <n v="343.19317762639901"/>
    <n v="1.0501374254948939E-3"/>
  </r>
  <r>
    <s v="Rice (Irri)"/>
    <s v="Grain"/>
    <s v="Multan"/>
    <n v="148.97"/>
    <x v="4"/>
    <s v="Online Retailer"/>
    <s v="Low Averg"/>
    <n v="140.29840000000002"/>
    <n v="25"/>
    <x v="4"/>
    <n v="3724.25"/>
    <n v="343.45030601225898"/>
    <n v="2.524848529233939E-2"/>
  </r>
  <r>
    <s v="Sugar"/>
    <s v="Grain"/>
    <s v="Peshawar"/>
    <n v="120.36"/>
    <x v="7"/>
    <s v="Retailer Listing"/>
    <s v="Low Averg"/>
    <n v="122.0377142857143"/>
    <n v="35"/>
    <x v="7"/>
    <n v="4212.6000000000004"/>
    <n v="343.88190255826498"/>
    <n v="-4.8787513190812403E-3"/>
  </r>
  <r>
    <s v="Oranges"/>
    <s v="Fruit"/>
    <s v="Lahore"/>
    <n v="139.19"/>
    <x v="6"/>
    <s v="Municipal Report"/>
    <s v="Low Averg"/>
    <n v="151.26457142857143"/>
    <n v="35"/>
    <x v="6"/>
    <n v="4871.6499999999996"/>
    <n v="344.23233270081499"/>
    <n v="-3.5076807962330162E-2"/>
  </r>
  <r>
    <s v="Wheat"/>
    <s v="Grain"/>
    <s v="Quetta"/>
    <n v="128.96"/>
    <x v="4"/>
    <s v="Retailer Listing"/>
    <s v="Low Averg"/>
    <n v="120.53625"/>
    <n v="24"/>
    <x v="4"/>
    <n v="3095.04"/>
    <n v="344.63760780437099"/>
    <n v="2.4442341199111511E-2"/>
  </r>
  <r>
    <s v="Lentils (Moong)"/>
    <s v="Pulses"/>
    <s v="Sialkot"/>
    <n v="334.68"/>
    <x v="7"/>
    <s v="Municipal Report"/>
    <s v="Low Averg"/>
    <n v="304.90820512820511"/>
    <n v="39"/>
    <x v="7"/>
    <n v="13052.52"/>
    <n v="345.01332982203002"/>
    <n v="8.6291723531818992E-2"/>
  </r>
  <r>
    <s v="Mango"/>
    <s v="Fruit"/>
    <s v="Multan"/>
    <n v="275.05"/>
    <x v="8"/>
    <s v="Municipal Report"/>
    <s v="Low Averg"/>
    <n v="257.40029411764709"/>
    <n v="34"/>
    <x v="8"/>
    <n v="9351.7000000000007"/>
    <n v="345.74198424782099"/>
    <n v="5.1048778240660411E-2"/>
  </r>
  <r>
    <s v="Tomato"/>
    <s v="Vegetable"/>
    <s v="Faisalabad"/>
    <n v="123.33"/>
    <x v="4"/>
    <s v="Online Retailer"/>
    <s v="Low Averg"/>
    <n v="123.43305555555558"/>
    <n v="36"/>
    <x v="4"/>
    <n v="4439.88"/>
    <n v="346.42679969451399"/>
    <n v="-2.974814755857844E-4"/>
  </r>
  <r>
    <s v="Beef (Local)"/>
    <s v="Meat"/>
    <s v="Multan"/>
    <n v="842.44"/>
    <x v="8"/>
    <s v="Online Retailer"/>
    <s v="Above Averg"/>
    <n v="920.12567567567555"/>
    <n v="37"/>
    <x v="8"/>
    <n v="31170.280000000002"/>
    <n v="346.79116442455597"/>
    <n v="-0.22401284589987278"/>
  </r>
  <r>
    <s v="Cooking Oil (Sunflower)"/>
    <s v="Oil"/>
    <s v="Quetta"/>
    <n v="344.42"/>
    <x v="5"/>
    <s v="Municipal Report"/>
    <s v="Low Averg"/>
    <n v="368.73933333333326"/>
    <n v="30"/>
    <x v="5"/>
    <n v="10332.6"/>
    <n v="346.152004785126"/>
    <n v="-7.0256225580520568E-2"/>
  </r>
  <r>
    <s v="Mutton"/>
    <s v="Meat"/>
    <s v="Sialkot"/>
    <n v="1304.5999999999999"/>
    <x v="4"/>
    <s v="Local Market Survey"/>
    <s v="Above Averg"/>
    <n v="1235.856"/>
    <n v="25"/>
    <x v="4"/>
    <n v="32614.999999999996"/>
    <n v="346.89968776012898"/>
    <n v="0.19816679698926218"/>
  </r>
  <r>
    <s v="Salt"/>
    <s v="Condiment"/>
    <s v="Quetta"/>
    <n v="45.5"/>
    <x v="10"/>
    <s v="Online Retailer"/>
    <s v="Low Averg"/>
    <n v="40.881379310344826"/>
    <n v="29"/>
    <x v="10"/>
    <n v="1319.5"/>
    <n v="342.09939389066898"/>
    <n v="1.3500815178676498E-2"/>
  </r>
  <r>
    <s v="Ghee"/>
    <s v="Oil"/>
    <s v="Rawalpindi"/>
    <n v="1024.05"/>
    <x v="11"/>
    <s v="Online Retailer"/>
    <s v="Above Averg"/>
    <n v="1024.1451428571424"/>
    <n v="35"/>
    <x v="11"/>
    <n v="35841.75"/>
    <n v="342.18952402214501"/>
    <n v="-2.7804140823532058E-4"/>
  </r>
  <r>
    <s v="Cheese (Local)"/>
    <s v="Dairy"/>
    <s v="Hyderabad"/>
    <n v="1000.55"/>
    <x v="9"/>
    <s v="Online Retailer"/>
    <s v="Above Averg"/>
    <n v="905.6025925925926"/>
    <n v="27"/>
    <x v="9"/>
    <n v="27014.85"/>
    <n v="340.14681090982299"/>
    <n v="0.27913655034260798"/>
  </r>
  <r>
    <s v="Onion"/>
    <s v="Vegetable"/>
    <s v="Rawalpindi"/>
    <n v="87.84"/>
    <x v="5"/>
    <s v="Online Retailer"/>
    <s v="Low Averg"/>
    <n v="90.269599999999997"/>
    <n v="25"/>
    <x v="5"/>
    <n v="2196"/>
    <n v="338.248688579739"/>
    <n v="-7.1828807679981226E-3"/>
  </r>
  <r>
    <s v="Yogurt"/>
    <s v="Dairy"/>
    <s v="Multan"/>
    <n v="196.1"/>
    <x v="11"/>
    <s v="Retailer Listing"/>
    <s v="Low Averg"/>
    <n v="226.49633333333335"/>
    <n v="30"/>
    <x v="11"/>
    <n v="5883"/>
    <n v="338.50641110648201"/>
    <n v="-8.9795443560363647E-2"/>
  </r>
  <r>
    <s v="Potato"/>
    <s v="Vegetable"/>
    <s v="Faisalabad"/>
    <n v="64.17"/>
    <x v="2"/>
    <s v="Retailer Listing"/>
    <s v="Low Averg"/>
    <n v="70.278611111111118"/>
    <n v="36"/>
    <x v="2"/>
    <n v="2310.12"/>
    <n v="339.07787436777102"/>
    <n v="-1.8015363351268351E-2"/>
  </r>
  <r>
    <s v="Beef (Local)"/>
    <s v="Meat"/>
    <s v="Karachi"/>
    <n v="787.89"/>
    <x v="10"/>
    <s v="Municipal Report"/>
    <s v="Above Averg"/>
    <n v="920.12567567567555"/>
    <n v="37"/>
    <x v="10"/>
    <n v="29151.93"/>
    <n v="339.24355893123402"/>
    <n v="-0.38979568570815593"/>
  </r>
  <r>
    <s v="Lentils (Masoor)"/>
    <s v="Pulses"/>
    <s v="Faisalabad"/>
    <n v="238.06"/>
    <x v="0"/>
    <s v="Wholesale Market"/>
    <s v="Low Averg"/>
    <n v="249.29749999999999"/>
    <n v="32"/>
    <x v="0"/>
    <n v="7617.92"/>
    <n v="338.8129800209"/>
    <n v="-3.3167265313468176E-2"/>
  </r>
  <r>
    <s v="Milk"/>
    <s v="Dairy"/>
    <s v="Karachi"/>
    <n v="177.34"/>
    <x v="8"/>
    <s v="Online Retailer"/>
    <s v="Low Averg"/>
    <n v="206.78702702702708"/>
    <n v="37"/>
    <x v="8"/>
    <n v="6561.58"/>
    <n v="339.474519578735"/>
    <n v="-8.6742966934805155E-2"/>
  </r>
  <r>
    <s v="Spinach"/>
    <s v="Vegetable"/>
    <s v="Faisalabad"/>
    <n v="61.73"/>
    <x v="9"/>
    <s v="Wholesale Market"/>
    <s v="Low Averg"/>
    <n v="62.182121212121217"/>
    <n v="33"/>
    <x v="9"/>
    <n v="2037.09"/>
    <n v="340.01292541266099"/>
    <n v="-1.3297177205028236E-3"/>
  </r>
  <r>
    <s v="Onion"/>
    <s v="Vegetable"/>
    <s v="Karachi"/>
    <n v="84.06"/>
    <x v="4"/>
    <s v="Local Market Survey"/>
    <s v="Low Averg"/>
    <n v="90.269599999999997"/>
    <n v="25"/>
    <x v="4"/>
    <n v="2101.5"/>
    <n v="340.17207390149002"/>
    <n v="-1.8254290920418779E-2"/>
  </r>
  <r>
    <s v="Apple"/>
    <s v="Fruit"/>
    <s v="Multan"/>
    <n v="191.75"/>
    <x v="11"/>
    <s v="Online Retailer"/>
    <s v="Low Averg"/>
    <n v="206.14838709677423"/>
    <n v="31"/>
    <x v="11"/>
    <n v="5944.25"/>
    <n v="340.41543099120997"/>
    <n v="-4.2296517096329915E-2"/>
  </r>
  <r>
    <s v="Salt"/>
    <s v="Condiment"/>
    <s v="Faisalabad"/>
    <n v="43.74"/>
    <x v="8"/>
    <s v="Retailer Listing"/>
    <s v="Low Averg"/>
    <n v="40.881379310344826"/>
    <n v="29"/>
    <x v="8"/>
    <n v="1268.46"/>
    <n v="340.99081709251601"/>
    <n v="8.3832776320178388E-3"/>
  </r>
  <r>
    <s v="Flour (Atta)"/>
    <s v="Grain"/>
    <s v="Faisalabad"/>
    <n v="122.53"/>
    <x v="10"/>
    <s v="Retailer Listing"/>
    <s v="Low Averg"/>
    <n v="113.26108695652174"/>
    <n v="46"/>
    <x v="10"/>
    <n v="5636.38"/>
    <n v="341.064579023401"/>
    <n v="2.7176416472266703E-2"/>
  </r>
  <r>
    <s v="Cheese (Local)"/>
    <s v="Dairy"/>
    <s v="Hyderabad"/>
    <n v="1046.5"/>
    <x v="7"/>
    <s v="Online Retailer"/>
    <s v="Above Averg"/>
    <n v="905.6025925925926"/>
    <n v="27"/>
    <x v="7"/>
    <n v="28255.5"/>
    <n v="341.44089821501501"/>
    <n v="0.41265533257436637"/>
  </r>
  <r>
    <s v="Beef (Local)"/>
    <s v="Meat"/>
    <s v="Hyderabad"/>
    <n v="899.01"/>
    <x v="8"/>
    <s v="Municipal Report"/>
    <s v="Above Averg"/>
    <n v="920.12567567567555"/>
    <n v="37"/>
    <x v="8"/>
    <n v="33263.370000000003"/>
    <n v="339.08704642135598"/>
    <n v="-6.227213896409603E-2"/>
  </r>
  <r>
    <s v="Cooking Oil (Sunflower)"/>
    <s v="Oil"/>
    <s v="Rawalpindi"/>
    <n v="363.83"/>
    <x v="0"/>
    <s v="Online Retailer"/>
    <s v="Low Averg"/>
    <n v="368.73933333333326"/>
    <n v="30"/>
    <x v="0"/>
    <n v="10914.9"/>
    <n v="337.91356513397199"/>
    <n v="-1.4528370091880996E-2"/>
  </r>
  <r>
    <s v="Potato"/>
    <s v="Vegetable"/>
    <s v="Karachi"/>
    <n v="75.209999999999994"/>
    <x v="3"/>
    <s v="Local Market Survey"/>
    <s v="Low Averg"/>
    <n v="70.278611111111118"/>
    <n v="36"/>
    <x v="3"/>
    <n v="2707.56"/>
    <n v="338.70958861221902"/>
    <n v="1.4559342441688923E-2"/>
  </r>
  <r>
    <s v="Salt"/>
    <s v="Condiment"/>
    <s v="Lahore"/>
    <n v="42.72"/>
    <x v="3"/>
    <s v="Municipal Report"/>
    <s v="Low Averg"/>
    <n v="40.881379310344826"/>
    <n v="29"/>
    <x v="3"/>
    <n v="1238.8799999999999"/>
    <n v="338.923204682505"/>
    <n v="5.424888777909284E-3"/>
  </r>
  <r>
    <s v="Tomato"/>
    <s v="Vegetable"/>
    <s v="Lahore"/>
    <n v="126.62"/>
    <x v="7"/>
    <s v="Municipal Report"/>
    <s v="Low Averg"/>
    <n v="123.43305555555558"/>
    <n v="36"/>
    <x v="7"/>
    <n v="4558.32"/>
    <n v="338.99233735917602"/>
    <n v="9.4012285624843657E-3"/>
  </r>
  <r>
    <s v="Rice (Basmati)"/>
    <s v="Grain"/>
    <s v="Peshawar"/>
    <n v="287.14999999999998"/>
    <x v="7"/>
    <s v="Local Market Survey"/>
    <s v="Low Averg"/>
    <n v="309.01727272727271"/>
    <n v="22"/>
    <x v="7"/>
    <n v="6317.2999999999993"/>
    <n v="339.39143158358598"/>
    <n v="-6.4430833227701031E-2"/>
  </r>
  <r>
    <s v="Potato"/>
    <s v="Vegetable"/>
    <s v="Peshawar"/>
    <n v="68.62"/>
    <x v="10"/>
    <s v="Retailer Listing"/>
    <s v="Low Averg"/>
    <n v="70.278611111111118"/>
    <n v="36"/>
    <x v="10"/>
    <n v="2470.3200000000002"/>
    <n v="340.15906401185498"/>
    <n v="-4.875986814960512E-3"/>
  </r>
  <r>
    <s v="Tea (Loose)"/>
    <s v="Beverage"/>
    <s v="Rawalpindi"/>
    <n v="985.43"/>
    <x v="1"/>
    <s v="Online Retailer"/>
    <s v="Above Averg"/>
    <n v="911.5772916666665"/>
    <n v="48"/>
    <x v="1"/>
    <n v="47300.639999999999"/>
    <n v="340.33642696028102"/>
    <n v="0.2169991293407815"/>
  </r>
  <r>
    <s v="Chicken (Whole)"/>
    <s v="Meat"/>
    <s v="Karachi"/>
    <n v="513.55999999999995"/>
    <x v="1"/>
    <s v="Local Market Survey"/>
    <s v="Above Averg"/>
    <n v="533.4588235294118"/>
    <n v="34"/>
    <x v="1"/>
    <n v="17461.039999999997"/>
    <n v="338.44786089495301"/>
    <n v="-5.8794354547828054E-2"/>
  </r>
  <r>
    <s v="Cooking Oil (Sunflower)"/>
    <s v="Oil"/>
    <s v="Sialkot"/>
    <n v="401.97"/>
    <x v="5"/>
    <s v="Municipal Report"/>
    <s v="Above Averg"/>
    <n v="368.73933333333326"/>
    <n v="30"/>
    <x v="5"/>
    <n v="12059.1"/>
    <n v="339.11835716353897"/>
    <n v="9.7991353062144487E-2"/>
  </r>
  <r>
    <s v="Spinach"/>
    <s v="Vegetable"/>
    <s v="Islamabad"/>
    <n v="62.21"/>
    <x v="1"/>
    <s v="Wholesale Market"/>
    <s v="Low Averg"/>
    <n v="62.182121212121217"/>
    <n v="33"/>
    <x v="1"/>
    <n v="2052.9299999999998"/>
    <n v="339.939586920566"/>
    <n v="8.2011007106678349E-5"/>
  </r>
  <r>
    <s v="Cooking Oil (Sunflower)"/>
    <s v="Oil"/>
    <s v="Hyderabad"/>
    <n v="405.87"/>
    <x v="3"/>
    <s v="Wholesale Market"/>
    <s v="Above Averg"/>
    <n v="368.73933333333326"/>
    <n v="30"/>
    <x v="3"/>
    <n v="12176.1"/>
    <n v="340.101788400592"/>
    <n v="0.10917515853498555"/>
  </r>
  <r>
    <s v="Potato"/>
    <s v="Vegetable"/>
    <s v="Lahore"/>
    <n v="67.59"/>
    <x v="4"/>
    <s v="Online Retailer"/>
    <s v="Low Averg"/>
    <n v="70.278611111111118"/>
    <n v="36"/>
    <x v="4"/>
    <n v="2433.2400000000002"/>
    <n v="340.93222682147001"/>
    <n v="-7.886057402602226E-3"/>
  </r>
  <r>
    <s v="Carrot"/>
    <s v="Vegetable"/>
    <s v="Rawalpindi"/>
    <n v="153.09"/>
    <x v="4"/>
    <s v="Local Market Survey"/>
    <s v="Low Averg"/>
    <n v="141.74161290322584"/>
    <n v="31"/>
    <x v="4"/>
    <n v="4745.79"/>
    <n v="341.11851748312603"/>
    <n v="3.3268164919647104E-2"/>
  </r>
  <r>
    <s v="Eggplant"/>
    <s v="Vegetable"/>
    <s v="Lahore"/>
    <n v="78.83"/>
    <x v="9"/>
    <s v="Retailer Listing"/>
    <s v="Low Averg"/>
    <n v="81.934666666666672"/>
    <n v="30"/>
    <x v="9"/>
    <n v="2364.9"/>
    <n v="341.62602109091199"/>
    <n v="-9.0879103902933491E-3"/>
  </r>
  <r>
    <s v="Rice (Basmati)"/>
    <s v="Grain"/>
    <s v="Islamabad"/>
    <n v="323"/>
    <x v="3"/>
    <s v="Wholesale Market"/>
    <s v="Low Averg"/>
    <n v="309.01727272727271"/>
    <n v="22"/>
    <x v="3"/>
    <n v="7106"/>
    <n v="341.85520102122803"/>
    <n v="4.0902485119303507E-2"/>
  </r>
  <r>
    <s v="Chicken (Whole)"/>
    <s v="Meat"/>
    <s v="Sialkot"/>
    <n v="604.41"/>
    <x v="5"/>
    <s v="Retailer Listing"/>
    <s v="Above Averg"/>
    <n v="533.4588235294118"/>
    <n v="34"/>
    <x v="5"/>
    <n v="20549.939999999999"/>
    <n v="342.69958399696401"/>
    <n v="0.20703607411212011"/>
  </r>
  <r>
    <s v="Apple"/>
    <s v="Fruit"/>
    <s v="Islamabad"/>
    <n v="216.67"/>
    <x v="2"/>
    <s v="Online Retailer"/>
    <s v="Low Averg"/>
    <n v="206.14838709677423"/>
    <n v="31"/>
    <x v="2"/>
    <n v="6716.7699999999995"/>
    <n v="343.16794889792402"/>
    <n v="3.0660243583398965E-2"/>
  </r>
  <r>
    <s v="Carrot"/>
    <s v="Vegetable"/>
    <s v="Karachi"/>
    <n v="142.84"/>
    <x v="3"/>
    <s v="Municipal Report"/>
    <s v="Low Averg"/>
    <n v="141.74161290322584"/>
    <n v="31"/>
    <x v="3"/>
    <n v="4428.04"/>
    <n v="343.86448332216202"/>
    <n v="3.1942440991938582E-3"/>
  </r>
  <r>
    <s v="Mango"/>
    <s v="Fruit"/>
    <s v="Multan"/>
    <n v="253.9"/>
    <x v="11"/>
    <s v="Municipal Report"/>
    <s v="Low Averg"/>
    <n v="257.40029411764709"/>
    <n v="34"/>
    <x v="11"/>
    <n v="8632.6"/>
    <n v="344.35265253308302"/>
    <n v="-1.0164853071113785E-2"/>
  </r>
  <r>
    <s v="Spices (Mixed)"/>
    <s v="Condiment"/>
    <s v="Quetta"/>
    <n v="720.95"/>
    <x v="8"/>
    <s v="Online Retailer"/>
    <s v="Above Averg"/>
    <n v="810.77454545454566"/>
    <n v="33"/>
    <x v="8"/>
    <n v="23791.350000000002"/>
    <n v="345.13246893880802"/>
    <n v="-0.26026106941121063"/>
  </r>
  <r>
    <s v="Guava"/>
    <s v="Fruit"/>
    <s v="Hyderabad"/>
    <n v="128.9"/>
    <x v="4"/>
    <s v="Retailer Listing"/>
    <s v="Low Averg"/>
    <n v="132.90272727272728"/>
    <n v="22"/>
    <x v="4"/>
    <n v="2835.8"/>
    <n v="345.11661301115902"/>
    <n v="-1.1598187748202796E-2"/>
  </r>
  <r>
    <s v="Tomato"/>
    <s v="Vegetable"/>
    <s v="Peshawar"/>
    <n v="114.94"/>
    <x v="6"/>
    <s v="Municipal Report"/>
    <s v="Low Averg"/>
    <n v="123.43305555555558"/>
    <n v="36"/>
    <x v="6"/>
    <n v="4137.84"/>
    <n v="345.56727527623298"/>
    <n v="-2.4577140728289648E-2"/>
  </r>
  <r>
    <s v="Rice (Irri)"/>
    <s v="Grain"/>
    <s v="Peshawar"/>
    <n v="154.77000000000001"/>
    <x v="2"/>
    <s v="Local Market Survey"/>
    <s v="Low Averg"/>
    <n v="140.29840000000002"/>
    <n v="25"/>
    <x v="2"/>
    <n v="3869.2500000000005"/>
    <n v="345.96403956416299"/>
    <n v="4.1829780974435848E-2"/>
  </r>
  <r>
    <s v="Apple"/>
    <s v="Fruit"/>
    <s v="Islamabad"/>
    <n v="192.56"/>
    <x v="7"/>
    <s v="Wholesale Market"/>
    <s v="Low Averg"/>
    <n v="206.14838709677423"/>
    <n v="31"/>
    <x v="7"/>
    <n v="5969.36"/>
    <n v="346.50494642817199"/>
    <n v="-3.9215564559309989E-2"/>
  </r>
  <r>
    <s v="Fish (Rohu)"/>
    <s v="Meat"/>
    <s v="Peshawar"/>
    <n v="636.71"/>
    <x v="11"/>
    <s v="Wholesale Market"/>
    <s v="Above Averg"/>
    <n v="720.27689655172423"/>
    <n v="29"/>
    <x v="11"/>
    <n v="18464.59"/>
    <n v="347.16377883424502"/>
    <n v="-0.24071317817871665"/>
  </r>
  <r>
    <s v="Tea (Loose)"/>
    <s v="Beverage"/>
    <s v="Hyderabad"/>
    <n v="977.75"/>
    <x v="8"/>
    <s v="Municipal Report"/>
    <s v="Above Averg"/>
    <n v="911.5772916666665"/>
    <n v="48"/>
    <x v="8"/>
    <n v="46932"/>
    <n v="347.56576751119201"/>
    <n v="0.19038902711039477"/>
  </r>
  <r>
    <s v="Rice (Basmati)"/>
    <s v="Grain"/>
    <s v="Islamabad"/>
    <n v="314.83999999999997"/>
    <x v="6"/>
    <s v="Local Market Survey"/>
    <s v="Low Averg"/>
    <n v="309.01727272727271"/>
    <n v="22"/>
    <x v="6"/>
    <n v="6926.48"/>
    <n v="345.68223266993402"/>
    <n v="1.6844161262655775E-2"/>
  </r>
  <r>
    <s v="Tomato"/>
    <s v="Vegetable"/>
    <s v="Rawalpindi"/>
    <n v="117.93"/>
    <x v="3"/>
    <s v="Wholesale Market"/>
    <s v="Low Averg"/>
    <n v="123.43305555555558"/>
    <n v="36"/>
    <x v="3"/>
    <n v="4245.4800000000005"/>
    <n v="346.58475454915902"/>
    <n v="-1.5877950438743352E-2"/>
  </r>
  <r>
    <s v="Wheat"/>
    <s v="Grain"/>
    <s v="Karachi"/>
    <n v="110.66"/>
    <x v="7"/>
    <s v="Municipal Report"/>
    <s v="Low Averg"/>
    <n v="120.53625"/>
    <n v="24"/>
    <x v="7"/>
    <n v="2655.84"/>
    <n v="347.01385635516402"/>
    <n v="-2.8460679074128352E-2"/>
  </r>
  <r>
    <s v="Cheese (Local)"/>
    <s v="Dairy"/>
    <s v="Sialkot"/>
    <n v="1053.0899999999999"/>
    <x v="4"/>
    <s v="Online Retailer"/>
    <s v="Above Averg"/>
    <n v="905.6025925925926"/>
    <n v="27"/>
    <x v="4"/>
    <n v="28433.429999999997"/>
    <n v="347.41192435934403"/>
    <n v="0.42453179371832483"/>
  </r>
  <r>
    <s v="Beef (Local)"/>
    <s v="Meat"/>
    <s v="Peshawar"/>
    <n v="888.46"/>
    <x v="4"/>
    <s v="Local Market Survey"/>
    <s v="Above Averg"/>
    <n v="920.12567567567555"/>
    <n v="37"/>
    <x v="4"/>
    <n v="32873.020000000004"/>
    <n v="344.71599079873198"/>
    <n v="-9.1860187867420492E-2"/>
  </r>
  <r>
    <s v="Salt"/>
    <s v="Condiment"/>
    <s v="Peshawar"/>
    <n v="45.54"/>
    <x v="0"/>
    <s v="Wholesale Market"/>
    <s v="Low Averg"/>
    <n v="40.881379310344826"/>
    <n v="29"/>
    <x v="0"/>
    <n v="1320.66"/>
    <n v="343.51878356586502"/>
    <n v="1.3561472945661925E-2"/>
  </r>
  <r>
    <s v="Grapes"/>
    <s v="Fruit"/>
    <s v="Lahore"/>
    <n v="238.86"/>
    <x v="5"/>
    <s v="Retailer Listing"/>
    <s v="Low Averg"/>
    <n v="226.566129032258"/>
    <n v="31"/>
    <x v="5"/>
    <n v="7404.6600000000008"/>
    <n v="343.623842965976"/>
    <n v="3.5777118553904565E-2"/>
  </r>
  <r>
    <s v="Spinach"/>
    <s v="Vegetable"/>
    <s v="Quetta"/>
    <n v="60.48"/>
    <x v="5"/>
    <s v="Retailer Listing"/>
    <s v="Low Averg"/>
    <n v="62.182121212121217"/>
    <n v="33"/>
    <x v="5"/>
    <n v="1995.84"/>
    <n v="344.43680938984801"/>
    <n v="-4.9417517690296805E-3"/>
  </r>
  <r>
    <s v="Mango"/>
    <s v="Fruit"/>
    <s v="Multan"/>
    <n v="255"/>
    <x v="1"/>
    <s v="Wholesale Market"/>
    <s v="Low Averg"/>
    <n v="257.40029411764709"/>
    <n v="34"/>
    <x v="1"/>
    <n v="8670"/>
    <n v="344.61207639544"/>
    <n v="-6.9652060448768824E-3"/>
  </r>
  <r>
    <s v="Spices (Mixed)"/>
    <s v="Condiment"/>
    <s v="Quetta"/>
    <n v="885.88"/>
    <x v="4"/>
    <s v="Online Retailer"/>
    <s v="Above Averg"/>
    <n v="810.77454545454566"/>
    <n v="33"/>
    <x v="4"/>
    <n v="29234.04"/>
    <n v="345.46524250519502"/>
    <n v="0.2174037943754209"/>
  </r>
  <r>
    <s v="Lentils (Masoor)"/>
    <s v="Pulses"/>
    <s v="Peshawar"/>
    <n v="242.04"/>
    <x v="1"/>
    <s v="Online Retailer"/>
    <s v="Low Averg"/>
    <n v="249.29749999999999"/>
    <n v="32"/>
    <x v="1"/>
    <n v="7745.28"/>
    <n v="344.28015777817802"/>
    <n v="-2.1080215737196359E-2"/>
  </r>
  <r>
    <s v="Mutton"/>
    <s v="Meat"/>
    <s v="Lahore"/>
    <n v="1156.1199999999999"/>
    <x v="1"/>
    <s v="Wholesale Market"/>
    <s v="Above Averg"/>
    <n v="1235.856"/>
    <n v="25"/>
    <x v="1"/>
    <n v="28902.999999999996"/>
    <n v="345.12004330253501"/>
    <n v="-0.23103845038088061"/>
  </r>
  <r>
    <s v="Rice (Basmati)"/>
    <s v="Grain"/>
    <s v="Islamabad"/>
    <n v="312.45"/>
    <x v="2"/>
    <s v="Online Retailer"/>
    <s v="Low Averg"/>
    <n v="309.01727272727271"/>
    <n v="22"/>
    <x v="2"/>
    <n v="6873.9"/>
    <n v="340.95315637107598"/>
    <n v="1.0068031952727466E-2"/>
  </r>
  <r>
    <s v="Carrot"/>
    <s v="Vegetable"/>
    <s v="Quetta"/>
    <n v="131.5"/>
    <x v="9"/>
    <s v="Local Market Survey"/>
    <s v="Low Averg"/>
    <n v="141.74161290322584"/>
    <n v="31"/>
    <x v="9"/>
    <n v="4076.5"/>
    <n v="341.90647137097801"/>
    <n v="-2.9954428362116047E-2"/>
  </r>
  <r>
    <s v="Salt"/>
    <s v="Condiment"/>
    <s v="Peshawar"/>
    <n v="40.369999999999997"/>
    <x v="9"/>
    <s v="Retailer Listing"/>
    <s v="Low Averg"/>
    <n v="40.881379310344826"/>
    <n v="29"/>
    <x v="9"/>
    <n v="1170.73"/>
    <n v="342.422020067424"/>
    <n v="-1.4934182978189794E-3"/>
  </r>
  <r>
    <s v="Cheese (Local)"/>
    <s v="Dairy"/>
    <s v="Multan"/>
    <n v="948.91"/>
    <x v="11"/>
    <s v="Online Retailer"/>
    <s v="Above Averg"/>
    <n v="905.6025925925926"/>
    <n v="27"/>
    <x v="11"/>
    <n v="25620.57"/>
    <n v="342.49788750732802"/>
    <n v="0.12644576503112234"/>
  </r>
  <r>
    <s v="Carrot"/>
    <s v="Vegetable"/>
    <s v="Faisalabad"/>
    <n v="135.01"/>
    <x v="9"/>
    <s v="Municipal Report"/>
    <s v="Low Averg"/>
    <n v="141.74161290322584"/>
    <n v="31"/>
    <x v="9"/>
    <n v="4185.3099999999995"/>
    <n v="340.62073007070001"/>
    <n v="-1.9762781031643677E-2"/>
  </r>
  <r>
    <s v="Lentils (Masoor)"/>
    <s v="Pulses"/>
    <s v="Karachi"/>
    <n v="257.06"/>
    <x v="6"/>
    <s v="Wholesale Market"/>
    <s v="Low Averg"/>
    <n v="249.29749999999999"/>
    <n v="32"/>
    <x v="6"/>
    <n v="8225.92"/>
    <n v="341.154423710679"/>
    <n v="2.2753625515297783E-2"/>
  </r>
  <r>
    <s v="Eggplant"/>
    <s v="Vegetable"/>
    <s v="Islamabad"/>
    <n v="76.89"/>
    <x v="8"/>
    <s v="Local Market Survey"/>
    <s v="Low Averg"/>
    <n v="81.934666666666672"/>
    <n v="30"/>
    <x v="8"/>
    <n v="2306.6999999999998"/>
    <n v="342.05437916695701"/>
    <n v="-1.4748142324482173E-2"/>
  </r>
  <r>
    <s v="Flour (Atta)"/>
    <s v="Grain"/>
    <s v="Karachi"/>
    <n v="115.64"/>
    <x v="7"/>
    <s v="Wholesale Market"/>
    <s v="Low Averg"/>
    <n v="113.26108695652174"/>
    <n v="46"/>
    <x v="7"/>
    <n v="5319.44"/>
    <n v="342.32504634685398"/>
    <n v="6.9492813011054928E-3"/>
  </r>
  <r>
    <s v="Onion"/>
    <s v="Vegetable"/>
    <s v="Quetta"/>
    <n v="85.63"/>
    <x v="9"/>
    <s v="Retailer Listing"/>
    <s v="Low Averg"/>
    <n v="90.269599999999997"/>
    <n v="25"/>
    <x v="9"/>
    <n v="2140.75"/>
    <n v="342.77680771497899"/>
    <n v="-1.3535338142999037E-2"/>
  </r>
  <r>
    <s v="Oranges"/>
    <s v="Fruit"/>
    <s v="Multan"/>
    <n v="144.71"/>
    <x v="4"/>
    <s v="Municipal Report"/>
    <s v="Low Averg"/>
    <n v="151.26457142857143"/>
    <n v="35"/>
    <x v="4"/>
    <n v="5064.8500000000004"/>
    <n v="343.08252975990501"/>
    <n v="-1.9104940823301091E-2"/>
  </r>
  <r>
    <s v="Tomato"/>
    <s v="Vegetable"/>
    <s v="Lahore"/>
    <n v="115.83"/>
    <x v="4"/>
    <s v="Retailer Listing"/>
    <s v="Low Averg"/>
    <n v="123.43305555555558"/>
    <n v="36"/>
    <x v="4"/>
    <n v="4169.88"/>
    <n v="343.65434915382701"/>
    <n v="-2.2124135993845068E-2"/>
  </r>
  <r>
    <s v="Oranges"/>
    <s v="Fruit"/>
    <s v="Rawalpindi"/>
    <n v="135.76"/>
    <x v="9"/>
    <s v="Local Market Survey"/>
    <s v="Low Averg"/>
    <n v="151.26457142857143"/>
    <n v="35"/>
    <x v="9"/>
    <n v="4751.5999999999995"/>
    <n v="344.100294605133"/>
    <n v="-4.5058291642451134E-2"/>
  </r>
  <r>
    <s v="Tea (Loose)"/>
    <s v="Beverage"/>
    <s v="Faisalabad"/>
    <n v="954.71"/>
    <x v="5"/>
    <s v="Retailer Listing"/>
    <s v="Above Averg"/>
    <n v="911.5772916666665"/>
    <n v="48"/>
    <x v="5"/>
    <n v="45826.080000000002"/>
    <n v="344.633441379771"/>
    <n v="0.12515531911426778"/>
  </r>
  <r>
    <s v="Fish (Pomfret)"/>
    <s v="Meat"/>
    <s v="Karachi"/>
    <n v="1112.03"/>
    <x v="2"/>
    <s v="Municipal Report"/>
    <s v="Above Averg"/>
    <n v="1113.4854166666667"/>
    <n v="24"/>
    <x v="2"/>
    <n v="26688.720000000001"/>
    <n v="342.699726172326"/>
    <n v="-4.2469151724236417E-3"/>
  </r>
  <r>
    <s v="Spinach"/>
    <s v="Vegetable"/>
    <s v="Multan"/>
    <n v="65.44"/>
    <x v="10"/>
    <s v="Wholesale Market"/>
    <s v="Low Averg"/>
    <n v="62.182121212121217"/>
    <n v="33"/>
    <x v="10"/>
    <n v="2159.52"/>
    <n v="338.78777577701698"/>
    <n v="9.616281993666289E-3"/>
  </r>
  <r>
    <s v="Lentils (Masoor)"/>
    <s v="Pulses"/>
    <s v="Multan"/>
    <n v="241.84"/>
    <x v="2"/>
    <s v="Municipal Report"/>
    <s v="Low Averg"/>
    <n v="249.29749999999999"/>
    <n v="32"/>
    <x v="2"/>
    <n v="7738.88"/>
    <n v="338.98333457556498"/>
    <n v="-2.1999606586375064E-2"/>
  </r>
  <r>
    <s v="Chicken Breast"/>
    <s v="Meat"/>
    <s v="Faisalabad"/>
    <n v="666.04"/>
    <x v="6"/>
    <s v="Municipal Report"/>
    <s v="Above Averg"/>
    <n v="673.04079999999988"/>
    <n v="25"/>
    <x v="6"/>
    <n v="16651"/>
    <n v="339.88928119953403"/>
    <n v="-2.059729561136131E-2"/>
  </r>
  <r>
    <s v="Ghee"/>
    <s v="Oil"/>
    <s v="Hyderabad"/>
    <n v="920.28"/>
    <x v="11"/>
    <s v="Online Retailer"/>
    <s v="Above Averg"/>
    <n v="1024.1451428571424"/>
    <n v="35"/>
    <x v="11"/>
    <n v="32209.8"/>
    <n v="340.16075088263801"/>
    <n v="-0.30534134989894218"/>
  </r>
  <r>
    <s v="Spinach"/>
    <s v="Vegetable"/>
    <s v="Sialkot"/>
    <n v="63.96"/>
    <x v="5"/>
    <s v="Online Retailer"/>
    <s v="Low Averg"/>
    <n v="62.182121212121217"/>
    <n v="33"/>
    <x v="5"/>
    <n v="2110.6799999999998"/>
    <n v="338.39954372994401"/>
    <n v="5.2537860077541956E-3"/>
  </r>
  <r>
    <s v="Flour (Atta)"/>
    <s v="Grain"/>
    <s v="Lahore"/>
    <n v="115.3"/>
    <x v="10"/>
    <s v="Municipal Report"/>
    <s v="Low Averg"/>
    <n v="113.26108695652174"/>
    <n v="46"/>
    <x v="10"/>
    <n v="5303.8"/>
    <n v="338.604258465501"/>
    <n v="6.0215221530830112E-3"/>
  </r>
  <r>
    <s v="Fish (Rohu)"/>
    <s v="Meat"/>
    <s v="Karachi"/>
    <n v="597.47"/>
    <x v="8"/>
    <s v="Municipal Report"/>
    <s v="Above Averg"/>
    <n v="720.27689655172423"/>
    <n v="29"/>
    <x v="8"/>
    <n v="17326.63"/>
    <n v="339.075615033411"/>
    <n v="-0.3621814459869766"/>
  </r>
  <r>
    <s v="Lentils (Masoor)"/>
    <s v="Pulses"/>
    <s v="Hyderabad"/>
    <n v="246.71"/>
    <x v="8"/>
    <s v="Local Market Survey"/>
    <s v="Low Averg"/>
    <n v="249.29749999999999"/>
    <n v="32"/>
    <x v="8"/>
    <n v="7894.72"/>
    <n v="339.68319636745599"/>
    <n v="-7.6173918158757578E-3"/>
  </r>
  <r>
    <s v="Ghee"/>
    <s v="Oil"/>
    <s v="Karachi"/>
    <n v="1042.6400000000001"/>
    <x v="5"/>
    <s v="Local Market Survey"/>
    <s v="Above Averg"/>
    <n v="1024.1451428571424"/>
    <n v="35"/>
    <x v="5"/>
    <n v="36492.400000000001"/>
    <n v="340.64499515846899"/>
    <n v="5.4293641197498868E-2"/>
  </r>
  <r>
    <s v="Cheese (Local)"/>
    <s v="Dairy"/>
    <s v="Multan"/>
    <n v="1022.66"/>
    <x v="0"/>
    <s v="Wholesale Market"/>
    <s v="Above Averg"/>
    <n v="905.6025925925926"/>
    <n v="27"/>
    <x v="0"/>
    <n v="27611.82"/>
    <n v="337.36103713278698"/>
    <n v="0.34697962871549093"/>
  </r>
  <r>
    <s v="Mutton"/>
    <s v="Meat"/>
    <s v="Peshawar"/>
    <n v="1092.46"/>
    <x v="9"/>
    <s v="Wholesale Market"/>
    <s v="Above Averg"/>
    <n v="1235.856"/>
    <n v="25"/>
    <x v="9"/>
    <n v="27311.5"/>
    <n v="334.20702428721802"/>
    <n v="-0.42906339358314988"/>
  </r>
  <r>
    <s v="Guava"/>
    <s v="Fruit"/>
    <s v="Quetta"/>
    <n v="121.62"/>
    <x v="10"/>
    <s v="Municipal Report"/>
    <s v="Low Averg"/>
    <n v="132.90272727272728"/>
    <n v="22"/>
    <x v="10"/>
    <n v="2675.6400000000003"/>
    <n v="329.93639282487101"/>
    <n v="-3.4196674019880254E-2"/>
  </r>
  <r>
    <s v="Tomato"/>
    <s v="Vegetable"/>
    <s v="Sialkot"/>
    <n v="121.15"/>
    <x v="8"/>
    <s v="Online Retailer"/>
    <s v="Low Averg"/>
    <n v="123.43305555555558"/>
    <n v="36"/>
    <x v="8"/>
    <n v="4361.4000000000005"/>
    <n v="330.47520126493799"/>
    <n v="-6.9084020429275098E-3"/>
  </r>
  <r>
    <s v="Mango"/>
    <s v="Fruit"/>
    <s v="Multan"/>
    <n v="242.64"/>
    <x v="3"/>
    <s v="Online Retailer"/>
    <s v="Low Averg"/>
    <n v="257.40029411764709"/>
    <n v="34"/>
    <x v="3"/>
    <n v="8249.76"/>
    <n v="331.01045433019902"/>
    <n v="-4.4591625202637847E-2"/>
  </r>
  <r>
    <s v="Eggplant"/>
    <s v="Vegetable"/>
    <s v="Sialkot"/>
    <n v="78.89"/>
    <x v="3"/>
    <s v="Municipal Report"/>
    <s v="Low Averg"/>
    <n v="81.934666666666672"/>
    <n v="30"/>
    <x v="3"/>
    <n v="2366.6999999999998"/>
    <n v="331.99166318239799"/>
    <n v="-9.1709130207703899E-3"/>
  </r>
  <r>
    <s v="Wheat"/>
    <s v="Grain"/>
    <s v="Faisalabad"/>
    <n v="136.44"/>
    <x v="10"/>
    <s v="Municipal Report"/>
    <s v="Low Averg"/>
    <n v="120.53625"/>
    <n v="24"/>
    <x v="10"/>
    <n v="3274.56"/>
    <n v="332.30135051260697"/>
    <n v="4.7859420298674474E-2"/>
  </r>
  <r>
    <s v="Tomato"/>
    <s v="Vegetable"/>
    <s v="Multan"/>
    <n v="119.09"/>
    <x v="4"/>
    <s v="Wholesale Market"/>
    <s v="Low Averg"/>
    <n v="123.43305555555558"/>
    <n v="36"/>
    <x v="4"/>
    <n v="4287.24"/>
    <n v="332.910285763319"/>
    <n v="-1.3045723551609502E-2"/>
  </r>
  <r>
    <s v="Cooking Oil (Sunflower)"/>
    <s v="Oil"/>
    <s v="Karachi"/>
    <n v="341.05"/>
    <x v="9"/>
    <s v="Local Market Survey"/>
    <s v="Low Averg"/>
    <n v="368.73933333333326"/>
    <n v="30"/>
    <x v="9"/>
    <n v="10231.5"/>
    <n v="333.43297277561601"/>
    <n v="-8.3043176872512878E-2"/>
  </r>
  <r>
    <s v="Oranges"/>
    <s v="Fruit"/>
    <s v="Lahore"/>
    <n v="154.72999999999999"/>
    <x v="11"/>
    <s v="Municipal Report"/>
    <s v="Low Averg"/>
    <n v="151.26457142857143"/>
    <n v="35"/>
    <x v="11"/>
    <n v="5415.5499999999993"/>
    <n v="334.59010249620098"/>
    <n v="1.0357235750773314E-2"/>
  </r>
  <r>
    <s v="Potato"/>
    <s v="Vegetable"/>
    <s v="Peshawar"/>
    <n v="79.349999999999994"/>
    <x v="1"/>
    <s v="Wholesale Market"/>
    <s v="Low Averg"/>
    <n v="70.278611111111118"/>
    <n v="36"/>
    <x v="1"/>
    <n v="2856.6"/>
    <n v="335.29252881335702"/>
    <n v="2.7055147697426115E-2"/>
  </r>
  <r>
    <s v="Spinach"/>
    <s v="Vegetable"/>
    <s v="Faisalabad"/>
    <n v="65.36"/>
    <x v="11"/>
    <s v="Online Retailer"/>
    <s v="Low Averg"/>
    <n v="62.182121212121217"/>
    <n v="33"/>
    <x v="11"/>
    <n v="2156.88"/>
    <n v="335.59448227591298"/>
    <n v="9.4694011842127116E-3"/>
  </r>
  <r>
    <s v="Cooking Oil (Sunflower)"/>
    <s v="Oil"/>
    <s v="Sialkot"/>
    <n v="357.94"/>
    <x v="2"/>
    <s v="Local Market Survey"/>
    <s v="Low Averg"/>
    <n v="368.73933333333326"/>
    <n v="30"/>
    <x v="2"/>
    <n v="10738.2"/>
    <n v="335.79864892943999"/>
    <n v="-3.2160145276827742E-2"/>
  </r>
  <r>
    <s v="Chicken (Whole)"/>
    <s v="Meat"/>
    <s v="Quetta"/>
    <n v="536.92999999999995"/>
    <x v="9"/>
    <s v="Wholesale Market"/>
    <s v="Above Averg"/>
    <n v="533.4588235294118"/>
    <n v="34"/>
    <x v="9"/>
    <n v="18255.62"/>
    <n v="337.00223447845099"/>
    <n v="1.0300158620491598E-2"/>
  </r>
  <r>
    <s v="Oranges"/>
    <s v="Fruit"/>
    <s v="Quetta"/>
    <n v="164.08"/>
    <x v="0"/>
    <s v="Online Retailer"/>
    <s v="Low Averg"/>
    <n v="151.26457142857143"/>
    <n v="35"/>
    <x v="0"/>
    <n v="5742.8"/>
    <n v="337.928181556472"/>
    <n v="3.7923527160125196E-2"/>
  </r>
  <r>
    <s v="Yogurt"/>
    <s v="Dairy"/>
    <s v="Karachi"/>
    <n v="226.72"/>
    <x v="8"/>
    <s v="Wholesale Market"/>
    <s v="Low Averg"/>
    <n v="226.49633333333335"/>
    <n v="30"/>
    <x v="8"/>
    <n v="6801.6"/>
    <n v="338.69474435468601"/>
    <n v="6.6037832117175747E-4"/>
  </r>
  <r>
    <s v="Mango"/>
    <s v="Fruit"/>
    <s v="Karachi"/>
    <n v="232.72"/>
    <x v="11"/>
    <s v="Online Retailer"/>
    <s v="Low Averg"/>
    <n v="257.40029411764709"/>
    <n v="34"/>
    <x v="11"/>
    <n v="7912.48"/>
    <n v="339.705984891752"/>
    <n v="-7.2651926122265759E-2"/>
  </r>
  <r>
    <s v="Lentils (Moong)"/>
    <s v="Pulses"/>
    <s v="Islamabad"/>
    <n v="273.85000000000002"/>
    <x v="2"/>
    <s v="Municipal Report"/>
    <s v="Low Averg"/>
    <n v="304.90820512820511"/>
    <n v="39"/>
    <x v="2"/>
    <n v="10680.150000000001"/>
    <n v="340.74461932499003"/>
    <n v="-9.1148042747471486E-2"/>
  </r>
  <r>
    <s v="Salt"/>
    <s v="Condiment"/>
    <s v="Islamabad"/>
    <n v="36"/>
    <x v="8"/>
    <s v="Retailer Listing"/>
    <s v="Low Averg"/>
    <n v="40.881379310344826"/>
    <n v="29"/>
    <x v="8"/>
    <n v="1044"/>
    <n v="341.90205315531398"/>
    <n v="-1.4277127806914305E-2"/>
  </r>
  <r>
    <s v="Fish (Rohu)"/>
    <s v="Meat"/>
    <s v="Hyderabad"/>
    <n v="795.68"/>
    <x v="8"/>
    <s v="Municipal Report"/>
    <s v="Above Averg"/>
    <n v="720.27689655172423"/>
    <n v="29"/>
    <x v="8"/>
    <n v="23074.719999999998"/>
    <n v="341.91155099874697"/>
    <n v="0.22053394577638019"/>
  </r>
  <r>
    <s v="Tea (Loose)"/>
    <s v="Beverage"/>
    <s v="Islamabad"/>
    <n v="822.7"/>
    <x v="11"/>
    <s v="Online Retailer"/>
    <s v="Above Averg"/>
    <n v="911.5772916666665"/>
    <n v="48"/>
    <x v="11"/>
    <n v="39489.600000000006"/>
    <n v="341.25790625304501"/>
    <n v="-0.26044024193468313"/>
  </r>
  <r>
    <s v="Beef (Local)"/>
    <s v="Meat"/>
    <s v="Quetta"/>
    <n v="886.32"/>
    <x v="6"/>
    <s v="Retailer Listing"/>
    <s v="Above Averg"/>
    <n v="920.12567567567555"/>
    <n v="37"/>
    <x v="6"/>
    <n v="32793.840000000004"/>
    <n v="340.29793646271997"/>
    <n v="-9.934140661290479E-2"/>
  </r>
  <r>
    <s v="Lentils (Moong)"/>
    <s v="Pulses"/>
    <s v="Quetta"/>
    <n v="289.26"/>
    <x v="0"/>
    <s v="Local Market Survey"/>
    <s v="Low Averg"/>
    <n v="304.90820512820511"/>
    <n v="39"/>
    <x v="0"/>
    <n v="11281.14"/>
    <n v="338.58250478543101"/>
    <n v="-4.6216815420282317E-2"/>
  </r>
  <r>
    <s v="Banana"/>
    <s v="Fruit"/>
    <s v="Lahore"/>
    <n v="108.22"/>
    <x v="11"/>
    <s v="Retailer Listing"/>
    <s v="Low Averg"/>
    <n v="121.60903225806452"/>
    <n v="31"/>
    <x v="11"/>
    <n v="3354.82"/>
    <n v="339.82206427593798"/>
    <n v="-3.9400126317850059E-2"/>
  </r>
  <r>
    <s v="Flour (Atta)"/>
    <s v="Grain"/>
    <s v="Peshawar"/>
    <n v="109.44"/>
    <x v="11"/>
    <s v="Wholesale Market"/>
    <s v="Low Averg"/>
    <n v="113.26108695652174"/>
    <n v="46"/>
    <x v="11"/>
    <n v="5034.24"/>
    <n v="340.36705027467298"/>
    <n v="-1.1226371511102964E-2"/>
  </r>
  <r>
    <s v="Potato"/>
    <s v="Vegetable"/>
    <s v="Karachi"/>
    <n v="60.14"/>
    <x v="8"/>
    <s v="Local Market Survey"/>
    <s v="Low Averg"/>
    <n v="70.278611111111118"/>
    <n v="36"/>
    <x v="8"/>
    <n v="2165.04"/>
    <n v="340.91486959073097"/>
    <n v="-2.9739421818950115E-2"/>
  </r>
  <r>
    <s v="Eggplant"/>
    <s v="Vegetable"/>
    <s v="Faisalabad"/>
    <n v="83.33"/>
    <x v="2"/>
    <s v="Retailer Listing"/>
    <s v="Low Averg"/>
    <n v="81.934666666666672"/>
    <n v="30"/>
    <x v="2"/>
    <n v="2499.9"/>
    <n v="341.12599093592002"/>
    <n v="4.0903753170641209E-3"/>
  </r>
  <r>
    <s v="Mango"/>
    <s v="Fruit"/>
    <s v="Islamabad"/>
    <n v="232.62"/>
    <x v="9"/>
    <s v="Retailer Listing"/>
    <s v="Low Averg"/>
    <n v="257.40029411764709"/>
    <n v="34"/>
    <x v="9"/>
    <n v="7909.08"/>
    <n v="341.48796706176199"/>
    <n v="-7.2565643618023271E-2"/>
  </r>
  <r>
    <s v="Rice (Basmati)"/>
    <s v="Grain"/>
    <s v="Peshawar"/>
    <n v="344.54"/>
    <x v="3"/>
    <s v="Retailer Listing"/>
    <s v="Low Averg"/>
    <n v="309.01727272727271"/>
    <n v="22"/>
    <x v="3"/>
    <n v="7579.88"/>
    <n v="342.61544682788502"/>
    <n v="0.10368104416077997"/>
  </r>
  <r>
    <s v="Maize"/>
    <s v="Grain"/>
    <s v="Islamabad"/>
    <n v="97.04"/>
    <x v="5"/>
    <s v="Wholesale Market"/>
    <s v="Low Averg"/>
    <n v="102.25285714285715"/>
    <n v="28"/>
    <x v="5"/>
    <n v="2717.1200000000003"/>
    <n v="343.99202643640302"/>
    <n v="-1.5154005739202491E-2"/>
  </r>
  <r>
    <s v="Spices (Mixed)"/>
    <s v="Condiment"/>
    <s v="Karachi"/>
    <n v="835.89"/>
    <x v="0"/>
    <s v="Municipal Report"/>
    <s v="Above Averg"/>
    <n v="810.77454545454566"/>
    <n v="33"/>
    <x v="0"/>
    <n v="27584.37"/>
    <n v="344.451485979457"/>
    <n v="7.2914345177051157E-2"/>
  </r>
  <r>
    <s v="Chicken Breast"/>
    <s v="Meat"/>
    <s v="Hyderabad"/>
    <n v="737.41"/>
    <x v="0"/>
    <s v="Municipal Report"/>
    <s v="Above Averg"/>
    <n v="673.04079999999988"/>
    <n v="25"/>
    <x v="0"/>
    <n v="18435.25"/>
    <n v="343.36565044030903"/>
    <n v="0.18746546114166446"/>
  </r>
  <r>
    <s v="Flour (Atta)"/>
    <s v="Grain"/>
    <s v="Peshawar"/>
    <n v="110.52"/>
    <x v="3"/>
    <s v="Wholesale Market"/>
    <s v="Low Averg"/>
    <n v="113.26108695652174"/>
    <n v="46"/>
    <x v="3"/>
    <n v="5083.92"/>
    <n v="343.20558658197098"/>
    <n v="-7.9867200992285187E-3"/>
  </r>
  <r>
    <s v="Lentils (Moong)"/>
    <s v="Pulses"/>
    <s v="Islamabad"/>
    <n v="297.49"/>
    <x v="4"/>
    <s v="Local Market Survey"/>
    <s v="Low Averg"/>
    <n v="304.90820512820511"/>
    <n v="39"/>
    <x v="4"/>
    <n v="11602.11"/>
    <n v="343.79108230144698"/>
    <n v="-2.1577654308381926E-2"/>
  </r>
  <r>
    <s v="Onion"/>
    <s v="Vegetable"/>
    <s v="Faisalabad"/>
    <n v="81.86"/>
    <x v="6"/>
    <s v="Local Market Survey"/>
    <s v="Low Averg"/>
    <n v="90.269599999999997"/>
    <n v="25"/>
    <x v="6"/>
    <n v="2046.5"/>
    <n v="345.16835624530199"/>
    <n v="-2.436376292276201E-2"/>
  </r>
  <r>
    <s v="Apple"/>
    <s v="Fruit"/>
    <s v="Karachi"/>
    <n v="174.91"/>
    <x v="7"/>
    <s v="Retailer Listing"/>
    <s v="Low Averg"/>
    <n v="206.14838709677423"/>
    <n v="31"/>
    <x v="7"/>
    <n v="5422.21"/>
    <n v="345.55772629778198"/>
    <n v="-9.0399909246580604E-2"/>
  </r>
  <r>
    <s v="Lentils (Moong)"/>
    <s v="Pulses"/>
    <s v="Rawalpindi"/>
    <n v="320.5"/>
    <x v="7"/>
    <s v="Wholesale Market"/>
    <s v="Low Averg"/>
    <n v="304.90820512820511"/>
    <n v="39"/>
    <x v="7"/>
    <n v="12499.5"/>
    <n v="346.52077653330599"/>
    <n v="4.4995267030680561E-2"/>
  </r>
  <r>
    <s v="Ghee"/>
    <s v="Oil"/>
    <s v="Quetta"/>
    <n v="990.48"/>
    <x v="1"/>
    <s v="Wholesale Market"/>
    <s v="Above Averg"/>
    <n v="1024.1451428571424"/>
    <n v="35"/>
    <x v="1"/>
    <n v="34666.800000000003"/>
    <n v="347.97806936416401"/>
    <n v="-9.6745013036759434E-2"/>
  </r>
  <r>
    <s v="Wheat"/>
    <s v="Grain"/>
    <s v="Quetta"/>
    <n v="130.44"/>
    <x v="10"/>
    <s v="Municipal Report"/>
    <s v="Low Averg"/>
    <n v="120.53625"/>
    <n v="24"/>
    <x v="10"/>
    <n v="3130.56"/>
    <n v="344.77421955177601"/>
    <n v="2.872532062540923E-2"/>
  </r>
  <r>
    <s v="Mango"/>
    <s v="Fruit"/>
    <s v="Lahore"/>
    <n v="243.66"/>
    <x v="4"/>
    <s v="Retailer Listing"/>
    <s v="Low Averg"/>
    <n v="257.40029411764709"/>
    <n v="34"/>
    <x v="4"/>
    <n v="8284.44"/>
    <n v="345.51714502760501"/>
    <n v="-3.976732939417324E-2"/>
  </r>
  <r>
    <s v="Cooking Oil (Sunflower)"/>
    <s v="Oil"/>
    <s v="Faisalabad"/>
    <n v="380.05"/>
    <x v="1"/>
    <s v="Wholesale Market"/>
    <s v="Above Averg"/>
    <n v="368.73933333333326"/>
    <n v="30"/>
    <x v="1"/>
    <n v="11401.5"/>
    <n v="346.82074435761001"/>
    <n v="3.2612428324080345E-2"/>
  </r>
  <r>
    <s v="Apple"/>
    <s v="Fruit"/>
    <s v="Hyderabad"/>
    <n v="189.88"/>
    <x v="8"/>
    <s v="Municipal Report"/>
    <s v="Low Averg"/>
    <n v="206.14838709677423"/>
    <n v="31"/>
    <x v="8"/>
    <n v="5886.28"/>
    <n v="348.37949359649502"/>
    <n v="-4.6697315415518782E-2"/>
  </r>
  <r>
    <s v="Guava"/>
    <s v="Fruit"/>
    <s v="Peshawar"/>
    <n v="141.13999999999999"/>
    <x v="8"/>
    <s v="Online Retailer"/>
    <s v="Low Averg"/>
    <n v="132.90272727272728"/>
    <n v="22"/>
    <x v="8"/>
    <n v="3105.08"/>
    <n v="349.48779325931298"/>
    <n v="2.3569557753225497E-2"/>
  </r>
  <r>
    <s v="Maize"/>
    <s v="Grain"/>
    <s v="Quetta"/>
    <n v="100.18"/>
    <x v="6"/>
    <s v="Local Market Survey"/>
    <s v="Low Averg"/>
    <n v="102.25285714285715"/>
    <n v="28"/>
    <x v="6"/>
    <n v="2805.04"/>
    <n v="350.32645383564198"/>
    <n v="-5.9169301095076321E-3"/>
  </r>
  <r>
    <s v="Maize"/>
    <s v="Grain"/>
    <s v="Karachi"/>
    <n v="90.5"/>
    <x v="8"/>
    <s v="Local Market Survey"/>
    <s v="Low Averg"/>
    <n v="102.25285714285715"/>
    <n v="28"/>
    <x v="8"/>
    <n v="2534"/>
    <n v="350.878017382775"/>
    <n v="-3.3495564157944635E-2"/>
  </r>
  <r>
    <s v="Chicken (Whole)"/>
    <s v="Meat"/>
    <s v="Lahore"/>
    <n v="513.38"/>
    <x v="1"/>
    <s v="Online Retailer"/>
    <s v="Above Averg"/>
    <n v="533.4588235294118"/>
    <n v="34"/>
    <x v="1"/>
    <n v="17454.919999999998"/>
    <n v="351.34353480437301"/>
    <n v="-5.7148692206878474E-2"/>
  </r>
  <r>
    <s v="Lentils (Moong)"/>
    <s v="Pulses"/>
    <s v="Karachi"/>
    <n v="301.52"/>
    <x v="5"/>
    <s v="Local Market Survey"/>
    <s v="Low Averg"/>
    <n v="304.90820512820511"/>
    <n v="39"/>
    <x v="5"/>
    <n v="11759.279999999999"/>
    <n v="352.78736859890199"/>
    <n v="-9.6040998907115475E-3"/>
  </r>
  <r>
    <s v="Carrot"/>
    <s v="Vegetable"/>
    <s v="Lahore"/>
    <n v="121.06"/>
    <x v="6"/>
    <s v="Retailer Listing"/>
    <s v="Low Averg"/>
    <n v="141.74161290322584"/>
    <n v="31"/>
    <x v="6"/>
    <n v="3752.86"/>
    <n v="354.36286297528102"/>
    <n v="-5.8362811299073711E-2"/>
  </r>
  <r>
    <s v="Guava"/>
    <s v="Fruit"/>
    <s v="Peshawar"/>
    <n v="133.82"/>
    <x v="1"/>
    <s v="Municipal Report"/>
    <s v="Low Averg"/>
    <n v="132.90272727272728"/>
    <n v="22"/>
    <x v="1"/>
    <n v="2944.04"/>
    <n v="355.08691757656902"/>
    <n v="2.5832343628230726E-3"/>
  </r>
  <r>
    <s v="Milk"/>
    <s v="Dairy"/>
    <s v="Faisalabad"/>
    <n v="189.52"/>
    <x v="8"/>
    <s v="Municipal Report"/>
    <s v="Low Averg"/>
    <n v="206.78702702702708"/>
    <n v="37"/>
    <x v="8"/>
    <n v="7012.2400000000007"/>
    <n v="355.89720179358198"/>
    <n v="-4.8516894597676073E-2"/>
  </r>
  <r>
    <s v="Spices (Mixed)"/>
    <s v="Condiment"/>
    <s v="Karachi"/>
    <n v="875.31"/>
    <x v="4"/>
    <s v="Retailer Listing"/>
    <s v="Above Averg"/>
    <n v="810.77454545454566"/>
    <n v="33"/>
    <x v="4"/>
    <n v="28885.23"/>
    <n v="357.06171393955202"/>
    <n v="0.18074033710704607"/>
  </r>
  <r>
    <s v="Sugar"/>
    <s v="Grain"/>
    <s v="Multan"/>
    <n v="119.09"/>
    <x v="5"/>
    <s v="Wholesale Market"/>
    <s v="Low Averg"/>
    <n v="122.0377142857143"/>
    <n v="35"/>
    <x v="5"/>
    <n v="4168.1500000000005"/>
    <n v="355.60181102599802"/>
    <n v="-8.2893680355828978E-3"/>
  </r>
  <r>
    <s v="Spinach"/>
    <s v="Vegetable"/>
    <s v="Hyderabad"/>
    <n v="62.79"/>
    <x v="2"/>
    <s v="Wholesale Market"/>
    <s v="Low Averg"/>
    <n v="62.182121212121217"/>
    <n v="33"/>
    <x v="2"/>
    <n v="2072.0700000000002"/>
    <n v="356.33158699025"/>
    <n v="1.7059357353447731E-3"/>
  </r>
  <r>
    <s v="Tea (Loose)"/>
    <s v="Beverage"/>
    <s v="Karachi"/>
    <n v="826.97"/>
    <x v="9"/>
    <s v="Retailer Listing"/>
    <s v="Above Averg"/>
    <n v="911.5772916666665"/>
    <n v="48"/>
    <x v="9"/>
    <n v="39694.559999999998"/>
    <n v="356.56664240327802"/>
    <n v="-0.237283249763379"/>
  </r>
  <r>
    <s v="Flour (Atta)"/>
    <s v="Grain"/>
    <s v="Rawalpindi"/>
    <n v="107.21"/>
    <x v="7"/>
    <s v="Retailer Listing"/>
    <s v="Low Averg"/>
    <n v="113.26108695652174"/>
    <n v="46"/>
    <x v="7"/>
    <n v="4931.66"/>
    <n v="355.70887562855"/>
    <n v="-1.7011346556448054E-2"/>
  </r>
  <r>
    <s v="Potato"/>
    <s v="Vegetable"/>
    <s v="Karachi"/>
    <n v="70.260000000000005"/>
    <x v="5"/>
    <s v="Online Retailer"/>
    <s v="Low Averg"/>
    <n v="70.278611111111118"/>
    <n v="36"/>
    <x v="5"/>
    <n v="2529.36"/>
    <n v="356.35170693633597"/>
    <n v="-5.2226805004299031E-5"/>
  </r>
  <r>
    <s v="Chicken (Whole)"/>
    <s v="Meat"/>
    <s v="Lahore"/>
    <n v="530.88"/>
    <x v="6"/>
    <s v="Wholesale Market"/>
    <s v="Above Averg"/>
    <n v="533.4588235294118"/>
    <n v="34"/>
    <x v="6"/>
    <n v="18049.919999999998"/>
    <n v="356.64798634857698"/>
    <n v="-7.2307250513713606E-3"/>
  </r>
  <r>
    <s v="Onion"/>
    <s v="Vegetable"/>
    <s v="Multan"/>
    <n v="102.07"/>
    <x v="0"/>
    <s v="Municipal Report"/>
    <s v="Low Averg"/>
    <n v="90.269599999999997"/>
    <n v="25"/>
    <x v="0"/>
    <n v="2551.75"/>
    <n v="358.26052109328901"/>
    <n v="3.2938041746796987E-2"/>
  </r>
  <r>
    <s v="Ghee"/>
    <s v="Oil"/>
    <s v="Karachi"/>
    <n v="853.77"/>
    <x v="5"/>
    <s v="Wholesale Market"/>
    <s v="Above Averg"/>
    <n v="1024.1451428571424"/>
    <n v="35"/>
    <x v="5"/>
    <n v="29881.95"/>
    <n v="358.85864566430303"/>
    <n v="-0.47476950859509498"/>
  </r>
  <r>
    <s v="Sugar"/>
    <s v="Grain"/>
    <s v="Hyderabad"/>
    <n v="134.96"/>
    <x v="5"/>
    <s v="Local Market Survey"/>
    <s v="Low Averg"/>
    <n v="122.0377142857143"/>
    <n v="35"/>
    <x v="5"/>
    <n v="4723.6000000000004"/>
    <n v="357.67287105032301"/>
    <n v="3.612878347843048E-2"/>
  </r>
  <r>
    <s v="Oranges"/>
    <s v="Fruit"/>
    <s v="Rawalpindi"/>
    <n v="154.25"/>
    <x v="1"/>
    <s v="Retailer Listing"/>
    <s v="Low Averg"/>
    <n v="151.26457142857143"/>
    <n v="35"/>
    <x v="1"/>
    <n v="5398.75"/>
    <n v="358.57304192819498"/>
    <n v="8.3258589529616941E-3"/>
  </r>
  <r>
    <s v="Oranges"/>
    <s v="Fruit"/>
    <s v="Karachi"/>
    <n v="161.38"/>
    <x v="1"/>
    <s v="Local Market Survey"/>
    <s v="Low Averg"/>
    <n v="151.26457142857143"/>
    <n v="35"/>
    <x v="1"/>
    <n v="5648.3"/>
    <n v="359.619071253073"/>
    <n v="2.8128176117528773E-2"/>
  </r>
  <r>
    <s v="Guava"/>
    <s v="Fruit"/>
    <s v="Faisalabad"/>
    <n v="133.97999999999999"/>
    <x v="2"/>
    <s v="Retailer Listing"/>
    <s v="Low Averg"/>
    <n v="132.90272727272728"/>
    <n v="22"/>
    <x v="2"/>
    <n v="2947.56"/>
    <n v="360.71881781179798"/>
    <n v="2.9864611272782888E-3"/>
  </r>
  <r>
    <s v="Eggplant"/>
    <s v="Vegetable"/>
    <s v="Faisalabad"/>
    <n v="80.239999999999995"/>
    <x v="9"/>
    <s v="Wholesale Market"/>
    <s v="Low Averg"/>
    <n v="81.934666666666672"/>
    <n v="30"/>
    <x v="9"/>
    <n v="2407.1999999999998"/>
    <n v="361.59956318819002"/>
    <n v="-4.6865838324719128E-3"/>
  </r>
  <r>
    <s v="Wheat"/>
    <s v="Grain"/>
    <s v="Lahore"/>
    <n v="131.66999999999999"/>
    <x v="2"/>
    <s v="Wholesale Market"/>
    <s v="Low Averg"/>
    <n v="120.53625"/>
    <n v="24"/>
    <x v="2"/>
    <n v="3160.08"/>
    <n v="361.96164430115999"/>
    <n v="3.0759474588795018E-2"/>
  </r>
  <r>
    <s v="Potato"/>
    <s v="Vegetable"/>
    <s v="Hyderabad"/>
    <n v="62.15"/>
    <x v="6"/>
    <s v="Retailer Listing"/>
    <s v="Low Averg"/>
    <n v="70.278611111111118"/>
    <n v="36"/>
    <x v="6"/>
    <n v="2237.4"/>
    <n v="362.79466491027199"/>
    <n v="-2.2405542025050244E-2"/>
  </r>
  <r>
    <s v="Cheese (Local)"/>
    <s v="Dairy"/>
    <s v="Quetta"/>
    <n v="921.48"/>
    <x v="9"/>
    <s v="Wholesale Market"/>
    <s v="Above Averg"/>
    <n v="905.6025925925926"/>
    <n v="27"/>
    <x v="9"/>
    <n v="24879.96"/>
    <n v="362.90379911423901"/>
    <n v="4.3751009072267512E-2"/>
  </r>
  <r>
    <s v="Lentils (Masoor)"/>
    <s v="Pulses"/>
    <s v="Islamabad"/>
    <n v="208.44"/>
    <x v="6"/>
    <s v="Wholesale Market"/>
    <s v="Low Averg"/>
    <n v="249.29749999999999"/>
    <n v="32"/>
    <x v="6"/>
    <n v="6670.08"/>
    <n v="360.867188648357"/>
    <n v="-0.1132203239453092"/>
  </r>
  <r>
    <s v="Mango"/>
    <s v="Fruit"/>
    <s v="Lahore"/>
    <n v="263.43"/>
    <x v="5"/>
    <s v="Local Market Survey"/>
    <s v="Low Averg"/>
    <n v="257.40029411764709"/>
    <n v="34"/>
    <x v="5"/>
    <n v="8956.6200000000008"/>
    <n v="362.32348075607598"/>
    <n v="1.6641775105964613E-2"/>
  </r>
  <r>
    <s v="Chicken Breast"/>
    <s v="Meat"/>
    <s v="Peshawar"/>
    <n v="612.30999999999995"/>
    <x v="9"/>
    <s v="Local Market Survey"/>
    <s v="Above Averg"/>
    <n v="673.04079999999988"/>
    <n v="25"/>
    <x v="9"/>
    <n v="15307.749999999998"/>
    <n v="364.120335480356"/>
    <n v="-0.16678771846093807"/>
  </r>
  <r>
    <s v="Chicken Breast"/>
    <s v="Meat"/>
    <s v="Karachi"/>
    <n v="708.19"/>
    <x v="1"/>
    <s v="Local Market Survey"/>
    <s v="Above Averg"/>
    <n v="673.04079999999988"/>
    <n v="25"/>
    <x v="1"/>
    <n v="17704.75"/>
    <n v="365.68263392786503"/>
    <n v="9.6119412678846952E-2"/>
  </r>
  <r>
    <s v="Mutton"/>
    <s v="Meat"/>
    <s v="Faisalabad"/>
    <n v="1185.6400000000001"/>
    <x v="7"/>
    <s v="Wholesale Market"/>
    <s v="Above Averg"/>
    <n v="1235.856"/>
    <n v="25"/>
    <x v="7"/>
    <n v="29641.000000000004"/>
    <n v="366.45442669248399"/>
    <n v="-0.13703204639451508"/>
  </r>
  <r>
    <s v="Beef (Local)"/>
    <s v="Meat"/>
    <s v="Rawalpindi"/>
    <n v="1022.33"/>
    <x v="0"/>
    <s v="Municipal Report"/>
    <s v="Above Averg"/>
    <n v="920.12567567567555"/>
    <n v="37"/>
    <x v="0"/>
    <n v="37826.21"/>
    <n v="358.26079423763002"/>
    <n v="0.28527912059652727"/>
  </r>
  <r>
    <s v="Mutton"/>
    <s v="Meat"/>
    <s v="Rawalpindi"/>
    <n v="1315.1"/>
    <x v="0"/>
    <s v="Local Market Survey"/>
    <s v="Above Averg"/>
    <n v="1235.856"/>
    <n v="25"/>
    <x v="0"/>
    <n v="32877.5"/>
    <n v="353.575380949063"/>
    <n v="0.22412193911039302"/>
  </r>
  <r>
    <s v="Beef (Local)"/>
    <s v="Meat"/>
    <s v="Quetta"/>
    <n v="899.6"/>
    <x v="11"/>
    <s v="Retailer Listing"/>
    <s v="Above Averg"/>
    <n v="920.12567567567555"/>
    <n v="37"/>
    <x v="11"/>
    <n v="33285.200000000004"/>
    <n v="339.950841442029"/>
    <n v="-6.0378364085254731E-2"/>
  </r>
  <r>
    <s v="Onion"/>
    <s v="Vegetable"/>
    <s v="Karachi"/>
    <n v="93.25"/>
    <x v="5"/>
    <s v="Retailer Listing"/>
    <s v="Low Averg"/>
    <n v="90.269599999999997"/>
    <n v="25"/>
    <x v="5"/>
    <n v="2331.25"/>
    <n v="336.93753066255601"/>
    <n v="8.8455566055206918E-3"/>
  </r>
  <r>
    <s v="Ghee"/>
    <s v="Oil"/>
    <s v="Hyderabad"/>
    <n v="1005.25"/>
    <x v="9"/>
    <s v="Online Retailer"/>
    <s v="Above Averg"/>
    <n v="1024.1451428571424"/>
    <n v="35"/>
    <x v="9"/>
    <n v="35183.75"/>
    <n v="337.59310618652802"/>
    <n v="-5.5970167965167038E-2"/>
  </r>
  <r>
    <s v="Tomato"/>
    <s v="Vegetable"/>
    <s v="Rawalpindi"/>
    <n v="131.07"/>
    <x v="1"/>
    <s v="Municipal Report"/>
    <s v="Low Averg"/>
    <n v="123.43305555555558"/>
    <n v="36"/>
    <x v="1"/>
    <n v="4718.5199999999995"/>
    <n v="331.91871629744497"/>
    <n v="2.3008477887702643E-2"/>
  </r>
  <r>
    <s v="Eggplant"/>
    <s v="Vegetable"/>
    <s v="Karachi"/>
    <n v="82.39"/>
    <x v="11"/>
    <s v="Online Retailer"/>
    <s v="Low Averg"/>
    <n v="81.934666666666672"/>
    <n v="30"/>
    <x v="11"/>
    <n v="2471.6999999999998"/>
    <n v="332.98677710445901"/>
    <n v="1.3674216654870021E-3"/>
  </r>
  <r>
    <s v="Rice (Basmati)"/>
    <s v="Grain"/>
    <s v="Rawalpindi"/>
    <n v="277.58"/>
    <x v="2"/>
    <s v="Online Retailer"/>
    <s v="Low Averg"/>
    <n v="309.01727272727271"/>
    <n v="22"/>
    <x v="2"/>
    <n v="6106.7599999999993"/>
    <n v="333.51005398501701"/>
    <n v="-9.4261844138243137E-2"/>
  </r>
  <r>
    <s v="Tomato"/>
    <s v="Vegetable"/>
    <s v="Multan"/>
    <n v="133.44"/>
    <x v="9"/>
    <s v="Wholesale Market"/>
    <s v="Low Averg"/>
    <n v="123.43305555555558"/>
    <n v="36"/>
    <x v="9"/>
    <n v="4803.84"/>
    <n v="335.61240219468601"/>
    <n v="2.9816968559581023E-2"/>
  </r>
  <r>
    <s v="Maize"/>
    <s v="Grain"/>
    <s v="Sialkot"/>
    <n v="99.86"/>
    <x v="7"/>
    <s v="Retailer Listing"/>
    <s v="Low Averg"/>
    <n v="102.25285714285715"/>
    <n v="28"/>
    <x v="7"/>
    <n v="2796.08"/>
    <n v="336.70184690728797"/>
    <n v="-7.1067538382586729E-3"/>
  </r>
  <r>
    <s v="Milk"/>
    <s v="Dairy"/>
    <s v="Quetta"/>
    <n v="213.35"/>
    <x v="11"/>
    <s v="Wholesale Market"/>
    <s v="Low Averg"/>
    <n v="206.78702702702708"/>
    <n v="37"/>
    <x v="11"/>
    <n v="7893.95"/>
    <n v="337.40116294461501"/>
    <n v="1.9451542240387115E-2"/>
  </r>
  <r>
    <s v="Chicken (Whole)"/>
    <s v="Meat"/>
    <s v="Lahore"/>
    <n v="492.86"/>
    <x v="3"/>
    <s v="Municipal Report"/>
    <s v="Above Averg"/>
    <n v="533.4588235294118"/>
    <n v="34"/>
    <x v="3"/>
    <n v="16757.240000000002"/>
    <n v="339.196908954528"/>
    <n v="-0.11969101857250232"/>
  </r>
  <r>
    <s v="Flour (Atta)"/>
    <s v="Grain"/>
    <s v="Rawalpindi"/>
    <n v="108.98"/>
    <x v="9"/>
    <s v="Local Market Survey"/>
    <s v="Low Averg"/>
    <n v="113.26108695652174"/>
    <n v="46"/>
    <x v="9"/>
    <n v="5013.08"/>
    <n v="341.440852808042"/>
    <n v="-1.2538297398549902E-2"/>
  </r>
  <r>
    <s v="Grapes"/>
    <s v="Fruit"/>
    <s v="Lahore"/>
    <n v="199.87"/>
    <x v="3"/>
    <s v="Local Market Survey"/>
    <s v="Low Averg"/>
    <n v="226.566129032258"/>
    <n v="31"/>
    <x v="3"/>
    <n v="6195.97"/>
    <n v="342.28252176062102"/>
    <n v="-7.7994426636041392E-2"/>
  </r>
  <r>
    <s v="Rice (Basmati)"/>
    <s v="Grain"/>
    <s v="Peshawar"/>
    <n v="285.17"/>
    <x v="3"/>
    <s v="Local Market Survey"/>
    <s v="Low Averg"/>
    <n v="309.01727272727271"/>
    <n v="22"/>
    <x v="3"/>
    <n v="6273.7400000000007"/>
    <n v="344.055888194771"/>
    <n v="-6.9312206375531316E-2"/>
  </r>
  <r>
    <s v="Tomato"/>
    <s v="Vegetable"/>
    <s v="Sialkot"/>
    <n v="127.52"/>
    <x v="8"/>
    <s v="Online Retailer"/>
    <s v="Low Averg"/>
    <n v="123.43305555555558"/>
    <n v="36"/>
    <x v="8"/>
    <n v="4590.72"/>
    <n v="346.42940680976301"/>
    <n v="1.1797336958431772E-2"/>
  </r>
  <r>
    <s v="Fish (Rohu)"/>
    <s v="Meat"/>
    <s v="Lahore"/>
    <n v="690.06"/>
    <x v="4"/>
    <s v="Retailer Listing"/>
    <s v="Above Averg"/>
    <n v="720.27689655172423"/>
    <n v="29"/>
    <x v="4"/>
    <n v="20011.739999999998"/>
    <n v="347.49795742343798"/>
    <n v="-8.6955609108527745E-2"/>
  </r>
  <r>
    <s v="Oranges"/>
    <s v="Fruit"/>
    <s v="Sialkot"/>
    <n v="142.53"/>
    <x v="8"/>
    <s v="Local Market Survey"/>
    <s v="Low Averg"/>
    <n v="151.26457142857143"/>
    <n v="35"/>
    <x v="8"/>
    <n v="4988.55"/>
    <n v="348.28923207666901"/>
    <n v="-2.507849977586641E-2"/>
  </r>
  <r>
    <s v="Maize"/>
    <s v="Grain"/>
    <s v="Hyderabad"/>
    <n v="101"/>
    <x v="9"/>
    <s v="Municipal Report"/>
    <s v="Low Averg"/>
    <n v="102.25285714285715"/>
    <n v="28"/>
    <x v="9"/>
    <n v="2828"/>
    <n v="349.60331763234097"/>
    <n v="-3.5836534714316268E-3"/>
  </r>
  <r>
    <s v="Lentils (Moong)"/>
    <s v="Pulses"/>
    <s v="Faisalabad"/>
    <n v="321.58"/>
    <x v="3"/>
    <s v="Wholesale Market"/>
    <s v="Low Averg"/>
    <n v="304.90820512820511"/>
    <n v="39"/>
    <x v="3"/>
    <n v="12541.619999999999"/>
    <n v="350.36096805548902"/>
    <n v="4.7584623836164443E-2"/>
  </r>
  <r>
    <s v="Eggplant"/>
    <s v="Vegetable"/>
    <s v="Faisalabad"/>
    <n v="79.84"/>
    <x v="0"/>
    <s v="Municipal Report"/>
    <s v="Low Averg"/>
    <n v="81.934666666666672"/>
    <n v="30"/>
    <x v="0"/>
    <n v="2395.2000000000003"/>
    <n v="353.10883651607702"/>
    <n v="-5.9320709369200357E-3"/>
  </r>
  <r>
    <s v="Ghee"/>
    <s v="Oil"/>
    <s v="Rawalpindi"/>
    <n v="1018.51"/>
    <x v="2"/>
    <s v="Retailer Listing"/>
    <s v="Above Averg"/>
    <n v="1024.1451428571424"/>
    <n v="35"/>
    <x v="2"/>
    <n v="35647.85"/>
    <n v="353.52865788706498"/>
    <n v="-1.5939705965626712E-2"/>
  </r>
  <r>
    <s v="Ghee"/>
    <s v="Oil"/>
    <s v="Lahore"/>
    <n v="1080.25"/>
    <x v="4"/>
    <s v="Wholesale Market"/>
    <s v="Above Averg"/>
    <n v="1024.1451428571424"/>
    <n v="35"/>
    <x v="4"/>
    <n v="37808.75"/>
    <n v="347.33814135950303"/>
    <n v="0.16152806289358163"/>
  </r>
  <r>
    <s v="Yogurt"/>
    <s v="Dairy"/>
    <s v="Lahore"/>
    <n v="230.01"/>
    <x v="10"/>
    <s v="Local Market Survey"/>
    <s v="Low Averg"/>
    <n v="226.49633333333335"/>
    <n v="30"/>
    <x v="10"/>
    <n v="6900.2999999999993"/>
    <n v="338.368355018535"/>
    <n v="1.0384146787231823E-2"/>
  </r>
  <r>
    <s v="Guava"/>
    <s v="Fruit"/>
    <s v="Quetta"/>
    <n v="152.13999999999999"/>
    <x v="10"/>
    <s v="Municipal Report"/>
    <s v="Low Averg"/>
    <n v="132.90272727272728"/>
    <n v="22"/>
    <x v="10"/>
    <n v="3347.08"/>
    <n v="340.71207151926302"/>
    <n v="5.6461964031659158E-2"/>
  </r>
  <r>
    <s v="Cheese (Local)"/>
    <s v="Dairy"/>
    <s v="Islamabad"/>
    <n v="884.36"/>
    <x v="9"/>
    <s v="Wholesale Market"/>
    <s v="Above Averg"/>
    <n v="905.6025925925926"/>
    <n v="27"/>
    <x v="9"/>
    <n v="23877.72"/>
    <n v="342.26076733691298"/>
    <n v="-6.2065520269467246E-2"/>
  </r>
  <r>
    <s v="Chicken Breast"/>
    <s v="Meat"/>
    <s v="Sialkot"/>
    <n v="636.97"/>
    <x v="8"/>
    <s v="Municipal Report"/>
    <s v="Above Averg"/>
    <n v="673.04079999999988"/>
    <n v="25"/>
    <x v="8"/>
    <n v="15924.25"/>
    <n v="338.81414764882999"/>
    <n v="-0.10646190618163347"/>
  </r>
  <r>
    <s v="Flour (Atta)"/>
    <s v="Grain"/>
    <s v="Hyderabad"/>
    <n v="103.46"/>
    <x v="8"/>
    <s v="Online Retailer"/>
    <s v="Low Averg"/>
    <n v="113.26108695652174"/>
    <n v="46"/>
    <x v="8"/>
    <n v="4759.16"/>
    <n v="340.22168938572503"/>
    <n v="-2.8807942768780383E-2"/>
  </r>
  <r>
    <s v="Fish (Pomfret)"/>
    <s v="Meat"/>
    <s v="Karachi"/>
    <n v="921.13"/>
    <x v="8"/>
    <s v="Municipal Report"/>
    <s v="Above Averg"/>
    <n v="1113.4854166666667"/>
    <n v="24"/>
    <x v="8"/>
    <n v="22107.119999999999"/>
    <n v="341.26732552189702"/>
    <n v="-0.56365025972673843"/>
  </r>
  <r>
    <s v="Tomato"/>
    <s v="Vegetable"/>
    <s v="Islamabad"/>
    <n v="137.32"/>
    <x v="4"/>
    <s v="Online Retailer"/>
    <s v="Low Averg"/>
    <n v="123.43305555555558"/>
    <n v="36"/>
    <x v="4"/>
    <n v="4943.5199999999995"/>
    <n v="336.21024094633799"/>
    <n v="4.130434696265211E-2"/>
  </r>
  <r>
    <s v="Oranges"/>
    <s v="Fruit"/>
    <s v="Hyderabad"/>
    <n v="161.06"/>
    <x v="10"/>
    <s v="Wholesale Market"/>
    <s v="Low Averg"/>
    <n v="151.26457142857143"/>
    <n v="35"/>
    <x v="10"/>
    <n v="5637.1"/>
    <n v="337.83579376075699"/>
    <n v="2.8994644002598904E-2"/>
  </r>
  <r>
    <s v="Chicken (Whole)"/>
    <s v="Meat"/>
    <s v="Faisalabad"/>
    <n v="548.45000000000005"/>
    <x v="2"/>
    <s v="Wholesale Market"/>
    <s v="Above Averg"/>
    <n v="533.4588235294118"/>
    <n v="34"/>
    <x v="2"/>
    <n v="18647.300000000003"/>
    <n v="339.78674441695"/>
    <n v="4.4119368153434119E-2"/>
  </r>
  <r>
    <s v="Banana"/>
    <s v="Fruit"/>
    <s v="Islamabad"/>
    <n v="104.04"/>
    <x v="8"/>
    <s v="Local Market Survey"/>
    <s v="Low Averg"/>
    <n v="121.60903225806452"/>
    <n v="31"/>
    <x v="8"/>
    <n v="3225.2400000000002"/>
    <n v="342.48414018495998"/>
    <n v="-5.1298819993755858E-2"/>
  </r>
  <r>
    <s v="Mango"/>
    <s v="Fruit"/>
    <s v="Lahore"/>
    <n v="265.49"/>
    <x v="8"/>
    <s v="Local Market Survey"/>
    <s v="Low Averg"/>
    <n v="257.40029411764709"/>
    <n v="34"/>
    <x v="8"/>
    <n v="9026.66"/>
    <n v="343.673796758386"/>
    <n v="2.3538907995479929E-2"/>
  </r>
  <r>
    <s v="Tomato"/>
    <s v="Vegetable"/>
    <s v="Islamabad"/>
    <n v="120.43"/>
    <x v="7"/>
    <s v="Municipal Report"/>
    <s v="Low Averg"/>
    <n v="123.43305555555558"/>
    <n v="36"/>
    <x v="7"/>
    <n v="4335.4800000000005"/>
    <n v="346.91018026848502"/>
    <n v="-8.6565795020238801E-3"/>
  </r>
  <r>
    <s v="Rice (Basmati)"/>
    <s v="Grain"/>
    <s v="Quetta"/>
    <n v="306.61"/>
    <x v="3"/>
    <s v="Online Retailer"/>
    <s v="Low Averg"/>
    <n v="309.01727272727271"/>
    <n v="22"/>
    <x v="3"/>
    <n v="6745.42"/>
    <n v="348.37475213548299"/>
    <n v="-6.9100091568533332E-3"/>
  </r>
  <r>
    <s v="Spices (Mixed)"/>
    <s v="Condiment"/>
    <s v="Faisalabad"/>
    <n v="800.43"/>
    <x v="5"/>
    <s v="Online Retailer"/>
    <s v="Above Averg"/>
    <n v="810.77454545454566"/>
    <n v="33"/>
    <x v="5"/>
    <n v="26414.19"/>
    <n v="352.04556324100503"/>
    <n v="-2.9384109713844035E-2"/>
  </r>
  <r>
    <s v="Maize"/>
    <s v="Grain"/>
    <s v="Faisalabad"/>
    <n v="111.67"/>
    <x v="9"/>
    <s v="Municipal Report"/>
    <s v="Low Averg"/>
    <n v="102.25285714285715"/>
    <n v="28"/>
    <x v="9"/>
    <n v="3126.76"/>
    <n v="350.67568757166299"/>
    <n v="2.685427929821451E-2"/>
  </r>
  <r>
    <s v="Chicken Breast"/>
    <s v="Meat"/>
    <s v="Peshawar"/>
    <n v="673.99"/>
    <x v="0"/>
    <s v="Wholesale Market"/>
    <s v="Above Averg"/>
    <n v="673.04079999999988"/>
    <n v="25"/>
    <x v="0"/>
    <n v="16849.75"/>
    <n v="352.17108323685102"/>
    <n v="2.6952809165247467E-3"/>
  </r>
  <r>
    <s v="Fish (Rohu)"/>
    <s v="Meat"/>
    <s v="Hyderabad"/>
    <n v="698.56"/>
    <x v="9"/>
    <s v="Wholesale Market"/>
    <s v="Above Averg"/>
    <n v="720.27689655172423"/>
    <n v="29"/>
    <x v="9"/>
    <n v="20258.239999999998"/>
    <n v="353.71646187183501"/>
    <n v="-6.1396341116838241E-2"/>
  </r>
  <r>
    <s v="Onion"/>
    <s v="Vegetable"/>
    <s v="Karachi"/>
    <n v="92.92"/>
    <x v="0"/>
    <s v="Retailer Listing"/>
    <s v="Low Averg"/>
    <n v="90.269599999999997"/>
    <n v="25"/>
    <x v="0"/>
    <n v="2323"/>
    <n v="354.66885573574501"/>
    <n v="7.472886206774108E-3"/>
  </r>
  <r>
    <s v="Yogurt"/>
    <s v="Dairy"/>
    <s v="Peshawar"/>
    <n v="212.84"/>
    <x v="4"/>
    <s v="Municipal Report"/>
    <s v="Low Averg"/>
    <n v="226.49633333333335"/>
    <n v="30"/>
    <x v="4"/>
    <n v="6385.2"/>
    <n v="356.12713947292298"/>
    <n v="-3.8346791973071927E-2"/>
  </r>
  <r>
    <s v="Mango"/>
    <s v="Fruit"/>
    <s v="Multan"/>
    <n v="275.04000000000002"/>
    <x v="10"/>
    <s v="Municipal Report"/>
    <s v="Low Averg"/>
    <n v="257.40029411764709"/>
    <n v="34"/>
    <x v="10"/>
    <n v="9351.36"/>
    <n v="359.62360730703398"/>
    <n v="4.9050466999216676E-2"/>
  </r>
  <r>
    <s v="Spinach"/>
    <s v="Vegetable"/>
    <s v="Multan"/>
    <n v="58.8"/>
    <x v="0"/>
    <s v="Wholesale Market"/>
    <s v="Low Averg"/>
    <n v="62.182121212121217"/>
    <n v="33"/>
    <x v="0"/>
    <n v="1940.3999999999999"/>
    <n v="363.91899542999897"/>
    <n v="-9.2936099917647255E-3"/>
  </r>
  <r>
    <s v="Rice (Irri)"/>
    <s v="Grain"/>
    <s v="Multan"/>
    <n v="131.71"/>
    <x v="2"/>
    <s v="Online Retailer"/>
    <s v="Low Averg"/>
    <n v="140.29840000000002"/>
    <n v="25"/>
    <x v="2"/>
    <n v="3292.75"/>
    <n v="364.507130433393"/>
    <n v="-2.3561678998675666E-2"/>
  </r>
  <r>
    <s v="Chickpeas"/>
    <s v="Pulses"/>
    <s v="Quetta"/>
    <n v="218.29"/>
    <x v="0"/>
    <s v="Local Market Survey"/>
    <s v="Low Averg"/>
    <n v="203.25225806451613"/>
    <n v="31"/>
    <x v="0"/>
    <n v="6766.99"/>
    <n v="366.68914589837902"/>
    <n v="4.1009509290605761E-2"/>
  </r>
  <r>
    <s v="Tea (Loose)"/>
    <s v="Beverage"/>
    <s v="Rawalpindi"/>
    <n v="897.65"/>
    <x v="7"/>
    <s v="Online Retailer"/>
    <s v="Above Averg"/>
    <n v="911.5772916666665"/>
    <n v="48"/>
    <x v="7"/>
    <n v="43087.199999999997"/>
    <n v="370.49686574321498"/>
    <n v="-3.7590848815221248E-2"/>
  </r>
  <r>
    <s v="Chicken (Whole)"/>
    <s v="Meat"/>
    <s v="Faisalabad"/>
    <n v="596.08000000000004"/>
    <x v="4"/>
    <s v="Local Market Survey"/>
    <s v="Above Averg"/>
    <n v="533.4588235294118"/>
    <n v="34"/>
    <x v="4"/>
    <n v="20266.72"/>
    <n v="366.42850621971297"/>
    <n v="0.1708960285776461"/>
  </r>
  <r>
    <s v="Ghee"/>
    <s v="Oil"/>
    <s v="Hyderabad"/>
    <n v="1109.79"/>
    <x v="1"/>
    <s v="Online Retailer"/>
    <s v="Above Averg"/>
    <n v="1024.1451428571424"/>
    <n v="35"/>
    <x v="1"/>
    <n v="38842.65"/>
    <n v="370.51940152857202"/>
    <n v="0.23114810395766319"/>
  </r>
  <r>
    <s v="Spices (Mixed)"/>
    <s v="Condiment"/>
    <s v="Faisalabad"/>
    <n v="864.24"/>
    <x v="4"/>
    <s v="Municipal Report"/>
    <s v="Above Averg"/>
    <n v="810.77454545454566"/>
    <n v="33"/>
    <x v="4"/>
    <n v="28519.920000000002"/>
    <n v="353.40367450769998"/>
    <n v="0.15128720611049967"/>
  </r>
  <r>
    <s v="Oranges"/>
    <s v="Fruit"/>
    <s v="Karachi"/>
    <n v="134.97999999999999"/>
    <x v="6"/>
    <s v="Retailer Listing"/>
    <s v="Low Averg"/>
    <n v="151.26457142857143"/>
    <n v="35"/>
    <x v="6"/>
    <n v="4724.2999999999993"/>
    <n v="347.66729283173299"/>
    <n v="-4.6839526651858469E-2"/>
  </r>
  <r>
    <s v="Fish (Rohu)"/>
    <s v="Meat"/>
    <s v="Peshawar"/>
    <n v="786.38"/>
    <x v="10"/>
    <s v="Municipal Report"/>
    <s v="Above Averg"/>
    <n v="720.27689655172423"/>
    <n v="29"/>
    <x v="10"/>
    <n v="22805.02"/>
    <n v="351.03232827528598"/>
    <n v="0.1883105860165577"/>
  </r>
  <r>
    <s v="Banana"/>
    <s v="Fruit"/>
    <s v="Hyderabad"/>
    <n v="116.51"/>
    <x v="6"/>
    <s v="Local Market Survey"/>
    <s v="Low Averg"/>
    <n v="121.60903225806452"/>
    <n v="31"/>
    <x v="6"/>
    <n v="3611.81"/>
    <n v="348.09084211989"/>
    <n v="-1.4648567675642252E-2"/>
  </r>
  <r>
    <s v="Milk"/>
    <s v="Dairy"/>
    <s v="Islamabad"/>
    <n v="201.63"/>
    <x v="5"/>
    <s v="Wholesale Market"/>
    <s v="Low Averg"/>
    <n v="206.78702702702708"/>
    <n v="37"/>
    <x v="5"/>
    <n v="7460.3099999999995"/>
    <n v="351.41597575730702"/>
    <n v="-1.4674993121509654E-2"/>
  </r>
  <r>
    <s v="Tea (Loose)"/>
    <s v="Beverage"/>
    <s v="Hyderabad"/>
    <n v="872.88"/>
    <x v="6"/>
    <s v="Municipal Report"/>
    <s v="Above Averg"/>
    <n v="911.5772916666665"/>
    <n v="48"/>
    <x v="6"/>
    <n v="41898.239999999998"/>
    <n v="356.66829939038399"/>
    <n v="-0.10849658277118475"/>
  </r>
  <r>
    <s v="Salt"/>
    <s v="Condiment"/>
    <s v="Lahore"/>
    <n v="34.21"/>
    <x v="11"/>
    <s v="Retailer Listing"/>
    <s v="Low Averg"/>
    <n v="40.881379310344826"/>
    <n v="29"/>
    <x v="11"/>
    <n v="992.09"/>
    <n v="348.89304032236703"/>
    <n v="-1.9121560304500958E-2"/>
  </r>
  <r>
    <s v="Cheese (Local)"/>
    <s v="Dairy"/>
    <s v="Quetta"/>
    <n v="842.18"/>
    <x v="6"/>
    <s v="Municipal Report"/>
    <s v="Above Averg"/>
    <n v="905.6025925925926"/>
    <n v="27"/>
    <x v="6"/>
    <n v="22738.859999999997"/>
    <n v="350.00898700462"/>
    <n v="-0.1812027546359988"/>
  </r>
  <r>
    <s v="Yogurt"/>
    <s v="Dairy"/>
    <s v="Sialkot"/>
    <n v="238.91"/>
    <x v="1"/>
    <s v="Local Market Survey"/>
    <s v="Low Averg"/>
    <n v="226.49633333333335"/>
    <n v="30"/>
    <x v="1"/>
    <n v="7167.3"/>
    <n v="342.59146174119797"/>
    <n v="3.62346060919762E-2"/>
  </r>
  <r>
    <s v="Sugar"/>
    <s v="Grain"/>
    <s v="Karachi"/>
    <n v="119.9"/>
    <x v="10"/>
    <s v="Retailer Listing"/>
    <s v="Low Averg"/>
    <n v="122.0377142857143"/>
    <n v="35"/>
    <x v="10"/>
    <n v="4196.5"/>
    <n v="349.57802305856302"/>
    <n v="-6.1151277961091263E-3"/>
  </r>
  <r>
    <s v="Apple"/>
    <s v="Fruit"/>
    <s v="Sialkot"/>
    <n v="197.52"/>
    <x v="11"/>
    <s v="Wholesale Market"/>
    <s v="Low Averg"/>
    <n v="206.14838709677423"/>
    <n v="31"/>
    <x v="11"/>
    <n v="6123.12"/>
    <n v="354.23195590427201"/>
    <n v="-2.4358014439290063E-2"/>
  </r>
  <r>
    <s v="Oranges"/>
    <s v="Fruit"/>
    <s v="Karachi"/>
    <n v="139.01"/>
    <x v="8"/>
    <s v="Municipal Report"/>
    <s v="Low Averg"/>
    <n v="151.26457142857143"/>
    <n v="35"/>
    <x v="8"/>
    <n v="4865.3499999999995"/>
    <n v="361.15788709767497"/>
    <n v="-3.3931341018331951E-2"/>
  </r>
  <r>
    <s v="Lentils (Moong)"/>
    <s v="Pulses"/>
    <s v="Islamabad"/>
    <n v="293.72000000000003"/>
    <x v="10"/>
    <s v="Municipal Report"/>
    <s v="Low Averg"/>
    <n v="304.90820512820511"/>
    <n v="39"/>
    <x v="10"/>
    <n v="11455.080000000002"/>
    <n v="366.75342584558598"/>
    <n v="-3.050606849113837E-2"/>
  </r>
  <r>
    <s v="Tea (Loose)"/>
    <s v="Beverage"/>
    <s v="Karachi"/>
    <n v="834.71"/>
    <x v="10"/>
    <s v="Retailer Listing"/>
    <s v="Above Averg"/>
    <n v="911.5772916666665"/>
    <n v="48"/>
    <x v="10"/>
    <n v="40066.080000000002"/>
    <n v="376.29010506546098"/>
    <n v="-0.20427667544777536"/>
  </r>
  <r>
    <s v="Maize"/>
    <s v="Grain"/>
    <s v="Islamabad"/>
    <n v="105.82"/>
    <x v="3"/>
    <s v="Municipal Report"/>
    <s v="Low Averg"/>
    <n v="102.25285714285715"/>
    <n v="28"/>
    <x v="3"/>
    <n v="2962.96"/>
    <n v="370.19644505634199"/>
    <n v="9.63581067505913E-3"/>
  </r>
  <r>
    <s v="Yogurt"/>
    <s v="Dairy"/>
    <s v="Multan"/>
    <n v="255.39"/>
    <x v="1"/>
    <s v="Retailer Listing"/>
    <s v="Low Averg"/>
    <n v="226.49633333333335"/>
    <n v="30"/>
    <x v="1"/>
    <n v="7661.7"/>
    <n v="376.21122011014597"/>
    <n v="7.6801714361967283E-2"/>
  </r>
  <r>
    <s v="Sugar"/>
    <s v="Grain"/>
    <s v="Hyderabad"/>
    <n v="126.23"/>
    <x v="6"/>
    <s v="Wholesale Market"/>
    <s v="Low Averg"/>
    <n v="122.0377142857143"/>
    <n v="35"/>
    <x v="6"/>
    <n v="4418.05"/>
    <n v="387.37941221968202"/>
    <n v="1.0822169640518393E-2"/>
  </r>
  <r>
    <s v="Cooking Oil (Sunflower)"/>
    <s v="Oil"/>
    <s v="Hyderabad"/>
    <n v="368.42"/>
    <x v="7"/>
    <s v="Retailer Listing"/>
    <s v="Low Averg"/>
    <n v="368.73933333333326"/>
    <n v="30"/>
    <x v="7"/>
    <n v="11052.6"/>
    <n v="395.02029476254199"/>
    <n v="-8.0839728380337509E-4"/>
  </r>
  <r>
    <s v="Flour (Atta)"/>
    <s v="Grain"/>
    <s v="Faisalabad"/>
    <n v="122.15"/>
    <x v="2"/>
    <s v="Online Retailer"/>
    <s v="Low Averg"/>
    <n v="113.26108695652174"/>
    <n v="46"/>
    <x v="2"/>
    <n v="5618.9000000000005"/>
    <n v="409.87461322114899"/>
    <n v="2.1686908036634683E-2"/>
  </r>
  <r>
    <s v="Banana"/>
    <s v="Fruit"/>
    <s v="Sialkot"/>
    <n v="127.05"/>
    <x v="8"/>
    <s v="Local Market Survey"/>
    <s v="Low Averg"/>
    <n v="121.60903225806452"/>
    <n v="31"/>
    <x v="8"/>
    <n v="3938.5499999999997"/>
    <n v="418.76547393530001"/>
    <n v="1.2992875680042619E-2"/>
  </r>
  <r>
    <s v="Lentils (Moong)"/>
    <s v="Pulses"/>
    <s v="Peshawar"/>
    <n v="312.52999999999997"/>
    <x v="9"/>
    <s v="Online Retailer"/>
    <s v="Low Averg"/>
    <n v="304.90820512820511"/>
    <n v="39"/>
    <x v="9"/>
    <n v="12188.669999999998"/>
    <n v="427.955206480524"/>
    <n v="1.7809795876713386E-2"/>
  </r>
  <r>
    <s v="Eggplant"/>
    <s v="Vegetable"/>
    <s v="Quetta"/>
    <n v="86.92"/>
    <x v="4"/>
    <s v="Retailer Listing"/>
    <s v="Low Averg"/>
    <n v="81.934666666666672"/>
    <n v="30"/>
    <x v="4"/>
    <n v="2607.6"/>
    <n v="446.8981941134"/>
    <n v="1.1155411677650023E-2"/>
  </r>
  <r>
    <s v="Grapes"/>
    <s v="Fruit"/>
    <s v="Rawalpindi"/>
    <n v="200.92"/>
    <x v="6"/>
    <s v="Municipal Report"/>
    <s v="Low Averg"/>
    <n v="226.566129032258"/>
    <n v="31"/>
    <x v="6"/>
    <n v="6228.5199999999995"/>
    <n v="453.60975557802499"/>
    <n v="-5.6537869207812154E-2"/>
  </r>
  <r>
    <s v="Milk"/>
    <s v="Dairy"/>
    <s v="Peshawar"/>
    <n v="201.47"/>
    <x v="4"/>
    <s v="Municipal Report"/>
    <s v="Low Averg"/>
    <n v="206.78702702702708"/>
    <n v="37"/>
    <x v="4"/>
    <n v="7454.39"/>
    <n v="469.18629199332401"/>
    <n v="-1.1332443248582241E-2"/>
  </r>
  <r>
    <s v="Spices (Mixed)"/>
    <s v="Condiment"/>
    <s v="Sialkot"/>
    <n v="920.87"/>
    <x v="1"/>
    <s v="Retailer Listing"/>
    <s v="Above Averg"/>
    <n v="810.77454545454566"/>
    <n v="33"/>
    <x v="1"/>
    <n v="30388.71"/>
    <n v="485.21221783985499"/>
    <n v="0.22690165353954775"/>
  </r>
  <r>
    <s v="Ghee"/>
    <s v="Oil"/>
    <s v="Lahore"/>
    <n v="1043.5999999999999"/>
    <x v="8"/>
    <s v="Retailer Listing"/>
    <s v="Above Averg"/>
    <n v="1024.1451428571424"/>
    <n v="35"/>
    <x v="8"/>
    <n v="36526"/>
    <n v="499.60578972683197"/>
    <n v="3.8940415709543201E-2"/>
  </r>
  <r>
    <s v="Tea (Loose)"/>
    <s v="Beverage"/>
    <s v="Islamabad"/>
    <n v="928.38"/>
    <x v="4"/>
    <s v="Municipal Report"/>
    <s v="Above Averg"/>
    <n v="911.5772916666665"/>
    <n v="48"/>
    <x v="4"/>
    <n v="44562.239999999998"/>
    <n v="481.83738537671297"/>
    <n v="3.4872155717424677E-2"/>
  </r>
  <r>
    <s v="Tomato"/>
    <s v="Vegetable"/>
    <s v="Multan"/>
    <n v="113.06"/>
    <x v="9"/>
    <s v="Municipal Report"/>
    <s v="Low Averg"/>
    <n v="123.43305555555558"/>
    <n v="36"/>
    <x v="9"/>
    <n v="4070.16"/>
    <n v="460.08863479768797"/>
    <n v="-2.2545776554808536E-2"/>
  </r>
  <r>
    <s v="Sugar"/>
    <s v="Grain"/>
    <s v="Faisalabad"/>
    <n v="112.63"/>
    <x v="8"/>
    <s v="Online Retailer"/>
    <s v="Low Averg"/>
    <n v="122.0377142857143"/>
    <n v="35"/>
    <x v="8"/>
    <n v="3942.0499999999997"/>
    <n v="515.11741525597802"/>
    <n v="-1.8263242528966561E-2"/>
  </r>
  <r>
    <s v="Eggplant"/>
    <s v="Vegetable"/>
    <s v="Islamabad"/>
    <n v="74.989999999999995"/>
    <x v="3"/>
    <s v="Online Retailer"/>
    <s v="Low Averg"/>
    <n v="81.934666666666672"/>
    <n v="30"/>
    <x v="3"/>
    <n v="2249.6999999999998"/>
    <n v="596.35073005181596"/>
    <n v="-1.1645272348477323E-2"/>
  </r>
  <r>
    <s v="Banana"/>
    <s v="Fruit"/>
    <s v="Peshawar"/>
    <n v="134.91999999999999"/>
    <x v="11"/>
    <s v="Wholesale Market"/>
    <s v="Low Averg"/>
    <n v="121.60903225806452"/>
    <n v="31"/>
    <x v="11"/>
    <n v="4182.5199999999995"/>
    <n v="708.26643630769297"/>
    <n v="1.8793729392751816E-2"/>
  </r>
  <r>
    <s v="Ghee"/>
    <s v="Oil"/>
    <s v="Hyderabad"/>
    <n v="1136.56"/>
    <x v="4"/>
    <s v="Local Market Survey"/>
    <s v="Above Averg"/>
    <n v="1024.1451428571424"/>
    <n v="35"/>
    <x v="4"/>
    <n v="39779.599999999999"/>
    <n v="708.26643630769297"/>
    <n v="0.158718317542892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607F81-AE64-471E-B421-B355973FD275}"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B2:C15" firstHeaderRow="1" firstDataRow="1" firstDataCol="1"/>
  <pivotFields count="13">
    <pivotField compact="0" outline="0" showAll="0"/>
    <pivotField compact="0" outline="0" showAll="0"/>
    <pivotField compact="0" outline="0" showAll="0"/>
    <pivotField compact="0" numFmtId="164" outline="0" showAll="0"/>
    <pivotField axis="axisRow" compact="0" outline="0" showAll="0">
      <items count="13">
        <item x="5"/>
        <item x="9"/>
        <item x="10"/>
        <item x="1"/>
        <item x="3"/>
        <item x="0"/>
        <item x="8"/>
        <item x="6"/>
        <item x="11"/>
        <item x="2"/>
        <item x="7"/>
        <item x="4"/>
        <item t="default"/>
      </items>
    </pivotField>
    <pivotField compact="0" outline="0" showAll="0"/>
    <pivotField compact="0" outline="0" showAll="0"/>
    <pivotField compact="0" numFmtId="165" outline="0" showAll="0"/>
    <pivotField compact="0" outline="0" showAll="0"/>
    <pivotField compact="0" numFmtId="14" outline="0" showAll="0">
      <items count="13">
        <item x="5"/>
        <item x="9"/>
        <item x="10"/>
        <item x="1"/>
        <item x="3"/>
        <item x="0"/>
        <item x="8"/>
        <item x="6"/>
        <item x="11"/>
        <item x="2"/>
        <item x="7"/>
        <item x="4"/>
        <item t="default"/>
      </items>
    </pivotField>
    <pivotField dataField="1" compact="0" numFmtId="165" outline="0" showAll="0"/>
    <pivotField compact="0" numFmtId="165" outline="0" showAll="0"/>
    <pivotField compact="0" numFmtId="9" outline="0" showAll="0"/>
  </pivotFields>
  <rowFields count="1">
    <field x="4"/>
  </rowFields>
  <rowItems count="13">
    <i>
      <x/>
    </i>
    <i>
      <x v="1"/>
    </i>
    <i>
      <x v="2"/>
    </i>
    <i>
      <x v="3"/>
    </i>
    <i>
      <x v="4"/>
    </i>
    <i>
      <x v="5"/>
    </i>
    <i>
      <x v="6"/>
    </i>
    <i>
      <x v="7"/>
    </i>
    <i>
      <x v="8"/>
    </i>
    <i>
      <x v="9"/>
    </i>
    <i>
      <x v="10"/>
    </i>
    <i>
      <x v="11"/>
    </i>
    <i t="grand">
      <x/>
    </i>
  </rowItems>
  <colItems count="1">
    <i/>
  </colItems>
  <dataFields count="1">
    <dataField name="Sum of Revenue" fld="10"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08C2CD1-99D6-4649-9380-B24618F281BA}" sourceName="City">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C9ED52-E614-4774-B0B4-FADA50BA2CDC}" sourceName="Category">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91A9F17-BB88-41B4-8AE3-B5448FC7A11A}" cache="Slicer_City" caption="City" columnCount="5" rowHeight="241300"/>
  <slicer name="Category" xr10:uid="{DF4E3EED-59BA-45F8-BB7B-9733923C9CCB}" cache="Slicer_Category" caption="Category" columnCount="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55DFD1-E81E-4C1D-A865-260B931743FB}" name="Table1" displayName="Table1" ref="A7:M1107" totalsRowShown="0" headerRowDxfId="18">
  <autoFilter ref="A7:M1107" xr:uid="{9655DFD1-E81E-4C1D-A865-260B931743FB}"/>
  <tableColumns count="13">
    <tableColumn id="1" xr3:uid="{F067E00E-70E6-4324-AF42-470EEA9411DB}" name="Item" dataDxfId="17"/>
    <tableColumn id="2" xr3:uid="{C5462F8E-A3B0-4CA5-A532-F4AC03A61E16}" name="Category" dataDxfId="16"/>
    <tableColumn id="3" xr3:uid="{49FA3C64-5BE7-448D-B05B-5B09BA110CD9}" name="City" dataDxfId="15"/>
    <tableColumn id="4" xr3:uid="{2D537328-D916-4D45-A403-42BEA2B91C68}" name="Price_per_Kg" dataDxfId="14"/>
    <tableColumn id="5" xr3:uid="{A84D4D94-8EB0-4B3D-A430-41350F4005E8}" name="Month" dataDxfId="13"/>
    <tableColumn id="6" xr3:uid="{0C0AD4A0-FC10-4973-99E9-97E0570E85D5}" name="Source" dataDxfId="12"/>
    <tableColumn id="7" xr3:uid="{32892782-5E52-4B07-BA35-B890CFB0D28D}" name="Status " dataDxfId="11">
      <calculatedColumnFormula>IF(D8&gt;AVERAGE(D:D),"Above Averg","Low Averg")</calculatedColumnFormula>
    </tableColumn>
    <tableColumn id="8" xr3:uid="{6EE353B0-FBA5-4271-91B5-DA8D23829DB7}" name="National avg Price per Item" dataDxfId="10">
      <calculatedColumnFormula>AVERAGEIF(A:A,A8,D:D)</calculatedColumnFormula>
    </tableColumn>
    <tableColumn id="9" xr3:uid="{A457E345-234F-415D-80B3-35B4725B9019}" name="Item_Quantity" dataDxfId="9">
      <calculatedColumnFormula>COUNTIF(A:A,A8)</calculatedColumnFormula>
    </tableColumn>
    <tableColumn id="10" xr3:uid="{4C51582D-3AE8-4BF3-BA05-72345DA27293}" name="Year(2025)" dataDxfId="8">
      <calculatedColumnFormula>DATE(2025, MATCH(E8, {"January","February","March","April","May","June","July","August","September","October","November","December"},0),1)</calculatedColumnFormula>
    </tableColumn>
    <tableColumn id="11" xr3:uid="{0BD0CB04-70FC-4FCA-AE27-DB006B012038}" name="Revenue" dataDxfId="7">
      <calculatedColumnFormula>1*(D8*I8)</calculatedColumnFormula>
    </tableColumn>
    <tableColumn id="12" xr3:uid="{A300BB60-67B6-4A26-BF1A-16B6AF872126}" name="Std.Dev" dataDxfId="6"/>
    <tableColumn id="13" xr3:uid="{F221D3CC-F39A-4057-92D4-D33E9E85FC3E}" name="Z_Score" dataDxfId="5">
      <calculatedColumnFormula>(D8-H8)/L8</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Year_2025" xr10:uid="{414A0F79-41B7-4B0F-88A1-FE1AC82B74DB}" sourceName="Year(2025)">
  <pivotTables>
    <pivotTable tabId="3" name="PivotTable1"/>
  </pivotTables>
  <state minimalRefreshVersion="6" lastRefreshVersion="6" pivotCacheId="1306945209"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2025)" xr10:uid="{6BA45008-168F-4C68-A688-B4771E07C805}" cache="NativeTimeline_Year_2025" caption="Year(2025)" level="2" selectionLevel="2" scrollPosition="2025-01-01T00:00:00" style="TimeSlicerStyleLight5"/>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90282-D6BE-44A0-A982-53CCBB026E99}">
  <sheetPr>
    <tabColor rgb="FFFF0000"/>
  </sheetPr>
  <dimension ref="A7:M1107"/>
  <sheetViews>
    <sheetView workbookViewId="0">
      <selection activeCell="H8" sqref="H8"/>
    </sheetView>
  </sheetViews>
  <sheetFormatPr defaultRowHeight="14.5" x14ac:dyDescent="0.35"/>
  <cols>
    <col min="1" max="1" width="22.1796875" style="3" bestFit="1" customWidth="1"/>
    <col min="2" max="2" width="13.453125" style="3" bestFit="1" customWidth="1"/>
    <col min="3" max="3" width="10.90625" style="3" bestFit="1" customWidth="1"/>
    <col min="4" max="4" width="16.453125" style="3" bestFit="1" customWidth="1"/>
    <col min="5" max="5" width="11.54296875" style="3" bestFit="1" customWidth="1"/>
    <col min="6" max="6" width="19.08984375" style="3" bestFit="1" customWidth="1"/>
    <col min="7" max="7" width="12.08984375" style="3" bestFit="1" customWidth="1"/>
    <col min="8" max="8" width="30.26953125" style="3" bestFit="1" customWidth="1"/>
    <col min="9" max="9" width="18.6328125" style="3" bestFit="1" customWidth="1"/>
    <col min="10" max="10" width="15.08984375" style="3" bestFit="1" customWidth="1"/>
    <col min="11" max="11" width="11" style="3" bestFit="1" customWidth="1"/>
    <col min="12" max="12" width="10" style="3" bestFit="1" customWidth="1"/>
    <col min="13" max="13" width="12.453125" style="3" bestFit="1" customWidth="1"/>
    <col min="14" max="16384" width="8.7265625" style="3"/>
  </cols>
  <sheetData>
    <row r="7" spans="1:13" ht="15.5" x14ac:dyDescent="0.35">
      <c r="A7" s="4" t="s">
        <v>0</v>
      </c>
      <c r="B7" s="5" t="s">
        <v>1</v>
      </c>
      <c r="C7" s="5" t="s">
        <v>2</v>
      </c>
      <c r="D7" s="6" t="s">
        <v>3</v>
      </c>
      <c r="E7" s="5" t="s">
        <v>4</v>
      </c>
      <c r="F7" s="5" t="s">
        <v>5</v>
      </c>
      <c r="G7" s="5" t="s">
        <v>6</v>
      </c>
      <c r="H7" s="5" t="s">
        <v>7</v>
      </c>
      <c r="I7" s="5" t="s">
        <v>8</v>
      </c>
      <c r="J7" s="7" t="s">
        <v>9</v>
      </c>
      <c r="K7" s="4" t="s">
        <v>10</v>
      </c>
      <c r="L7" s="4" t="s">
        <v>11</v>
      </c>
      <c r="M7" s="5" t="s">
        <v>12</v>
      </c>
    </row>
    <row r="8" spans="1:13" ht="15.5" x14ac:dyDescent="0.35">
      <c r="A8" s="8" t="s">
        <v>13</v>
      </c>
      <c r="B8" s="9" t="s">
        <v>14</v>
      </c>
      <c r="C8" s="9" t="s">
        <v>15</v>
      </c>
      <c r="D8" s="10">
        <v>188.93</v>
      </c>
      <c r="E8" s="9" t="s">
        <v>16</v>
      </c>
      <c r="F8" s="9" t="s">
        <v>17</v>
      </c>
      <c r="G8" s="9" t="str">
        <f t="shared" ref="G8:G71" si="0">IF(D8&gt;AVERAGE(D:D),"Above Averg","Low Averg")</f>
        <v>Low Averg</v>
      </c>
      <c r="H8" s="11">
        <f t="shared" ref="H8:H71" si="1">AVERAGEIF(A:A,A8,D:D)</f>
        <v>206.78702702702708</v>
      </c>
      <c r="I8" s="9">
        <f t="shared" ref="I8:I71" si="2">COUNTIF(A:A,A8)</f>
        <v>37</v>
      </c>
      <c r="J8" s="12">
        <f>DATE(2025, MATCH(E8, {"January","February","March","April","May","June","July","August","September","October","November","December"},0),1)</f>
        <v>45809</v>
      </c>
      <c r="K8" s="13">
        <f t="shared" ref="K8:K71" si="3">1*(D8*I8)</f>
        <v>6990.41</v>
      </c>
      <c r="L8" s="13">
        <v>347.367617402473</v>
      </c>
      <c r="M8" s="14">
        <f t="shared" ref="M8:M71" si="4">(D8-H8)/L8</f>
        <v>-5.140671188799173E-2</v>
      </c>
    </row>
    <row r="9" spans="1:13" ht="15.5" x14ac:dyDescent="0.35">
      <c r="A9" s="8" t="s">
        <v>18</v>
      </c>
      <c r="B9" s="9" t="s">
        <v>19</v>
      </c>
      <c r="C9" s="9" t="s">
        <v>20</v>
      </c>
      <c r="D9" s="10">
        <v>866.6</v>
      </c>
      <c r="E9" s="9" t="s">
        <v>21</v>
      </c>
      <c r="F9" s="9" t="s">
        <v>17</v>
      </c>
      <c r="G9" s="9" t="str">
        <f t="shared" si="0"/>
        <v>Above Averg</v>
      </c>
      <c r="H9" s="11">
        <f t="shared" si="1"/>
        <v>920.12567567567555</v>
      </c>
      <c r="I9" s="9">
        <f t="shared" si="2"/>
        <v>37</v>
      </c>
      <c r="J9" s="12">
        <f>DATE(2025, MATCH(E9, {"January","February","March","April","May","June","July","August","September","October","November","December"},0),1)</f>
        <v>45748</v>
      </c>
      <c r="K9" s="13">
        <f t="shared" si="3"/>
        <v>32064.2</v>
      </c>
      <c r="L9" s="13">
        <v>347.48188451693801</v>
      </c>
      <c r="M9" s="14">
        <f t="shared" si="4"/>
        <v>-0.15403875154552529</v>
      </c>
    </row>
    <row r="10" spans="1:13" ht="15.5" x14ac:dyDescent="0.35">
      <c r="A10" s="8" t="s">
        <v>22</v>
      </c>
      <c r="B10" s="9" t="s">
        <v>23</v>
      </c>
      <c r="C10" s="9" t="s">
        <v>24</v>
      </c>
      <c r="D10" s="10">
        <v>243.67</v>
      </c>
      <c r="E10" s="9" t="s">
        <v>25</v>
      </c>
      <c r="F10" s="9" t="s">
        <v>26</v>
      </c>
      <c r="G10" s="9" t="str">
        <f t="shared" si="0"/>
        <v>Low Averg</v>
      </c>
      <c r="H10" s="11">
        <f t="shared" si="1"/>
        <v>257.40029411764709</v>
      </c>
      <c r="I10" s="9">
        <f t="shared" si="2"/>
        <v>34</v>
      </c>
      <c r="J10" s="12">
        <f>DATE(2025, MATCH(E10, {"January","February","March","April","May","June","July","August","September","October","November","December"},0),1)</f>
        <v>45931</v>
      </c>
      <c r="K10" s="13">
        <f t="shared" si="3"/>
        <v>8284.7799999999988</v>
      </c>
      <c r="L10" s="13">
        <v>347.31905691948799</v>
      </c>
      <c r="M10" s="14">
        <f t="shared" si="4"/>
        <v>-3.9532222157420874E-2</v>
      </c>
    </row>
    <row r="11" spans="1:13" ht="15.5" x14ac:dyDescent="0.35">
      <c r="A11" s="8" t="s">
        <v>27</v>
      </c>
      <c r="B11" s="9" t="s">
        <v>28</v>
      </c>
      <c r="C11" s="9" t="s">
        <v>29</v>
      </c>
      <c r="D11" s="10">
        <v>121.4</v>
      </c>
      <c r="E11" s="9" t="s">
        <v>16</v>
      </c>
      <c r="F11" s="9" t="s">
        <v>30</v>
      </c>
      <c r="G11" s="9" t="str">
        <f t="shared" si="0"/>
        <v>Low Averg</v>
      </c>
      <c r="H11" s="11">
        <f t="shared" si="1"/>
        <v>113.26108695652174</v>
      </c>
      <c r="I11" s="9">
        <f t="shared" si="2"/>
        <v>46</v>
      </c>
      <c r="J11" s="12">
        <f>DATE(2025, MATCH(E11, {"January","February","March","April","May","June","July","August","September","October","November","December"},0),1)</f>
        <v>45809</v>
      </c>
      <c r="K11" s="13">
        <f t="shared" si="3"/>
        <v>5584.4000000000005</v>
      </c>
      <c r="L11" s="13">
        <v>347.45597832769198</v>
      </c>
      <c r="M11" s="14">
        <f t="shared" si="4"/>
        <v>2.3424299914627786E-2</v>
      </c>
    </row>
    <row r="12" spans="1:13" ht="15.5" x14ac:dyDescent="0.35">
      <c r="A12" s="8" t="s">
        <v>31</v>
      </c>
      <c r="B12" s="9" t="s">
        <v>32</v>
      </c>
      <c r="C12" s="9" t="s">
        <v>24</v>
      </c>
      <c r="D12" s="10">
        <v>127.83</v>
      </c>
      <c r="E12" s="9" t="s">
        <v>16</v>
      </c>
      <c r="F12" s="9" t="s">
        <v>30</v>
      </c>
      <c r="G12" s="9" t="str">
        <f t="shared" si="0"/>
        <v>Low Averg</v>
      </c>
      <c r="H12" s="11">
        <f t="shared" si="1"/>
        <v>123.43305555555558</v>
      </c>
      <c r="I12" s="9">
        <f t="shared" si="2"/>
        <v>36</v>
      </c>
      <c r="J12" s="12">
        <f>DATE(2025, MATCH(E12, {"January","February","March","April","May","June","July","August","September","October","November","December"},0),1)</f>
        <v>45809</v>
      </c>
      <c r="K12" s="13">
        <f t="shared" si="3"/>
        <v>4601.88</v>
      </c>
      <c r="L12" s="13">
        <v>347.53223801553702</v>
      </c>
      <c r="M12" s="14">
        <f t="shared" si="4"/>
        <v>1.2651903804814338E-2</v>
      </c>
    </row>
    <row r="13" spans="1:13" ht="15.5" x14ac:dyDescent="0.35">
      <c r="A13" s="8" t="s">
        <v>33</v>
      </c>
      <c r="B13" s="9" t="s">
        <v>19</v>
      </c>
      <c r="C13" s="9" t="s">
        <v>34</v>
      </c>
      <c r="D13" s="10">
        <v>1109.04</v>
      </c>
      <c r="E13" s="9" t="s">
        <v>35</v>
      </c>
      <c r="F13" s="9" t="s">
        <v>36</v>
      </c>
      <c r="G13" s="9" t="str">
        <f t="shared" si="0"/>
        <v>Above Averg</v>
      </c>
      <c r="H13" s="11">
        <f t="shared" si="1"/>
        <v>1113.4854166666667</v>
      </c>
      <c r="I13" s="9">
        <f t="shared" si="2"/>
        <v>24</v>
      </c>
      <c r="J13" s="12">
        <f>DATE(2025, MATCH(E13, {"January","February","March","April","May","June","July","August","September","October","November","December"},0),1)</f>
        <v>45778</v>
      </c>
      <c r="K13" s="13">
        <f t="shared" si="3"/>
        <v>26616.959999999999</v>
      </c>
      <c r="L13" s="13">
        <v>347.61265471966902</v>
      </c>
      <c r="M13" s="14">
        <f t="shared" si="4"/>
        <v>-1.2788420117362177E-2</v>
      </c>
    </row>
    <row r="14" spans="1:13" ht="15.5" x14ac:dyDescent="0.35">
      <c r="A14" s="8" t="s">
        <v>37</v>
      </c>
      <c r="B14" s="9" t="s">
        <v>38</v>
      </c>
      <c r="C14" s="9" t="s">
        <v>29</v>
      </c>
      <c r="D14" s="10">
        <v>1010.15</v>
      </c>
      <c r="E14" s="9" t="s">
        <v>39</v>
      </c>
      <c r="F14" s="9" t="s">
        <v>40</v>
      </c>
      <c r="G14" s="9" t="str">
        <f t="shared" si="0"/>
        <v>Above Averg</v>
      </c>
      <c r="H14" s="11">
        <f t="shared" si="1"/>
        <v>1024.1451428571424</v>
      </c>
      <c r="I14" s="9">
        <f t="shared" si="2"/>
        <v>35</v>
      </c>
      <c r="J14" s="12">
        <f>DATE(2025, MATCH(E14, {"January","February","March","April","May","June","July","August","September","October","November","December"},0),1)</f>
        <v>45992</v>
      </c>
      <c r="K14" s="13">
        <f t="shared" si="3"/>
        <v>35355.25</v>
      </c>
      <c r="L14" s="13">
        <v>347.05591886939999</v>
      </c>
      <c r="M14" s="14">
        <f t="shared" si="4"/>
        <v>-4.0325325390600693E-2</v>
      </c>
    </row>
    <row r="15" spans="1:13" ht="15.5" x14ac:dyDescent="0.35">
      <c r="A15" s="8" t="s">
        <v>41</v>
      </c>
      <c r="B15" s="9" t="s">
        <v>32</v>
      </c>
      <c r="C15" s="9" t="s">
        <v>29</v>
      </c>
      <c r="D15" s="10">
        <v>65.599999999999994</v>
      </c>
      <c r="E15" s="9" t="s">
        <v>42</v>
      </c>
      <c r="F15" s="9" t="s">
        <v>30</v>
      </c>
      <c r="G15" s="9" t="str">
        <f t="shared" si="0"/>
        <v>Low Averg</v>
      </c>
      <c r="H15" s="11">
        <f t="shared" si="1"/>
        <v>70.278611111111118</v>
      </c>
      <c r="I15" s="9">
        <f t="shared" si="2"/>
        <v>36</v>
      </c>
      <c r="J15" s="12">
        <f>DATE(2025, MATCH(E15, {"January","February","March","April","May","June","July","August","September","October","November","December"},0),1)</f>
        <v>45658</v>
      </c>
      <c r="K15" s="13">
        <f t="shared" si="3"/>
        <v>2361.6</v>
      </c>
      <c r="L15" s="13">
        <v>346.67592151279803</v>
      </c>
      <c r="M15" s="14">
        <f t="shared" si="4"/>
        <v>-1.3495633301254256E-2</v>
      </c>
    </row>
    <row r="16" spans="1:13" ht="15.5" x14ac:dyDescent="0.35">
      <c r="A16" s="8" t="s">
        <v>22</v>
      </c>
      <c r="B16" s="9" t="s">
        <v>23</v>
      </c>
      <c r="C16" s="9" t="s">
        <v>43</v>
      </c>
      <c r="D16" s="10">
        <v>281.27</v>
      </c>
      <c r="E16" s="9" t="s">
        <v>42</v>
      </c>
      <c r="F16" s="9" t="s">
        <v>26</v>
      </c>
      <c r="G16" s="9" t="str">
        <f t="shared" si="0"/>
        <v>Low Averg</v>
      </c>
      <c r="H16" s="11">
        <f t="shared" si="1"/>
        <v>257.40029411764709</v>
      </c>
      <c r="I16" s="9">
        <f t="shared" si="2"/>
        <v>34</v>
      </c>
      <c r="J16" s="12">
        <f>DATE(2025, MATCH(E16, {"January","February","March","April","May","June","July","August","September","October","November","December"},0),1)</f>
        <v>45658</v>
      </c>
      <c r="K16" s="13">
        <f t="shared" si="3"/>
        <v>9563.18</v>
      </c>
      <c r="L16" s="13">
        <v>346.71149990669898</v>
      </c>
      <c r="M16" s="14">
        <f t="shared" si="4"/>
        <v>6.8846017189439321E-2</v>
      </c>
    </row>
    <row r="17" spans="1:13" ht="15.5" x14ac:dyDescent="0.35">
      <c r="A17" s="8" t="s">
        <v>44</v>
      </c>
      <c r="B17" s="9" t="s">
        <v>23</v>
      </c>
      <c r="C17" s="9" t="s">
        <v>45</v>
      </c>
      <c r="D17" s="10">
        <v>192.97</v>
      </c>
      <c r="E17" s="9" t="s">
        <v>46</v>
      </c>
      <c r="F17" s="9" t="s">
        <v>30</v>
      </c>
      <c r="G17" s="9" t="str">
        <f t="shared" si="0"/>
        <v>Low Averg</v>
      </c>
      <c r="H17" s="11">
        <f t="shared" si="1"/>
        <v>206.14838709677423</v>
      </c>
      <c r="I17" s="9">
        <f t="shared" si="2"/>
        <v>31</v>
      </c>
      <c r="J17" s="12">
        <f>DATE(2025, MATCH(E17, {"January","February","March","April","May","June","July","August","September","October","November","December"},0),1)</f>
        <v>45870</v>
      </c>
      <c r="K17" s="13">
        <f t="shared" si="3"/>
        <v>5982.07</v>
      </c>
      <c r="L17" s="13">
        <v>346.859814474735</v>
      </c>
      <c r="M17" s="14">
        <f t="shared" si="4"/>
        <v>-3.7993409864243967E-2</v>
      </c>
    </row>
    <row r="18" spans="1:13" ht="15.5" x14ac:dyDescent="0.35">
      <c r="A18" s="8" t="s">
        <v>18</v>
      </c>
      <c r="B18" s="9" t="s">
        <v>19</v>
      </c>
      <c r="C18" s="9" t="s">
        <v>43</v>
      </c>
      <c r="D18" s="10">
        <v>1050.9100000000001</v>
      </c>
      <c r="E18" s="9" t="s">
        <v>16</v>
      </c>
      <c r="F18" s="9" t="s">
        <v>36</v>
      </c>
      <c r="G18" s="9" t="str">
        <f t="shared" si="0"/>
        <v>Above Averg</v>
      </c>
      <c r="H18" s="11">
        <f t="shared" si="1"/>
        <v>920.12567567567555</v>
      </c>
      <c r="I18" s="9">
        <f t="shared" si="2"/>
        <v>37</v>
      </c>
      <c r="J18" s="12">
        <f>DATE(2025, MATCH(E18, {"January","February","March","April","May","June","July","August","September","October","November","December"},0),1)</f>
        <v>45809</v>
      </c>
      <c r="K18" s="13">
        <f t="shared" si="3"/>
        <v>38883.670000000006</v>
      </c>
      <c r="L18" s="13">
        <v>346.97695295198702</v>
      </c>
      <c r="M18" s="14">
        <f t="shared" si="4"/>
        <v>0.37692510471270935</v>
      </c>
    </row>
    <row r="19" spans="1:13" ht="15.5" x14ac:dyDescent="0.35">
      <c r="A19" s="8" t="s">
        <v>27</v>
      </c>
      <c r="B19" s="9" t="s">
        <v>28</v>
      </c>
      <c r="C19" s="9" t="s">
        <v>45</v>
      </c>
      <c r="D19" s="10">
        <v>105.53</v>
      </c>
      <c r="E19" s="9" t="s">
        <v>35</v>
      </c>
      <c r="F19" s="9" t="s">
        <v>17</v>
      </c>
      <c r="G19" s="9" t="str">
        <f t="shared" si="0"/>
        <v>Low Averg</v>
      </c>
      <c r="H19" s="11">
        <f t="shared" si="1"/>
        <v>113.26108695652174</v>
      </c>
      <c r="I19" s="9">
        <f t="shared" si="2"/>
        <v>46</v>
      </c>
      <c r="J19" s="12">
        <f>DATE(2025, MATCH(E19, {"January","February","March","April","May","June","July","August","September","October","November","December"},0),1)</f>
        <v>45778</v>
      </c>
      <c r="K19" s="13">
        <f t="shared" si="3"/>
        <v>4854.38</v>
      </c>
      <c r="L19" s="13">
        <v>346.52397742451501</v>
      </c>
      <c r="M19" s="14">
        <f t="shared" si="4"/>
        <v>-2.2310395413275078E-2</v>
      </c>
    </row>
    <row r="20" spans="1:13" ht="15.5" x14ac:dyDescent="0.35">
      <c r="A20" s="8" t="s">
        <v>47</v>
      </c>
      <c r="B20" s="9" t="s">
        <v>19</v>
      </c>
      <c r="C20" s="9" t="s">
        <v>15</v>
      </c>
      <c r="D20" s="10">
        <v>590.91999999999996</v>
      </c>
      <c r="E20" s="9" t="s">
        <v>42</v>
      </c>
      <c r="F20" s="9" t="s">
        <v>26</v>
      </c>
      <c r="G20" s="9" t="str">
        <f t="shared" si="0"/>
        <v>Above Averg</v>
      </c>
      <c r="H20" s="11">
        <f t="shared" si="1"/>
        <v>673.04079999999988</v>
      </c>
      <c r="I20" s="9">
        <f t="shared" si="2"/>
        <v>25</v>
      </c>
      <c r="J20" s="12">
        <f>DATE(2025, MATCH(E20, {"January","February","March","April","May","June","July","August","September","October","November","December"},0),1)</f>
        <v>45658</v>
      </c>
      <c r="K20" s="13">
        <f t="shared" si="3"/>
        <v>14772.999999999998</v>
      </c>
      <c r="L20" s="13">
        <v>346.589898504421</v>
      </c>
      <c r="M20" s="14">
        <f t="shared" si="4"/>
        <v>-0.23693939250497922</v>
      </c>
    </row>
    <row r="21" spans="1:13" ht="15.5" x14ac:dyDescent="0.35">
      <c r="A21" s="8" t="s">
        <v>27</v>
      </c>
      <c r="B21" s="9" t="s">
        <v>28</v>
      </c>
      <c r="C21" s="9" t="s">
        <v>43</v>
      </c>
      <c r="D21" s="10">
        <v>111.74</v>
      </c>
      <c r="E21" s="9" t="s">
        <v>46</v>
      </c>
      <c r="F21" s="9" t="s">
        <v>17</v>
      </c>
      <c r="G21" s="9" t="str">
        <f t="shared" si="0"/>
        <v>Low Averg</v>
      </c>
      <c r="H21" s="11">
        <f t="shared" si="1"/>
        <v>113.26108695652174</v>
      </c>
      <c r="I21" s="9">
        <f t="shared" si="2"/>
        <v>46</v>
      </c>
      <c r="J21" s="12">
        <f>DATE(2025, MATCH(E21, {"January","February","March","April","May","June","July","August","September","October","November","December"},0),1)</f>
        <v>45870</v>
      </c>
      <c r="K21" s="13">
        <f t="shared" si="3"/>
        <v>5140.04</v>
      </c>
      <c r="L21" s="13">
        <v>346.68515464319199</v>
      </c>
      <c r="M21" s="14">
        <f t="shared" si="4"/>
        <v>-4.3875168467690613E-3</v>
      </c>
    </row>
    <row r="22" spans="1:13" ht="15.5" x14ac:dyDescent="0.35">
      <c r="A22" s="8" t="s">
        <v>48</v>
      </c>
      <c r="B22" s="9" t="s">
        <v>19</v>
      </c>
      <c r="C22" s="9" t="s">
        <v>49</v>
      </c>
      <c r="D22" s="10">
        <v>1281.94</v>
      </c>
      <c r="E22" s="9" t="s">
        <v>25</v>
      </c>
      <c r="F22" s="9" t="s">
        <v>17</v>
      </c>
      <c r="G22" s="9" t="str">
        <f t="shared" si="0"/>
        <v>Above Averg</v>
      </c>
      <c r="H22" s="11">
        <f t="shared" si="1"/>
        <v>1235.856</v>
      </c>
      <c r="I22" s="9">
        <f t="shared" si="2"/>
        <v>25</v>
      </c>
      <c r="J22" s="12">
        <f>DATE(2025, MATCH(E22, {"January","February","March","April","May","June","July","August","September","October","November","December"},0),1)</f>
        <v>45931</v>
      </c>
      <c r="K22" s="13">
        <f t="shared" si="3"/>
        <v>32048.5</v>
      </c>
      <c r="L22" s="13">
        <v>346.75561693175098</v>
      </c>
      <c r="M22" s="14">
        <f t="shared" si="4"/>
        <v>0.13290051479993875</v>
      </c>
    </row>
    <row r="23" spans="1:13" ht="15.5" x14ac:dyDescent="0.35">
      <c r="A23" s="8" t="s">
        <v>31</v>
      </c>
      <c r="B23" s="9" t="s">
        <v>32</v>
      </c>
      <c r="C23" s="9" t="s">
        <v>49</v>
      </c>
      <c r="D23" s="10">
        <v>127.77</v>
      </c>
      <c r="E23" s="9" t="s">
        <v>16</v>
      </c>
      <c r="F23" s="9" t="s">
        <v>30</v>
      </c>
      <c r="G23" s="9" t="str">
        <f t="shared" si="0"/>
        <v>Low Averg</v>
      </c>
      <c r="H23" s="11">
        <f t="shared" si="1"/>
        <v>123.43305555555558</v>
      </c>
      <c r="I23" s="9">
        <f t="shared" si="2"/>
        <v>36</v>
      </c>
      <c r="J23" s="12">
        <f>DATE(2025, MATCH(E23, {"January","February","March","April","May","June","July","August","September","October","November","December"},0),1)</f>
        <v>45809</v>
      </c>
      <c r="K23" s="13">
        <f t="shared" si="3"/>
        <v>4599.72</v>
      </c>
      <c r="L23" s="13">
        <v>345.80953858315797</v>
      </c>
      <c r="M23" s="14">
        <f t="shared" si="4"/>
        <v>1.2541425150427114E-2</v>
      </c>
    </row>
    <row r="24" spans="1:13" ht="15.5" x14ac:dyDescent="0.35">
      <c r="A24" s="8" t="s">
        <v>50</v>
      </c>
      <c r="B24" s="9" t="s">
        <v>32</v>
      </c>
      <c r="C24" s="9" t="s">
        <v>29</v>
      </c>
      <c r="D24" s="10">
        <v>84.96</v>
      </c>
      <c r="E24" s="9" t="s">
        <v>46</v>
      </c>
      <c r="F24" s="9" t="s">
        <v>26</v>
      </c>
      <c r="G24" s="9" t="str">
        <f t="shared" si="0"/>
        <v>Low Averg</v>
      </c>
      <c r="H24" s="11">
        <f t="shared" si="1"/>
        <v>81.934666666666672</v>
      </c>
      <c r="I24" s="9">
        <f t="shared" si="2"/>
        <v>30</v>
      </c>
      <c r="J24" s="12">
        <f>DATE(2025, MATCH(E24, {"January","February","March","April","May","June","July","August","September","October","November","December"},0),1)</f>
        <v>45870</v>
      </c>
      <c r="K24" s="13">
        <f t="shared" si="3"/>
        <v>2548.7999999999997</v>
      </c>
      <c r="L24" s="13">
        <v>345.89064302809601</v>
      </c>
      <c r="M24" s="14">
        <f t="shared" si="4"/>
        <v>8.7465023825104744E-3</v>
      </c>
    </row>
    <row r="25" spans="1:13" ht="15.5" x14ac:dyDescent="0.35">
      <c r="A25" s="8" t="s">
        <v>51</v>
      </c>
      <c r="B25" s="9" t="s">
        <v>28</v>
      </c>
      <c r="C25" s="9" t="s">
        <v>24</v>
      </c>
      <c r="D25" s="10">
        <v>120.82</v>
      </c>
      <c r="E25" s="9" t="s">
        <v>35</v>
      </c>
      <c r="F25" s="9" t="s">
        <v>36</v>
      </c>
      <c r="G25" s="9" t="str">
        <f t="shared" si="0"/>
        <v>Low Averg</v>
      </c>
      <c r="H25" s="11">
        <f t="shared" si="1"/>
        <v>122.0377142857143</v>
      </c>
      <c r="I25" s="9">
        <f t="shared" si="2"/>
        <v>35</v>
      </c>
      <c r="J25" s="12">
        <f>DATE(2025, MATCH(E25, {"January","February","March","April","May","June","July","August","September","October","November","December"},0),1)</f>
        <v>45778</v>
      </c>
      <c r="K25" s="13">
        <f t="shared" si="3"/>
        <v>4228.7</v>
      </c>
      <c r="L25" s="13">
        <v>345.94150569885602</v>
      </c>
      <c r="M25" s="14">
        <f t="shared" si="4"/>
        <v>-3.5200005366639504E-3</v>
      </c>
    </row>
    <row r="26" spans="1:13" ht="15.5" x14ac:dyDescent="0.35">
      <c r="A26" s="8" t="s">
        <v>52</v>
      </c>
      <c r="B26" s="9" t="s">
        <v>32</v>
      </c>
      <c r="C26" s="9" t="s">
        <v>20</v>
      </c>
      <c r="D26" s="10">
        <v>70.290000000000006</v>
      </c>
      <c r="E26" s="9" t="s">
        <v>21</v>
      </c>
      <c r="F26" s="9" t="s">
        <v>30</v>
      </c>
      <c r="G26" s="9" t="str">
        <f t="shared" si="0"/>
        <v>Low Averg</v>
      </c>
      <c r="H26" s="11">
        <f t="shared" si="1"/>
        <v>62.182121212121217</v>
      </c>
      <c r="I26" s="9">
        <f t="shared" si="2"/>
        <v>33</v>
      </c>
      <c r="J26" s="12">
        <f>DATE(2025, MATCH(E26, {"January","February","March","April","May","June","July","August","September","October","November","December"},0),1)</f>
        <v>45748</v>
      </c>
      <c r="K26" s="13">
        <f t="shared" si="3"/>
        <v>2319.5700000000002</v>
      </c>
      <c r="L26" s="13">
        <v>346.01795230334102</v>
      </c>
      <c r="M26" s="14">
        <f t="shared" si="4"/>
        <v>2.3431959913949536E-2</v>
      </c>
    </row>
    <row r="27" spans="1:13" ht="15.5" x14ac:dyDescent="0.35">
      <c r="A27" s="8" t="s">
        <v>53</v>
      </c>
      <c r="B27" s="9" t="s">
        <v>54</v>
      </c>
      <c r="C27" s="9" t="s">
        <v>34</v>
      </c>
      <c r="D27" s="10">
        <v>747.99</v>
      </c>
      <c r="E27" s="9" t="s">
        <v>42</v>
      </c>
      <c r="F27" s="9" t="s">
        <v>26</v>
      </c>
      <c r="G27" s="9" t="str">
        <f t="shared" si="0"/>
        <v>Above Averg</v>
      </c>
      <c r="H27" s="11">
        <f t="shared" si="1"/>
        <v>810.77454545454566</v>
      </c>
      <c r="I27" s="9">
        <f t="shared" si="2"/>
        <v>33</v>
      </c>
      <c r="J27" s="12">
        <f>DATE(2025, MATCH(E27, {"January","February","March","April","May","June","July","August","September","October","November","December"},0),1)</f>
        <v>45658</v>
      </c>
      <c r="K27" s="13">
        <f t="shared" si="3"/>
        <v>24683.670000000002</v>
      </c>
      <c r="L27" s="13">
        <v>346.05710684696697</v>
      </c>
      <c r="M27" s="14">
        <f t="shared" si="4"/>
        <v>-0.1814282793571125</v>
      </c>
    </row>
    <row r="28" spans="1:13" ht="15.5" x14ac:dyDescent="0.35">
      <c r="A28" s="8" t="s">
        <v>53</v>
      </c>
      <c r="B28" s="9" t="s">
        <v>54</v>
      </c>
      <c r="C28" s="9" t="s">
        <v>20</v>
      </c>
      <c r="D28" s="10">
        <v>771.03</v>
      </c>
      <c r="E28" s="9" t="s">
        <v>55</v>
      </c>
      <c r="F28" s="9" t="s">
        <v>17</v>
      </c>
      <c r="G28" s="9" t="str">
        <f t="shared" si="0"/>
        <v>Above Averg</v>
      </c>
      <c r="H28" s="11">
        <f t="shared" si="1"/>
        <v>810.77454545454566</v>
      </c>
      <c r="I28" s="9">
        <f t="shared" si="2"/>
        <v>33</v>
      </c>
      <c r="J28" s="12">
        <f>DATE(2025, MATCH(E28, {"January","February","March","April","May","June","July","August","September","October","November","December"},0),1)</f>
        <v>45962</v>
      </c>
      <c r="K28" s="13">
        <f t="shared" si="3"/>
        <v>25443.989999999998</v>
      </c>
      <c r="L28" s="13">
        <v>346.02718128450601</v>
      </c>
      <c r="M28" s="14">
        <f t="shared" si="4"/>
        <v>-0.11485960526860299</v>
      </c>
    </row>
    <row r="29" spans="1:13" ht="15.5" x14ac:dyDescent="0.35">
      <c r="A29" s="8" t="s">
        <v>56</v>
      </c>
      <c r="B29" s="9" t="s">
        <v>19</v>
      </c>
      <c r="C29" s="9" t="s">
        <v>29</v>
      </c>
      <c r="D29" s="10">
        <v>582.55999999999995</v>
      </c>
      <c r="E29" s="9" t="s">
        <v>25</v>
      </c>
      <c r="F29" s="9" t="s">
        <v>17</v>
      </c>
      <c r="G29" s="9" t="str">
        <f t="shared" si="0"/>
        <v>Above Averg</v>
      </c>
      <c r="H29" s="11">
        <f t="shared" si="1"/>
        <v>533.4588235294118</v>
      </c>
      <c r="I29" s="9">
        <f t="shared" si="2"/>
        <v>34</v>
      </c>
      <c r="J29" s="12">
        <f>DATE(2025, MATCH(E29, {"January","February","March","April","May","June","July","August","September","October","November","December"},0),1)</f>
        <v>45931</v>
      </c>
      <c r="K29" s="13">
        <f t="shared" si="3"/>
        <v>19807.039999999997</v>
      </c>
      <c r="L29" s="13">
        <v>345.972813151325</v>
      </c>
      <c r="M29" s="14">
        <f t="shared" si="4"/>
        <v>0.14192206613966452</v>
      </c>
    </row>
    <row r="30" spans="1:13" ht="15.5" x14ac:dyDescent="0.35">
      <c r="A30" s="8" t="s">
        <v>13</v>
      </c>
      <c r="B30" s="9" t="s">
        <v>14</v>
      </c>
      <c r="C30" s="9" t="s">
        <v>45</v>
      </c>
      <c r="D30" s="10">
        <v>216.45</v>
      </c>
      <c r="E30" s="9" t="s">
        <v>16</v>
      </c>
      <c r="F30" s="9" t="s">
        <v>40</v>
      </c>
      <c r="G30" s="9" t="str">
        <f t="shared" si="0"/>
        <v>Low Averg</v>
      </c>
      <c r="H30" s="11">
        <f t="shared" si="1"/>
        <v>206.78702702702708</v>
      </c>
      <c r="I30" s="9">
        <f t="shared" si="2"/>
        <v>37</v>
      </c>
      <c r="J30" s="12">
        <f>DATE(2025, MATCH(E30, {"January","February","March","April","May","June","July","August","September","October","November","December"},0),1)</f>
        <v>45809</v>
      </c>
      <c r="K30" s="13">
        <f t="shared" si="3"/>
        <v>8008.65</v>
      </c>
      <c r="L30" s="13">
        <v>346.073006351027</v>
      </c>
      <c r="M30" s="14">
        <f t="shared" si="4"/>
        <v>2.7921776028875283E-2</v>
      </c>
    </row>
    <row r="31" spans="1:13" ht="15.5" x14ac:dyDescent="0.35">
      <c r="A31" s="8" t="s">
        <v>22</v>
      </c>
      <c r="B31" s="9" t="s">
        <v>23</v>
      </c>
      <c r="C31" s="9" t="s">
        <v>43</v>
      </c>
      <c r="D31" s="10">
        <v>238.43</v>
      </c>
      <c r="E31" s="9" t="s">
        <v>57</v>
      </c>
      <c r="F31" s="9" t="s">
        <v>17</v>
      </c>
      <c r="G31" s="9" t="str">
        <f t="shared" si="0"/>
        <v>Low Averg</v>
      </c>
      <c r="H31" s="11">
        <f t="shared" si="1"/>
        <v>257.40029411764709</v>
      </c>
      <c r="I31" s="9">
        <f t="shared" si="2"/>
        <v>34</v>
      </c>
      <c r="J31" s="12">
        <f>DATE(2025, MATCH(E31, {"January","February","March","April","May","June","July","August","September","October","November","December"},0),1)</f>
        <v>45839</v>
      </c>
      <c r="K31" s="13">
        <f t="shared" si="3"/>
        <v>8106.62</v>
      </c>
      <c r="L31" s="13">
        <v>346.20199224029102</v>
      </c>
      <c r="M31" s="14">
        <f t="shared" si="4"/>
        <v>-5.479545046777267E-2</v>
      </c>
    </row>
    <row r="32" spans="1:13" ht="15.5" x14ac:dyDescent="0.35">
      <c r="A32" s="8" t="s">
        <v>58</v>
      </c>
      <c r="B32" s="9" t="s">
        <v>23</v>
      </c>
      <c r="C32" s="9" t="s">
        <v>34</v>
      </c>
      <c r="D32" s="10">
        <v>131.91</v>
      </c>
      <c r="E32" s="9" t="s">
        <v>21</v>
      </c>
      <c r="F32" s="9" t="s">
        <v>26</v>
      </c>
      <c r="G32" s="9" t="str">
        <f t="shared" si="0"/>
        <v>Low Averg</v>
      </c>
      <c r="H32" s="11">
        <f t="shared" si="1"/>
        <v>121.60903225806452</v>
      </c>
      <c r="I32" s="9">
        <f t="shared" si="2"/>
        <v>31</v>
      </c>
      <c r="J32" s="12">
        <f>DATE(2025, MATCH(E32, {"January","February","March","April","May","June","July","August","September","October","November","December"},0),1)</f>
        <v>45748</v>
      </c>
      <c r="K32" s="13">
        <f t="shared" si="3"/>
        <v>4089.21</v>
      </c>
      <c r="L32" s="13">
        <v>346.33956005383197</v>
      </c>
      <c r="M32" s="14">
        <f t="shared" si="4"/>
        <v>2.9742394257053363E-2</v>
      </c>
    </row>
    <row r="33" spans="1:13" ht="15.5" x14ac:dyDescent="0.35">
      <c r="A33" s="8" t="s">
        <v>59</v>
      </c>
      <c r="B33" s="9" t="s">
        <v>60</v>
      </c>
      <c r="C33" s="9" t="s">
        <v>15</v>
      </c>
      <c r="D33" s="10">
        <v>179.05</v>
      </c>
      <c r="E33" s="9" t="s">
        <v>25</v>
      </c>
      <c r="F33" s="9" t="s">
        <v>30</v>
      </c>
      <c r="G33" s="9" t="str">
        <f t="shared" si="0"/>
        <v>Low Averg</v>
      </c>
      <c r="H33" s="11">
        <f t="shared" si="1"/>
        <v>203.25225806451613</v>
      </c>
      <c r="I33" s="9">
        <f t="shared" si="2"/>
        <v>31</v>
      </c>
      <c r="J33" s="12">
        <f>DATE(2025, MATCH(E33, {"January","February","March","April","May","June","July","August","September","October","November","December"},0),1)</f>
        <v>45931</v>
      </c>
      <c r="K33" s="13">
        <f t="shared" si="3"/>
        <v>5550.55</v>
      </c>
      <c r="L33" s="13">
        <v>346.42416689898198</v>
      </c>
      <c r="M33" s="14">
        <f t="shared" si="4"/>
        <v>-6.9863076474031172E-2</v>
      </c>
    </row>
    <row r="34" spans="1:13" ht="15.5" x14ac:dyDescent="0.35">
      <c r="A34" s="8" t="s">
        <v>33</v>
      </c>
      <c r="B34" s="9" t="s">
        <v>19</v>
      </c>
      <c r="C34" s="9" t="s">
        <v>61</v>
      </c>
      <c r="D34" s="10">
        <v>1194.76</v>
      </c>
      <c r="E34" s="9" t="s">
        <v>62</v>
      </c>
      <c r="F34" s="9" t="s">
        <v>17</v>
      </c>
      <c r="G34" s="9" t="str">
        <f t="shared" si="0"/>
        <v>Above Averg</v>
      </c>
      <c r="H34" s="11">
        <f t="shared" si="1"/>
        <v>1113.4854166666667</v>
      </c>
      <c r="I34" s="9">
        <f t="shared" si="2"/>
        <v>24</v>
      </c>
      <c r="J34" s="12">
        <f>DATE(2025, MATCH(E34, {"January","February","March","April","May","June","July","August","September","October","November","December"},0),1)</f>
        <v>45689</v>
      </c>
      <c r="K34" s="13">
        <f t="shared" si="3"/>
        <v>28674.239999999998</v>
      </c>
      <c r="L34" s="13">
        <v>346.53608838643601</v>
      </c>
      <c r="M34" s="14">
        <f t="shared" si="4"/>
        <v>0.23453425503753264</v>
      </c>
    </row>
    <row r="35" spans="1:13" ht="15.5" x14ac:dyDescent="0.35">
      <c r="A35" s="8" t="s">
        <v>33</v>
      </c>
      <c r="B35" s="9" t="s">
        <v>19</v>
      </c>
      <c r="C35" s="9" t="s">
        <v>29</v>
      </c>
      <c r="D35" s="10">
        <v>1280.22</v>
      </c>
      <c r="E35" s="9" t="s">
        <v>39</v>
      </c>
      <c r="F35" s="9" t="s">
        <v>17</v>
      </c>
      <c r="G35" s="9" t="str">
        <f t="shared" si="0"/>
        <v>Above Averg</v>
      </c>
      <c r="H35" s="11">
        <f t="shared" si="1"/>
        <v>1113.4854166666667</v>
      </c>
      <c r="I35" s="9">
        <f t="shared" si="2"/>
        <v>24</v>
      </c>
      <c r="J35" s="12">
        <f>DATE(2025, MATCH(E35, {"January","February","March","April","May","June","July","August","September","October","November","December"},0),1)</f>
        <v>45992</v>
      </c>
      <c r="K35" s="13">
        <f t="shared" si="3"/>
        <v>30725.279999999999</v>
      </c>
      <c r="L35" s="13">
        <v>345.78260410489099</v>
      </c>
      <c r="M35" s="14">
        <f t="shared" si="4"/>
        <v>0.48219482806241892</v>
      </c>
    </row>
    <row r="36" spans="1:13" ht="15.5" x14ac:dyDescent="0.35">
      <c r="A36" s="8" t="s">
        <v>53</v>
      </c>
      <c r="B36" s="9" t="s">
        <v>54</v>
      </c>
      <c r="C36" s="9" t="s">
        <v>49</v>
      </c>
      <c r="D36" s="10">
        <v>814.16</v>
      </c>
      <c r="E36" s="9" t="s">
        <v>63</v>
      </c>
      <c r="F36" s="9" t="s">
        <v>40</v>
      </c>
      <c r="G36" s="9" t="str">
        <f t="shared" si="0"/>
        <v>Above Averg</v>
      </c>
      <c r="H36" s="11">
        <f t="shared" si="1"/>
        <v>810.77454545454566</v>
      </c>
      <c r="I36" s="9">
        <f t="shared" si="2"/>
        <v>33</v>
      </c>
      <c r="J36" s="12">
        <f>DATE(2025, MATCH(E36, {"January","February","March","April","May","June","July","August","September","October","November","December"},0),1)</f>
        <v>45717</v>
      </c>
      <c r="K36" s="13">
        <f t="shared" si="3"/>
        <v>26867.279999999999</v>
      </c>
      <c r="L36" s="13">
        <v>344.82351768042798</v>
      </c>
      <c r="M36" s="14">
        <f t="shared" si="4"/>
        <v>9.8179340209383435E-3</v>
      </c>
    </row>
    <row r="37" spans="1:13" ht="15.5" x14ac:dyDescent="0.35">
      <c r="A37" s="8" t="s">
        <v>64</v>
      </c>
      <c r="B37" s="9" t="s">
        <v>60</v>
      </c>
      <c r="C37" s="9" t="s">
        <v>43</v>
      </c>
      <c r="D37" s="10">
        <v>244.61</v>
      </c>
      <c r="E37" s="9" t="s">
        <v>16</v>
      </c>
      <c r="F37" s="9" t="s">
        <v>40</v>
      </c>
      <c r="G37" s="9" t="str">
        <f t="shared" si="0"/>
        <v>Low Averg</v>
      </c>
      <c r="H37" s="11">
        <f t="shared" si="1"/>
        <v>249.29749999999999</v>
      </c>
      <c r="I37" s="9">
        <f t="shared" si="2"/>
        <v>32</v>
      </c>
      <c r="J37" s="12">
        <f>DATE(2025, MATCH(E37, {"January","February","March","April","May","June","July","August","September","October","November","December"},0),1)</f>
        <v>45809</v>
      </c>
      <c r="K37" s="13">
        <f t="shared" si="3"/>
        <v>7827.52</v>
      </c>
      <c r="L37" s="13">
        <v>344.716235841497</v>
      </c>
      <c r="M37" s="14">
        <f t="shared" si="4"/>
        <v>-1.3598141058129091E-2</v>
      </c>
    </row>
    <row r="38" spans="1:13" ht="15.5" x14ac:dyDescent="0.35">
      <c r="A38" s="8" t="s">
        <v>18</v>
      </c>
      <c r="B38" s="9" t="s">
        <v>19</v>
      </c>
      <c r="C38" s="9" t="s">
        <v>24</v>
      </c>
      <c r="D38" s="10">
        <v>982.68</v>
      </c>
      <c r="E38" s="9" t="s">
        <v>39</v>
      </c>
      <c r="F38" s="9" t="s">
        <v>26</v>
      </c>
      <c r="G38" s="9" t="str">
        <f t="shared" si="0"/>
        <v>Above Averg</v>
      </c>
      <c r="H38" s="11">
        <f t="shared" si="1"/>
        <v>920.12567567567555</v>
      </c>
      <c r="I38" s="9">
        <f t="shared" si="2"/>
        <v>37</v>
      </c>
      <c r="J38" s="12">
        <f>DATE(2025, MATCH(E38, {"January","February","March","April","May","June","July","August","September","October","November","December"},0),1)</f>
        <v>45992</v>
      </c>
      <c r="K38" s="13">
        <f t="shared" si="3"/>
        <v>36359.159999999996</v>
      </c>
      <c r="L38" s="13">
        <v>344.85645454801801</v>
      </c>
      <c r="M38" s="14">
        <f t="shared" si="4"/>
        <v>0.18139235470106099</v>
      </c>
    </row>
    <row r="39" spans="1:13" ht="15.5" x14ac:dyDescent="0.35">
      <c r="A39" s="8" t="s">
        <v>64</v>
      </c>
      <c r="B39" s="9" t="s">
        <v>60</v>
      </c>
      <c r="C39" s="9" t="s">
        <v>61</v>
      </c>
      <c r="D39" s="10">
        <v>254.18</v>
      </c>
      <c r="E39" s="9" t="s">
        <v>21</v>
      </c>
      <c r="F39" s="9" t="s">
        <v>26</v>
      </c>
      <c r="G39" s="9" t="str">
        <f t="shared" si="0"/>
        <v>Low Averg</v>
      </c>
      <c r="H39" s="11">
        <f t="shared" si="1"/>
        <v>249.29749999999999</v>
      </c>
      <c r="I39" s="9">
        <f t="shared" si="2"/>
        <v>32</v>
      </c>
      <c r="J39" s="12">
        <f>DATE(2025, MATCH(E39, {"January","February","March","April","May","June","July","August","September","October","November","December"},0),1)</f>
        <v>45748</v>
      </c>
      <c r="K39" s="13">
        <f t="shared" si="3"/>
        <v>8133.76</v>
      </c>
      <c r="L39" s="13">
        <v>344.50603988418601</v>
      </c>
      <c r="M39" s="14">
        <f t="shared" si="4"/>
        <v>1.4172465602174613E-2</v>
      </c>
    </row>
    <row r="40" spans="1:13" ht="15.5" x14ac:dyDescent="0.35">
      <c r="A40" s="8" t="s">
        <v>51</v>
      </c>
      <c r="B40" s="9" t="s">
        <v>28</v>
      </c>
      <c r="C40" s="9" t="s">
        <v>15</v>
      </c>
      <c r="D40" s="10">
        <v>120.63</v>
      </c>
      <c r="E40" s="9" t="s">
        <v>35</v>
      </c>
      <c r="F40" s="9" t="s">
        <v>36</v>
      </c>
      <c r="G40" s="9" t="str">
        <f t="shared" si="0"/>
        <v>Low Averg</v>
      </c>
      <c r="H40" s="11">
        <f t="shared" si="1"/>
        <v>122.0377142857143</v>
      </c>
      <c r="I40" s="9">
        <f t="shared" si="2"/>
        <v>35</v>
      </c>
      <c r="J40" s="12">
        <f>DATE(2025, MATCH(E40, {"January","February","March","April","May","June","July","August","September","October","November","December"},0),1)</f>
        <v>45778</v>
      </c>
      <c r="K40" s="13">
        <f t="shared" si="3"/>
        <v>4222.05</v>
      </c>
      <c r="L40" s="13">
        <v>344.649666064114</v>
      </c>
      <c r="M40" s="14">
        <f t="shared" si="4"/>
        <v>-4.0844788906670045E-3</v>
      </c>
    </row>
    <row r="41" spans="1:13" ht="15.5" x14ac:dyDescent="0.35">
      <c r="A41" s="8" t="s">
        <v>65</v>
      </c>
      <c r="B41" s="9" t="s">
        <v>23</v>
      </c>
      <c r="C41" s="9" t="s">
        <v>34</v>
      </c>
      <c r="D41" s="10">
        <v>154.55000000000001</v>
      </c>
      <c r="E41" s="9" t="s">
        <v>42</v>
      </c>
      <c r="F41" s="9" t="s">
        <v>26</v>
      </c>
      <c r="G41" s="9" t="str">
        <f t="shared" si="0"/>
        <v>Low Averg</v>
      </c>
      <c r="H41" s="11">
        <f t="shared" si="1"/>
        <v>151.26457142857143</v>
      </c>
      <c r="I41" s="9">
        <f t="shared" si="2"/>
        <v>35</v>
      </c>
      <c r="J41" s="12">
        <f>DATE(2025, MATCH(E41, {"January","February","March","April","May","June","July","August","September","October","November","December"},0),1)</f>
        <v>45658</v>
      </c>
      <c r="K41" s="13">
        <f t="shared" si="3"/>
        <v>5409.25</v>
      </c>
      <c r="L41" s="13">
        <v>344.72757520073299</v>
      </c>
      <c r="M41" s="14">
        <f t="shared" si="4"/>
        <v>9.5305070083688409E-3</v>
      </c>
    </row>
    <row r="42" spans="1:13" ht="15.5" x14ac:dyDescent="0.35">
      <c r="A42" s="8" t="s">
        <v>66</v>
      </c>
      <c r="B42" s="9" t="s">
        <v>32</v>
      </c>
      <c r="C42" s="9" t="s">
        <v>20</v>
      </c>
      <c r="D42" s="10">
        <v>163.29</v>
      </c>
      <c r="E42" s="9" t="s">
        <v>21</v>
      </c>
      <c r="F42" s="9" t="s">
        <v>36</v>
      </c>
      <c r="G42" s="9" t="str">
        <f t="shared" si="0"/>
        <v>Low Averg</v>
      </c>
      <c r="H42" s="11">
        <f t="shared" si="1"/>
        <v>141.74161290322584</v>
      </c>
      <c r="I42" s="9">
        <f t="shared" si="2"/>
        <v>31</v>
      </c>
      <c r="J42" s="12">
        <f>DATE(2025, MATCH(E42, {"January","February","March","April","May","June","July","August","September","October","November","December"},0),1)</f>
        <v>45748</v>
      </c>
      <c r="K42" s="13">
        <f t="shared" si="3"/>
        <v>5061.99</v>
      </c>
      <c r="L42" s="13">
        <v>344.82683194716401</v>
      </c>
      <c r="M42" s="14">
        <f t="shared" si="4"/>
        <v>6.2490459269352608E-2</v>
      </c>
    </row>
    <row r="43" spans="1:13" ht="15.5" x14ac:dyDescent="0.35">
      <c r="A43" s="8" t="s">
        <v>47</v>
      </c>
      <c r="B43" s="9" t="s">
        <v>19</v>
      </c>
      <c r="C43" s="9" t="s">
        <v>20</v>
      </c>
      <c r="D43" s="10">
        <v>711</v>
      </c>
      <c r="E43" s="9" t="s">
        <v>16</v>
      </c>
      <c r="F43" s="9" t="s">
        <v>26</v>
      </c>
      <c r="G43" s="9" t="str">
        <f t="shared" si="0"/>
        <v>Above Averg</v>
      </c>
      <c r="H43" s="11">
        <f t="shared" si="1"/>
        <v>673.04079999999988</v>
      </c>
      <c r="I43" s="9">
        <f t="shared" si="2"/>
        <v>25</v>
      </c>
      <c r="J43" s="12">
        <f>DATE(2025, MATCH(E43, {"January","February","March","April","May","June","July","August","September","October","November","December"},0),1)</f>
        <v>45809</v>
      </c>
      <c r="K43" s="13">
        <f t="shared" si="3"/>
        <v>17775</v>
      </c>
      <c r="L43" s="13">
        <v>344.93113669260703</v>
      </c>
      <c r="M43" s="14">
        <f t="shared" si="4"/>
        <v>0.1100486327908063</v>
      </c>
    </row>
    <row r="44" spans="1:13" ht="15.5" x14ac:dyDescent="0.35">
      <c r="A44" s="8" t="s">
        <v>67</v>
      </c>
      <c r="B44" s="9" t="s">
        <v>23</v>
      </c>
      <c r="C44" s="9" t="s">
        <v>43</v>
      </c>
      <c r="D44" s="10">
        <v>235.43</v>
      </c>
      <c r="E44" s="9" t="s">
        <v>16</v>
      </c>
      <c r="F44" s="9" t="s">
        <v>26</v>
      </c>
      <c r="G44" s="9" t="str">
        <f t="shared" si="0"/>
        <v>Low Averg</v>
      </c>
      <c r="H44" s="11">
        <f t="shared" si="1"/>
        <v>226.566129032258</v>
      </c>
      <c r="I44" s="9">
        <f t="shared" si="2"/>
        <v>31</v>
      </c>
      <c r="J44" s="12">
        <f>DATE(2025, MATCH(E44, {"January","February","March","April","May","June","July","August","September","October","November","December"},0),1)</f>
        <v>45809</v>
      </c>
      <c r="K44" s="13">
        <f t="shared" si="3"/>
        <v>7298.33</v>
      </c>
      <c r="L44" s="13">
        <v>344.93391206972399</v>
      </c>
      <c r="M44" s="14">
        <f t="shared" si="4"/>
        <v>2.5697302171757135E-2</v>
      </c>
    </row>
    <row r="45" spans="1:13" ht="15.5" x14ac:dyDescent="0.35">
      <c r="A45" s="8" t="s">
        <v>68</v>
      </c>
      <c r="B45" s="9" t="s">
        <v>28</v>
      </c>
      <c r="C45" s="9" t="s">
        <v>45</v>
      </c>
      <c r="D45" s="10">
        <v>105.04</v>
      </c>
      <c r="E45" s="9" t="s">
        <v>55</v>
      </c>
      <c r="F45" s="9" t="s">
        <v>17</v>
      </c>
      <c r="G45" s="9" t="str">
        <f t="shared" si="0"/>
        <v>Low Averg</v>
      </c>
      <c r="H45" s="11">
        <f t="shared" si="1"/>
        <v>102.25285714285715</v>
      </c>
      <c r="I45" s="9">
        <f t="shared" si="2"/>
        <v>28</v>
      </c>
      <c r="J45" s="12">
        <f>DATE(2025, MATCH(E45, {"January","February","March","April","May","June","July","August","September","October","November","December"},0),1)</f>
        <v>45962</v>
      </c>
      <c r="K45" s="13">
        <f t="shared" si="3"/>
        <v>2941.1200000000003</v>
      </c>
      <c r="L45" s="13">
        <v>345.071955203676</v>
      </c>
      <c r="M45" s="14">
        <f t="shared" si="4"/>
        <v>8.0769903642206008E-3</v>
      </c>
    </row>
    <row r="46" spans="1:13" ht="15.5" x14ac:dyDescent="0.35">
      <c r="A46" s="8" t="s">
        <v>41</v>
      </c>
      <c r="B46" s="9" t="s">
        <v>32</v>
      </c>
      <c r="C46" s="9" t="s">
        <v>15</v>
      </c>
      <c r="D46" s="10">
        <v>68.81</v>
      </c>
      <c r="E46" s="9" t="s">
        <v>55</v>
      </c>
      <c r="F46" s="9" t="s">
        <v>36</v>
      </c>
      <c r="G46" s="9" t="str">
        <f t="shared" si="0"/>
        <v>Low Averg</v>
      </c>
      <c r="H46" s="11">
        <f t="shared" si="1"/>
        <v>70.278611111111118</v>
      </c>
      <c r="I46" s="9">
        <f t="shared" si="2"/>
        <v>36</v>
      </c>
      <c r="J46" s="12">
        <f>DATE(2025, MATCH(E46, {"January","February","March","April","May","June","July","August","September","October","November","December"},0),1)</f>
        <v>45962</v>
      </c>
      <c r="K46" s="13">
        <f t="shared" si="3"/>
        <v>2477.16</v>
      </c>
      <c r="L46" s="13">
        <v>345.13932507356998</v>
      </c>
      <c r="M46" s="14">
        <f t="shared" si="4"/>
        <v>-4.2551254071035412E-3</v>
      </c>
    </row>
    <row r="47" spans="1:13" ht="15.5" x14ac:dyDescent="0.35">
      <c r="A47" s="8" t="s">
        <v>47</v>
      </c>
      <c r="B47" s="9" t="s">
        <v>19</v>
      </c>
      <c r="C47" s="9" t="s">
        <v>69</v>
      </c>
      <c r="D47" s="10">
        <v>643.05999999999995</v>
      </c>
      <c r="E47" s="9" t="s">
        <v>46</v>
      </c>
      <c r="F47" s="9" t="s">
        <v>40</v>
      </c>
      <c r="G47" s="9" t="str">
        <f t="shared" si="0"/>
        <v>Above Averg</v>
      </c>
      <c r="H47" s="11">
        <f t="shared" si="1"/>
        <v>673.04079999999988</v>
      </c>
      <c r="I47" s="9">
        <f t="shared" si="2"/>
        <v>25</v>
      </c>
      <c r="J47" s="12">
        <f>DATE(2025, MATCH(E47, {"January","February","March","April","May","June","July","August","September","October","November","December"},0),1)</f>
        <v>45870</v>
      </c>
      <c r="K47" s="13">
        <f t="shared" si="3"/>
        <v>16076.499999999998</v>
      </c>
      <c r="L47" s="13">
        <v>345.17864896093698</v>
      </c>
      <c r="M47" s="14">
        <f t="shared" si="4"/>
        <v>-8.6855893579306481E-2</v>
      </c>
    </row>
    <row r="48" spans="1:13" ht="15.5" x14ac:dyDescent="0.35">
      <c r="A48" s="8" t="s">
        <v>70</v>
      </c>
      <c r="B48" s="9" t="s">
        <v>71</v>
      </c>
      <c r="C48" s="9" t="s">
        <v>20</v>
      </c>
      <c r="D48" s="10">
        <v>910.93</v>
      </c>
      <c r="E48" s="9" t="s">
        <v>72</v>
      </c>
      <c r="F48" s="9" t="s">
        <v>30</v>
      </c>
      <c r="G48" s="9" t="str">
        <f t="shared" si="0"/>
        <v>Above Averg</v>
      </c>
      <c r="H48" s="11">
        <f t="shared" si="1"/>
        <v>911.5772916666665</v>
      </c>
      <c r="I48" s="9">
        <f t="shared" si="2"/>
        <v>48</v>
      </c>
      <c r="J48" s="12">
        <f>DATE(2025, MATCH(E48, {"January","February","March","April","May","June","July","August","September","October","November","December"},0),1)</f>
        <v>45901</v>
      </c>
      <c r="K48" s="13">
        <f t="shared" si="3"/>
        <v>43724.639999999999</v>
      </c>
      <c r="L48" s="13">
        <v>345.23918104425098</v>
      </c>
      <c r="M48" s="14">
        <f t="shared" si="4"/>
        <v>-1.8749078963421026E-3</v>
      </c>
    </row>
    <row r="49" spans="1:13" ht="15.5" x14ac:dyDescent="0.35">
      <c r="A49" s="8" t="s">
        <v>73</v>
      </c>
      <c r="B49" s="9" t="s">
        <v>54</v>
      </c>
      <c r="C49" s="9" t="s">
        <v>45</v>
      </c>
      <c r="D49" s="10">
        <v>43.91</v>
      </c>
      <c r="E49" s="9" t="s">
        <v>62</v>
      </c>
      <c r="F49" s="9" t="s">
        <v>30</v>
      </c>
      <c r="G49" s="9" t="str">
        <f t="shared" si="0"/>
        <v>Low Averg</v>
      </c>
      <c r="H49" s="11">
        <f t="shared" si="1"/>
        <v>40.881379310344826</v>
      </c>
      <c r="I49" s="9">
        <f t="shared" si="2"/>
        <v>29</v>
      </c>
      <c r="J49" s="12">
        <f>DATE(2025, MATCH(E49, {"January","February","March","April","May","June","July","August","September","October","November","December"},0),1)</f>
        <v>45689</v>
      </c>
      <c r="K49" s="13">
        <f t="shared" si="3"/>
        <v>1273.3899999999999</v>
      </c>
      <c r="L49" s="13">
        <v>345.00025389317301</v>
      </c>
      <c r="M49" s="14">
        <f t="shared" si="4"/>
        <v>8.7786042342825697E-3</v>
      </c>
    </row>
    <row r="50" spans="1:13" ht="15.5" x14ac:dyDescent="0.35">
      <c r="A50" s="8" t="s">
        <v>74</v>
      </c>
      <c r="B50" s="9" t="s">
        <v>38</v>
      </c>
      <c r="C50" s="9" t="s">
        <v>69</v>
      </c>
      <c r="D50" s="10">
        <v>343.24</v>
      </c>
      <c r="E50" s="9" t="s">
        <v>72</v>
      </c>
      <c r="F50" s="9" t="s">
        <v>40</v>
      </c>
      <c r="G50" s="9" t="str">
        <f t="shared" si="0"/>
        <v>Low Averg</v>
      </c>
      <c r="H50" s="11">
        <f t="shared" si="1"/>
        <v>368.73933333333326</v>
      </c>
      <c r="I50" s="9">
        <f t="shared" si="2"/>
        <v>30</v>
      </c>
      <c r="J50" s="12">
        <f>DATE(2025, MATCH(E50, {"January","February","March","April","May","June","July","August","September","October","November","December"},0),1)</f>
        <v>45901</v>
      </c>
      <c r="K50" s="13">
        <f t="shared" si="3"/>
        <v>10297.200000000001</v>
      </c>
      <c r="L50" s="13">
        <v>345.018624554474</v>
      </c>
      <c r="M50" s="14">
        <f t="shared" si="4"/>
        <v>-7.3907121293120909E-2</v>
      </c>
    </row>
    <row r="51" spans="1:13" ht="15.5" x14ac:dyDescent="0.35">
      <c r="A51" s="8" t="s">
        <v>37</v>
      </c>
      <c r="B51" s="9" t="s">
        <v>38</v>
      </c>
      <c r="C51" s="9" t="s">
        <v>20</v>
      </c>
      <c r="D51" s="10">
        <v>1185.1600000000001</v>
      </c>
      <c r="E51" s="9" t="s">
        <v>16</v>
      </c>
      <c r="F51" s="9" t="s">
        <v>36</v>
      </c>
      <c r="G51" s="9" t="str">
        <f t="shared" si="0"/>
        <v>Above Averg</v>
      </c>
      <c r="H51" s="11">
        <f t="shared" si="1"/>
        <v>1024.1451428571424</v>
      </c>
      <c r="I51" s="9">
        <f t="shared" si="2"/>
        <v>35</v>
      </c>
      <c r="J51" s="12">
        <f>DATE(2025, MATCH(E51, {"January","February","March","April","May","June","July","August","September","October","November","December"},0),1)</f>
        <v>45809</v>
      </c>
      <c r="K51" s="13">
        <f t="shared" si="3"/>
        <v>41480.600000000006</v>
      </c>
      <c r="L51" s="13">
        <v>345.18103123135398</v>
      </c>
      <c r="M51" s="14">
        <f t="shared" si="4"/>
        <v>0.46646496352500644</v>
      </c>
    </row>
    <row r="52" spans="1:13" ht="15.5" x14ac:dyDescent="0.35">
      <c r="A52" s="8" t="s">
        <v>56</v>
      </c>
      <c r="B52" s="9" t="s">
        <v>19</v>
      </c>
      <c r="C52" s="9" t="s">
        <v>34</v>
      </c>
      <c r="D52" s="10">
        <v>549.88</v>
      </c>
      <c r="E52" s="9" t="s">
        <v>42</v>
      </c>
      <c r="F52" s="9" t="s">
        <v>26</v>
      </c>
      <c r="G52" s="9" t="str">
        <f t="shared" si="0"/>
        <v>Above Averg</v>
      </c>
      <c r="H52" s="11">
        <f t="shared" si="1"/>
        <v>533.4588235294118</v>
      </c>
      <c r="I52" s="9">
        <f t="shared" si="2"/>
        <v>34</v>
      </c>
      <c r="J52" s="12">
        <f>DATE(2025, MATCH(E52, {"January","February","March","April","May","June","July","August","September","October","November","December"},0),1)</f>
        <v>45658</v>
      </c>
      <c r="K52" s="13">
        <f t="shared" si="3"/>
        <v>18695.919999999998</v>
      </c>
      <c r="L52" s="13">
        <v>344.42856154348698</v>
      </c>
      <c r="M52" s="14">
        <f t="shared" si="4"/>
        <v>4.7676581747460228E-2</v>
      </c>
    </row>
    <row r="53" spans="1:13" ht="15.5" x14ac:dyDescent="0.35">
      <c r="A53" s="8" t="s">
        <v>66</v>
      </c>
      <c r="B53" s="9" t="s">
        <v>32</v>
      </c>
      <c r="C53" s="9" t="s">
        <v>61</v>
      </c>
      <c r="D53" s="10">
        <v>154.72999999999999</v>
      </c>
      <c r="E53" s="9" t="s">
        <v>25</v>
      </c>
      <c r="F53" s="9" t="s">
        <v>40</v>
      </c>
      <c r="G53" s="9" t="str">
        <f t="shared" si="0"/>
        <v>Low Averg</v>
      </c>
      <c r="H53" s="11">
        <f t="shared" si="1"/>
        <v>141.74161290322584</v>
      </c>
      <c r="I53" s="9">
        <f t="shared" si="2"/>
        <v>31</v>
      </c>
      <c r="J53" s="12">
        <f>DATE(2025, MATCH(E53, {"January","February","March","April","May","June","July","August","September","October","November","December"},0),1)</f>
        <v>45931</v>
      </c>
      <c r="K53" s="13">
        <f t="shared" si="3"/>
        <v>4796.63</v>
      </c>
      <c r="L53" s="13">
        <v>344.54648671649898</v>
      </c>
      <c r="M53" s="14">
        <f t="shared" si="4"/>
        <v>3.7697052785394675E-2</v>
      </c>
    </row>
    <row r="54" spans="1:13" ht="15.5" x14ac:dyDescent="0.35">
      <c r="A54" s="8" t="s">
        <v>52</v>
      </c>
      <c r="B54" s="9" t="s">
        <v>32</v>
      </c>
      <c r="C54" s="9" t="s">
        <v>29</v>
      </c>
      <c r="D54" s="10">
        <v>63.49</v>
      </c>
      <c r="E54" s="9" t="s">
        <v>16</v>
      </c>
      <c r="F54" s="9" t="s">
        <v>17</v>
      </c>
      <c r="G54" s="9" t="str">
        <f t="shared" si="0"/>
        <v>Low Averg</v>
      </c>
      <c r="H54" s="11">
        <f t="shared" si="1"/>
        <v>62.182121212121217</v>
      </c>
      <c r="I54" s="9">
        <f t="shared" si="2"/>
        <v>33</v>
      </c>
      <c r="J54" s="12">
        <f>DATE(2025, MATCH(E54, {"January","February","March","April","May","June","July","August","September","October","November","December"},0),1)</f>
        <v>45809</v>
      </c>
      <c r="K54" s="13">
        <f t="shared" si="3"/>
        <v>2095.17</v>
      </c>
      <c r="L54" s="13">
        <v>344.647245700138</v>
      </c>
      <c r="M54" s="14">
        <f t="shared" si="4"/>
        <v>3.7948331350273179E-3</v>
      </c>
    </row>
    <row r="55" spans="1:13" ht="15.5" x14ac:dyDescent="0.35">
      <c r="A55" s="8" t="s">
        <v>48</v>
      </c>
      <c r="B55" s="9" t="s">
        <v>19</v>
      </c>
      <c r="C55" s="9" t="s">
        <v>43</v>
      </c>
      <c r="D55" s="10">
        <v>1406.41</v>
      </c>
      <c r="E55" s="9" t="s">
        <v>35</v>
      </c>
      <c r="F55" s="9" t="s">
        <v>17</v>
      </c>
      <c r="G55" s="9" t="str">
        <f t="shared" si="0"/>
        <v>Above Averg</v>
      </c>
      <c r="H55" s="11">
        <f t="shared" si="1"/>
        <v>1235.856</v>
      </c>
      <c r="I55" s="9">
        <f t="shared" si="2"/>
        <v>25</v>
      </c>
      <c r="J55" s="12">
        <f>DATE(2025, MATCH(E55, {"January","February","March","April","May","June","July","August","September","October","November","December"},0),1)</f>
        <v>45778</v>
      </c>
      <c r="K55" s="13">
        <f t="shared" si="3"/>
        <v>35160.25</v>
      </c>
      <c r="L55" s="13">
        <v>344.682761393823</v>
      </c>
      <c r="M55" s="14">
        <f t="shared" si="4"/>
        <v>0.49481441807625182</v>
      </c>
    </row>
    <row r="56" spans="1:13" ht="15.5" x14ac:dyDescent="0.35">
      <c r="A56" s="8" t="s">
        <v>75</v>
      </c>
      <c r="B56" s="9" t="s">
        <v>28</v>
      </c>
      <c r="C56" s="9" t="s">
        <v>15</v>
      </c>
      <c r="D56" s="10">
        <v>115.59</v>
      </c>
      <c r="E56" s="9" t="s">
        <v>55</v>
      </c>
      <c r="F56" s="9" t="s">
        <v>30</v>
      </c>
      <c r="G56" s="9" t="str">
        <f t="shared" si="0"/>
        <v>Low Averg</v>
      </c>
      <c r="H56" s="11">
        <f t="shared" si="1"/>
        <v>120.53625</v>
      </c>
      <c r="I56" s="9">
        <f t="shared" si="2"/>
        <v>24</v>
      </c>
      <c r="J56" s="12">
        <f>DATE(2025, MATCH(E56, {"January","February","March","April","May","June","July","August","September","October","November","December"},0),1)</f>
        <v>45962</v>
      </c>
      <c r="K56" s="13">
        <f t="shared" si="3"/>
        <v>2774.16</v>
      </c>
      <c r="L56" s="13">
        <v>343.35631854609699</v>
      </c>
      <c r="M56" s="14">
        <f t="shared" si="4"/>
        <v>-1.4405588983899644E-2</v>
      </c>
    </row>
    <row r="57" spans="1:13" ht="15.5" x14ac:dyDescent="0.35">
      <c r="A57" s="8" t="s">
        <v>47</v>
      </c>
      <c r="B57" s="9" t="s">
        <v>19</v>
      </c>
      <c r="C57" s="9" t="s">
        <v>29</v>
      </c>
      <c r="D57" s="10">
        <v>611.47</v>
      </c>
      <c r="E57" s="9" t="s">
        <v>62</v>
      </c>
      <c r="F57" s="9" t="s">
        <v>26</v>
      </c>
      <c r="G57" s="9" t="str">
        <f t="shared" si="0"/>
        <v>Above Averg</v>
      </c>
      <c r="H57" s="11">
        <f t="shared" si="1"/>
        <v>673.04079999999988</v>
      </c>
      <c r="I57" s="9">
        <f t="shared" si="2"/>
        <v>25</v>
      </c>
      <c r="J57" s="12">
        <f>DATE(2025, MATCH(E57, {"January","February","March","April","May","June","July","August","September","October","November","December"},0),1)</f>
        <v>45689</v>
      </c>
      <c r="K57" s="13">
        <f t="shared" si="3"/>
        <v>15286.75</v>
      </c>
      <c r="L57" s="13">
        <v>343.43161505799799</v>
      </c>
      <c r="M57" s="14">
        <f t="shared" si="4"/>
        <v>-0.17928110663196195</v>
      </c>
    </row>
    <row r="58" spans="1:13" ht="15.5" x14ac:dyDescent="0.35">
      <c r="A58" s="8" t="s">
        <v>70</v>
      </c>
      <c r="B58" s="9" t="s">
        <v>71</v>
      </c>
      <c r="C58" s="9" t="s">
        <v>34</v>
      </c>
      <c r="D58" s="10">
        <v>959.24</v>
      </c>
      <c r="E58" s="9" t="s">
        <v>57</v>
      </c>
      <c r="F58" s="9" t="s">
        <v>30</v>
      </c>
      <c r="G58" s="9" t="str">
        <f t="shared" si="0"/>
        <v>Above Averg</v>
      </c>
      <c r="H58" s="11">
        <f t="shared" si="1"/>
        <v>911.5772916666665</v>
      </c>
      <c r="I58" s="9">
        <f t="shared" si="2"/>
        <v>48</v>
      </c>
      <c r="J58" s="12">
        <f>DATE(2025, MATCH(E58, {"January","February","March","April","May","June","July","August","September","October","November","December"},0),1)</f>
        <v>45839</v>
      </c>
      <c r="K58" s="13">
        <f t="shared" si="3"/>
        <v>46043.520000000004</v>
      </c>
      <c r="L58" s="13">
        <v>343.51287728176601</v>
      </c>
      <c r="M58" s="14">
        <f t="shared" si="4"/>
        <v>0.13875086346250198</v>
      </c>
    </row>
    <row r="59" spans="1:13" ht="15.5" x14ac:dyDescent="0.35">
      <c r="A59" s="8" t="s">
        <v>67</v>
      </c>
      <c r="B59" s="9" t="s">
        <v>23</v>
      </c>
      <c r="C59" s="9" t="s">
        <v>49</v>
      </c>
      <c r="D59" s="10">
        <v>217.14</v>
      </c>
      <c r="E59" s="9" t="s">
        <v>35</v>
      </c>
      <c r="F59" s="9" t="s">
        <v>40</v>
      </c>
      <c r="G59" s="9" t="str">
        <f t="shared" si="0"/>
        <v>Low Averg</v>
      </c>
      <c r="H59" s="11">
        <f t="shared" si="1"/>
        <v>226.566129032258</v>
      </c>
      <c r="I59" s="9">
        <f t="shared" si="2"/>
        <v>31</v>
      </c>
      <c r="J59" s="12">
        <f>DATE(2025, MATCH(E59, {"January","February","March","April","May","June","July","August","September","October","November","December"},0),1)</f>
        <v>45778</v>
      </c>
      <c r="K59" s="13">
        <f t="shared" si="3"/>
        <v>6731.3399999999992</v>
      </c>
      <c r="L59" s="13">
        <v>343.19008695414999</v>
      </c>
      <c r="M59" s="14">
        <f t="shared" si="4"/>
        <v>-2.746620427156261E-2</v>
      </c>
    </row>
    <row r="60" spans="1:13" ht="15.5" x14ac:dyDescent="0.35">
      <c r="A60" s="8" t="s">
        <v>76</v>
      </c>
      <c r="B60" s="9" t="s">
        <v>60</v>
      </c>
      <c r="C60" s="9" t="s">
        <v>20</v>
      </c>
      <c r="D60" s="10">
        <v>349.83</v>
      </c>
      <c r="E60" s="9" t="s">
        <v>35</v>
      </c>
      <c r="F60" s="9" t="s">
        <v>36</v>
      </c>
      <c r="G60" s="9" t="str">
        <f t="shared" si="0"/>
        <v>Low Averg</v>
      </c>
      <c r="H60" s="11">
        <f t="shared" si="1"/>
        <v>304.90820512820511</v>
      </c>
      <c r="I60" s="9">
        <f t="shared" si="2"/>
        <v>39</v>
      </c>
      <c r="J60" s="12">
        <f>DATE(2025, MATCH(E60, {"January","February","March","April","May","June","July","August","September","October","November","December"},0),1)</f>
        <v>45778</v>
      </c>
      <c r="K60" s="13">
        <f t="shared" si="3"/>
        <v>13643.369999999999</v>
      </c>
      <c r="L60" s="13">
        <v>343.32263330991799</v>
      </c>
      <c r="M60" s="14">
        <f t="shared" si="4"/>
        <v>0.13084425701478261</v>
      </c>
    </row>
    <row r="61" spans="1:13" ht="15.5" x14ac:dyDescent="0.35">
      <c r="A61" s="8" t="s">
        <v>59</v>
      </c>
      <c r="B61" s="9" t="s">
        <v>60</v>
      </c>
      <c r="C61" s="9" t="s">
        <v>49</v>
      </c>
      <c r="D61" s="10">
        <v>222.18</v>
      </c>
      <c r="E61" s="9" t="s">
        <v>21</v>
      </c>
      <c r="F61" s="9" t="s">
        <v>26</v>
      </c>
      <c r="G61" s="9" t="str">
        <f t="shared" si="0"/>
        <v>Low Averg</v>
      </c>
      <c r="H61" s="11">
        <f t="shared" si="1"/>
        <v>203.25225806451613</v>
      </c>
      <c r="I61" s="9">
        <f t="shared" si="2"/>
        <v>31</v>
      </c>
      <c r="J61" s="12">
        <f>DATE(2025, MATCH(E61, {"January","February","March","April","May","June","July","August","September","October","November","December"},0),1)</f>
        <v>45748</v>
      </c>
      <c r="K61" s="13">
        <f t="shared" si="3"/>
        <v>6887.58</v>
      </c>
      <c r="L61" s="13">
        <v>343.48628413895801</v>
      </c>
      <c r="M61" s="14">
        <f t="shared" si="4"/>
        <v>5.5104796929319681E-2</v>
      </c>
    </row>
    <row r="62" spans="1:13" ht="15.5" x14ac:dyDescent="0.35">
      <c r="A62" s="8" t="s">
        <v>70</v>
      </c>
      <c r="B62" s="9" t="s">
        <v>71</v>
      </c>
      <c r="C62" s="9" t="s">
        <v>49</v>
      </c>
      <c r="D62" s="10">
        <v>957.43</v>
      </c>
      <c r="E62" s="9" t="s">
        <v>42</v>
      </c>
      <c r="F62" s="9" t="s">
        <v>17</v>
      </c>
      <c r="G62" s="9" t="str">
        <f t="shared" si="0"/>
        <v>Above Averg</v>
      </c>
      <c r="H62" s="11">
        <f t="shared" si="1"/>
        <v>911.5772916666665</v>
      </c>
      <c r="I62" s="9">
        <f t="shared" si="2"/>
        <v>48</v>
      </c>
      <c r="J62" s="12">
        <f>DATE(2025, MATCH(E62, {"January","February","March","April","May","June","July","August","September","October","November","December"},0),1)</f>
        <v>45658</v>
      </c>
      <c r="K62" s="13">
        <f t="shared" si="3"/>
        <v>45956.639999999999</v>
      </c>
      <c r="L62" s="13">
        <v>343.62125958800698</v>
      </c>
      <c r="M62" s="14">
        <f t="shared" si="4"/>
        <v>0.1334396724705266</v>
      </c>
    </row>
    <row r="63" spans="1:13" ht="15.5" x14ac:dyDescent="0.35">
      <c r="A63" s="8" t="s">
        <v>70</v>
      </c>
      <c r="B63" s="9" t="s">
        <v>71</v>
      </c>
      <c r="C63" s="9" t="s">
        <v>43</v>
      </c>
      <c r="D63" s="10">
        <v>859.05</v>
      </c>
      <c r="E63" s="9" t="s">
        <v>72</v>
      </c>
      <c r="F63" s="9" t="s">
        <v>26</v>
      </c>
      <c r="G63" s="9" t="str">
        <f t="shared" si="0"/>
        <v>Above Averg</v>
      </c>
      <c r="H63" s="11">
        <f t="shared" si="1"/>
        <v>911.5772916666665</v>
      </c>
      <c r="I63" s="9">
        <f t="shared" si="2"/>
        <v>48</v>
      </c>
      <c r="J63" s="12">
        <f>DATE(2025, MATCH(E63, {"January","February","March","April","May","June","July","August","September","October","November","December"},0),1)</f>
        <v>45901</v>
      </c>
      <c r="K63" s="13">
        <f t="shared" si="3"/>
        <v>41234.399999999994</v>
      </c>
      <c r="L63" s="13">
        <v>343.29998473867499</v>
      </c>
      <c r="M63" s="14">
        <f t="shared" si="4"/>
        <v>-0.15300697349768627</v>
      </c>
    </row>
    <row r="64" spans="1:13" ht="15.5" x14ac:dyDescent="0.35">
      <c r="A64" s="8" t="s">
        <v>68</v>
      </c>
      <c r="B64" s="9" t="s">
        <v>28</v>
      </c>
      <c r="C64" s="9" t="s">
        <v>61</v>
      </c>
      <c r="D64" s="10">
        <v>91.38</v>
      </c>
      <c r="E64" s="9" t="s">
        <v>42</v>
      </c>
      <c r="F64" s="9" t="s">
        <v>36</v>
      </c>
      <c r="G64" s="9" t="str">
        <f t="shared" si="0"/>
        <v>Low Averg</v>
      </c>
      <c r="H64" s="11">
        <f t="shared" si="1"/>
        <v>102.25285714285715</v>
      </c>
      <c r="I64" s="9">
        <f t="shared" si="2"/>
        <v>28</v>
      </c>
      <c r="J64" s="12">
        <f>DATE(2025, MATCH(E64, {"January","February","March","April","May","June","July","August","September","October","November","December"},0),1)</f>
        <v>45658</v>
      </c>
      <c r="K64" s="13">
        <f t="shared" si="3"/>
        <v>2558.64</v>
      </c>
      <c r="L64" s="13">
        <v>343.12586587116601</v>
      </c>
      <c r="M64" s="14">
        <f t="shared" si="4"/>
        <v>-3.1687663986659648E-2</v>
      </c>
    </row>
    <row r="65" spans="1:13" ht="15.5" x14ac:dyDescent="0.35">
      <c r="A65" s="8" t="s">
        <v>37</v>
      </c>
      <c r="B65" s="9" t="s">
        <v>38</v>
      </c>
      <c r="C65" s="9" t="s">
        <v>15</v>
      </c>
      <c r="D65" s="10">
        <v>1009.59</v>
      </c>
      <c r="E65" s="9" t="s">
        <v>35</v>
      </c>
      <c r="F65" s="9" t="s">
        <v>40</v>
      </c>
      <c r="G65" s="9" t="str">
        <f t="shared" si="0"/>
        <v>Above Averg</v>
      </c>
      <c r="H65" s="11">
        <f t="shared" si="1"/>
        <v>1024.1451428571424</v>
      </c>
      <c r="I65" s="9">
        <f t="shared" si="2"/>
        <v>35</v>
      </c>
      <c r="J65" s="12">
        <f>DATE(2025, MATCH(E65, {"January","February","March","April","May","June","July","August","September","October","November","December"},0),1)</f>
        <v>45778</v>
      </c>
      <c r="K65" s="13">
        <f t="shared" si="3"/>
        <v>35335.65</v>
      </c>
      <c r="L65" s="13">
        <v>343.18466648812102</v>
      </c>
      <c r="M65" s="14">
        <f t="shared" si="4"/>
        <v>-4.2411984795498507E-2</v>
      </c>
    </row>
    <row r="66" spans="1:13" ht="15.5" x14ac:dyDescent="0.35">
      <c r="A66" s="8" t="s">
        <v>27</v>
      </c>
      <c r="B66" s="9" t="s">
        <v>28</v>
      </c>
      <c r="C66" s="9" t="s">
        <v>20</v>
      </c>
      <c r="D66" s="10">
        <v>129.54</v>
      </c>
      <c r="E66" s="9" t="s">
        <v>35</v>
      </c>
      <c r="F66" s="9" t="s">
        <v>40</v>
      </c>
      <c r="G66" s="9" t="str">
        <f t="shared" si="0"/>
        <v>Low Averg</v>
      </c>
      <c r="H66" s="11">
        <f t="shared" si="1"/>
        <v>113.26108695652174</v>
      </c>
      <c r="I66" s="9">
        <f t="shared" si="2"/>
        <v>46</v>
      </c>
      <c r="J66" s="12">
        <f>DATE(2025, MATCH(E66, {"January","February","March","April","May","June","July","August","September","October","November","December"},0),1)</f>
        <v>45778</v>
      </c>
      <c r="K66" s="13">
        <f t="shared" si="3"/>
        <v>5958.8399999999992</v>
      </c>
      <c r="L66" s="13">
        <v>342.77010391713497</v>
      </c>
      <c r="M66" s="14">
        <f t="shared" si="4"/>
        <v>4.7492219588128666E-2</v>
      </c>
    </row>
    <row r="67" spans="1:13" ht="15.5" x14ac:dyDescent="0.35">
      <c r="A67" s="8" t="s">
        <v>65</v>
      </c>
      <c r="B67" s="9" t="s">
        <v>23</v>
      </c>
      <c r="C67" s="9" t="s">
        <v>29</v>
      </c>
      <c r="D67" s="10">
        <v>144.36000000000001</v>
      </c>
      <c r="E67" s="9" t="s">
        <v>25</v>
      </c>
      <c r="F67" s="9" t="s">
        <v>36</v>
      </c>
      <c r="G67" s="9" t="str">
        <f t="shared" si="0"/>
        <v>Low Averg</v>
      </c>
      <c r="H67" s="11">
        <f t="shared" si="1"/>
        <v>151.26457142857143</v>
      </c>
      <c r="I67" s="9">
        <f t="shared" si="2"/>
        <v>35</v>
      </c>
      <c r="J67" s="12">
        <f>DATE(2025, MATCH(E67, {"January","February","March","April","May","June","July","August","September","October","November","December"},0),1)</f>
        <v>45931</v>
      </c>
      <c r="K67" s="13">
        <f t="shared" si="3"/>
        <v>5052.6000000000004</v>
      </c>
      <c r="L67" s="13">
        <v>342.856384517957</v>
      </c>
      <c r="M67" s="14">
        <f t="shared" si="4"/>
        <v>-2.0138377875853122E-2</v>
      </c>
    </row>
    <row r="68" spans="1:13" ht="15.5" x14ac:dyDescent="0.35">
      <c r="A68" s="8" t="s">
        <v>47</v>
      </c>
      <c r="B68" s="9" t="s">
        <v>19</v>
      </c>
      <c r="C68" s="9" t="s">
        <v>15</v>
      </c>
      <c r="D68" s="10">
        <v>723.82</v>
      </c>
      <c r="E68" s="9" t="s">
        <v>55</v>
      </c>
      <c r="F68" s="9" t="s">
        <v>40</v>
      </c>
      <c r="G68" s="9" t="str">
        <f t="shared" si="0"/>
        <v>Above Averg</v>
      </c>
      <c r="H68" s="11">
        <f t="shared" si="1"/>
        <v>673.04079999999988</v>
      </c>
      <c r="I68" s="9">
        <f t="shared" si="2"/>
        <v>25</v>
      </c>
      <c r="J68" s="12">
        <f>DATE(2025, MATCH(E68, {"January","February","March","April","May","June","July","August","September","October","November","December"},0),1)</f>
        <v>45962</v>
      </c>
      <c r="K68" s="13">
        <f t="shared" si="3"/>
        <v>18095.5</v>
      </c>
      <c r="L68" s="13">
        <v>342.95220371663999</v>
      </c>
      <c r="M68" s="14">
        <f t="shared" si="4"/>
        <v>0.14806494738828346</v>
      </c>
    </row>
    <row r="69" spans="1:13" ht="15.5" x14ac:dyDescent="0.35">
      <c r="A69" s="8" t="s">
        <v>27</v>
      </c>
      <c r="B69" s="9" t="s">
        <v>28</v>
      </c>
      <c r="C69" s="9" t="s">
        <v>49</v>
      </c>
      <c r="D69" s="10">
        <v>99.94</v>
      </c>
      <c r="E69" s="9" t="s">
        <v>46</v>
      </c>
      <c r="F69" s="9" t="s">
        <v>36</v>
      </c>
      <c r="G69" s="9" t="str">
        <f t="shared" si="0"/>
        <v>Low Averg</v>
      </c>
      <c r="H69" s="11">
        <f t="shared" si="1"/>
        <v>113.26108695652174</v>
      </c>
      <c r="I69" s="9">
        <f t="shared" si="2"/>
        <v>46</v>
      </c>
      <c r="J69" s="12">
        <f>DATE(2025, MATCH(E69, {"January","February","March","April","May","June","July","August","September","October","November","December"},0),1)</f>
        <v>45870</v>
      </c>
      <c r="K69" s="13">
        <f t="shared" si="3"/>
        <v>4597.24</v>
      </c>
      <c r="L69" s="13">
        <v>342.937843054187</v>
      </c>
      <c r="M69" s="14">
        <f t="shared" si="4"/>
        <v>-3.8844027354592352E-2</v>
      </c>
    </row>
    <row r="70" spans="1:13" ht="15.5" x14ac:dyDescent="0.35">
      <c r="A70" s="8" t="s">
        <v>41</v>
      </c>
      <c r="B70" s="9" t="s">
        <v>32</v>
      </c>
      <c r="C70" s="9" t="s">
        <v>61</v>
      </c>
      <c r="D70" s="10">
        <v>69.89</v>
      </c>
      <c r="E70" s="9" t="s">
        <v>16</v>
      </c>
      <c r="F70" s="9" t="s">
        <v>36</v>
      </c>
      <c r="G70" s="9" t="str">
        <f t="shared" si="0"/>
        <v>Low Averg</v>
      </c>
      <c r="H70" s="11">
        <f t="shared" si="1"/>
        <v>70.278611111111118</v>
      </c>
      <c r="I70" s="9">
        <f t="shared" si="2"/>
        <v>36</v>
      </c>
      <c r="J70" s="12">
        <f>DATE(2025, MATCH(E70, {"January","February","March","April","May","June","July","August","September","October","November","December"},0),1)</f>
        <v>45809</v>
      </c>
      <c r="K70" s="13">
        <f t="shared" si="3"/>
        <v>2516.04</v>
      </c>
      <c r="L70" s="13">
        <v>343.00349105439699</v>
      </c>
      <c r="M70" s="14">
        <f t="shared" si="4"/>
        <v>-1.1329654690001034E-3</v>
      </c>
    </row>
    <row r="71" spans="1:13" ht="15.5" x14ac:dyDescent="0.35">
      <c r="A71" s="8" t="s">
        <v>74</v>
      </c>
      <c r="B71" s="9" t="s">
        <v>38</v>
      </c>
      <c r="C71" s="9" t="s">
        <v>20</v>
      </c>
      <c r="D71" s="10">
        <v>373.56</v>
      </c>
      <c r="E71" s="9" t="s">
        <v>63</v>
      </c>
      <c r="F71" s="9" t="s">
        <v>17</v>
      </c>
      <c r="G71" s="9" t="str">
        <f t="shared" si="0"/>
        <v>Above Averg</v>
      </c>
      <c r="H71" s="11">
        <f t="shared" si="1"/>
        <v>368.73933333333326</v>
      </c>
      <c r="I71" s="9">
        <f t="shared" si="2"/>
        <v>30</v>
      </c>
      <c r="J71" s="12">
        <f>DATE(2025, MATCH(E71, {"January","February","March","April","May","June","July","August","September","October","November","December"},0),1)</f>
        <v>45717</v>
      </c>
      <c r="K71" s="13">
        <f t="shared" si="3"/>
        <v>11206.8</v>
      </c>
      <c r="L71" s="13">
        <v>343.045241700914</v>
      </c>
      <c r="M71" s="14">
        <f t="shared" si="4"/>
        <v>1.405256823492006E-2</v>
      </c>
    </row>
    <row r="72" spans="1:13" ht="15.5" x14ac:dyDescent="0.35">
      <c r="A72" s="8" t="s">
        <v>77</v>
      </c>
      <c r="B72" s="9" t="s">
        <v>14</v>
      </c>
      <c r="C72" s="9" t="s">
        <v>15</v>
      </c>
      <c r="D72" s="10">
        <v>208.96</v>
      </c>
      <c r="E72" s="9" t="s">
        <v>39</v>
      </c>
      <c r="F72" s="9" t="s">
        <v>30</v>
      </c>
      <c r="G72" s="9" t="str">
        <f t="shared" ref="G72:G135" si="5">IF(D72&gt;AVERAGE(D:D),"Above Averg","Low Averg")</f>
        <v>Low Averg</v>
      </c>
      <c r="H72" s="11">
        <f t="shared" ref="H72:H135" si="6">AVERAGEIF(A:A,A72,D:D)</f>
        <v>226.49633333333335</v>
      </c>
      <c r="I72" s="9">
        <f t="shared" ref="I72:I135" si="7">COUNTIF(A:A,A72)</f>
        <v>30</v>
      </c>
      <c r="J72" s="12">
        <f>DATE(2025, MATCH(E72, {"January","February","March","April","May","June","July","August","September","October","November","December"},0),1)</f>
        <v>45992</v>
      </c>
      <c r="K72" s="13">
        <f t="shared" ref="K72:K135" si="8">1*(D72*I72)</f>
        <v>6268.8</v>
      </c>
      <c r="L72" s="13">
        <v>343.21085661213402</v>
      </c>
      <c r="M72" s="14">
        <f t="shared" ref="M72:M135" si="9">(D72-H72)/L72</f>
        <v>-5.1094926035953836E-2</v>
      </c>
    </row>
    <row r="73" spans="1:13" ht="15.5" x14ac:dyDescent="0.35">
      <c r="A73" s="8" t="s">
        <v>78</v>
      </c>
      <c r="B73" s="9" t="s">
        <v>28</v>
      </c>
      <c r="C73" s="9" t="s">
        <v>49</v>
      </c>
      <c r="D73" s="10">
        <v>272.89999999999998</v>
      </c>
      <c r="E73" s="9" t="s">
        <v>25</v>
      </c>
      <c r="F73" s="9" t="s">
        <v>30</v>
      </c>
      <c r="G73" s="9" t="str">
        <f t="shared" si="5"/>
        <v>Low Averg</v>
      </c>
      <c r="H73" s="11">
        <f t="shared" si="6"/>
        <v>309.01727272727271</v>
      </c>
      <c r="I73" s="9">
        <f t="shared" si="7"/>
        <v>22</v>
      </c>
      <c r="J73" s="12">
        <f>DATE(2025, MATCH(E73, {"January","February","March","April","May","June","July","August","September","October","November","December"},0),1)</f>
        <v>45931</v>
      </c>
      <c r="K73" s="13">
        <f t="shared" si="8"/>
        <v>6003.7999999999993</v>
      </c>
      <c r="L73" s="13">
        <v>343.34173219792098</v>
      </c>
      <c r="M73" s="14">
        <f t="shared" si="9"/>
        <v>-0.10519336666727352</v>
      </c>
    </row>
    <row r="74" spans="1:13" ht="15.5" x14ac:dyDescent="0.35">
      <c r="A74" s="8" t="s">
        <v>70</v>
      </c>
      <c r="B74" s="9" t="s">
        <v>71</v>
      </c>
      <c r="C74" s="9" t="s">
        <v>15</v>
      </c>
      <c r="D74" s="10">
        <v>955.92</v>
      </c>
      <c r="E74" s="9" t="s">
        <v>55</v>
      </c>
      <c r="F74" s="9" t="s">
        <v>40</v>
      </c>
      <c r="G74" s="9" t="str">
        <f t="shared" si="5"/>
        <v>Above Averg</v>
      </c>
      <c r="H74" s="11">
        <f t="shared" si="6"/>
        <v>911.5772916666665</v>
      </c>
      <c r="I74" s="9">
        <f t="shared" si="7"/>
        <v>48</v>
      </c>
      <c r="J74" s="12">
        <f>DATE(2025, MATCH(E74, {"January","February","March","April","May","June","July","August","September","October","November","December"},0),1)</f>
        <v>45962</v>
      </c>
      <c r="K74" s="13">
        <f t="shared" si="8"/>
        <v>45884.159999999996</v>
      </c>
      <c r="L74" s="13">
        <v>343.49544549105201</v>
      </c>
      <c r="M74" s="14">
        <f t="shared" si="9"/>
        <v>0.12909256560867147</v>
      </c>
    </row>
    <row r="75" spans="1:13" ht="15.5" x14ac:dyDescent="0.35">
      <c r="A75" s="8" t="s">
        <v>74</v>
      </c>
      <c r="B75" s="9" t="s">
        <v>38</v>
      </c>
      <c r="C75" s="9" t="s">
        <v>29</v>
      </c>
      <c r="D75" s="10">
        <v>344.25</v>
      </c>
      <c r="E75" s="9" t="s">
        <v>42</v>
      </c>
      <c r="F75" s="9" t="s">
        <v>26</v>
      </c>
      <c r="G75" s="9" t="str">
        <f t="shared" si="5"/>
        <v>Low Averg</v>
      </c>
      <c r="H75" s="11">
        <f t="shared" si="6"/>
        <v>368.73933333333326</v>
      </c>
      <c r="I75" s="9">
        <f t="shared" si="7"/>
        <v>30</v>
      </c>
      <c r="J75" s="12">
        <f>DATE(2025, MATCH(E75, {"January","February","March","April","May","June","July","August","September","October","November","December"},0),1)</f>
        <v>45658</v>
      </c>
      <c r="K75" s="13">
        <f t="shared" si="8"/>
        <v>10327.5</v>
      </c>
      <c r="L75" s="13">
        <v>343.17184567908799</v>
      </c>
      <c r="M75" s="14">
        <f t="shared" si="9"/>
        <v>-7.1361720495667053E-2</v>
      </c>
    </row>
    <row r="76" spans="1:13" ht="15.5" x14ac:dyDescent="0.35">
      <c r="A76" s="8" t="s">
        <v>68</v>
      </c>
      <c r="B76" s="9" t="s">
        <v>28</v>
      </c>
      <c r="C76" s="9" t="s">
        <v>49</v>
      </c>
      <c r="D76" s="10">
        <v>97.52</v>
      </c>
      <c r="E76" s="9" t="s">
        <v>21</v>
      </c>
      <c r="F76" s="9" t="s">
        <v>17</v>
      </c>
      <c r="G76" s="9" t="str">
        <f t="shared" si="5"/>
        <v>Low Averg</v>
      </c>
      <c r="H76" s="11">
        <f t="shared" si="6"/>
        <v>102.25285714285715</v>
      </c>
      <c r="I76" s="9">
        <f t="shared" si="7"/>
        <v>28</v>
      </c>
      <c r="J76" s="12">
        <f>DATE(2025, MATCH(E76, {"January","February","March","April","May","June","July","August","September","October","November","December"},0),1)</f>
        <v>45748</v>
      </c>
      <c r="K76" s="13">
        <f t="shared" si="8"/>
        <v>2730.56</v>
      </c>
      <c r="L76" s="13">
        <v>343.33754405816399</v>
      </c>
      <c r="M76" s="14">
        <f t="shared" si="9"/>
        <v>-1.378485174361058E-2</v>
      </c>
    </row>
    <row r="77" spans="1:13" ht="15.5" x14ac:dyDescent="0.35">
      <c r="A77" s="8" t="s">
        <v>37</v>
      </c>
      <c r="B77" s="9" t="s">
        <v>38</v>
      </c>
      <c r="C77" s="9" t="s">
        <v>15</v>
      </c>
      <c r="D77" s="10">
        <v>992.48</v>
      </c>
      <c r="E77" s="9" t="s">
        <v>16</v>
      </c>
      <c r="F77" s="9" t="s">
        <v>17</v>
      </c>
      <c r="G77" s="9" t="str">
        <f t="shared" si="5"/>
        <v>Above Averg</v>
      </c>
      <c r="H77" s="11">
        <f t="shared" si="6"/>
        <v>1024.1451428571424</v>
      </c>
      <c r="I77" s="9">
        <f t="shared" si="7"/>
        <v>35</v>
      </c>
      <c r="J77" s="12">
        <f>DATE(2025, MATCH(E77, {"January","February","March","April","May","June","July","August","September","October","November","December"},0),1)</f>
        <v>45809</v>
      </c>
      <c r="K77" s="13">
        <f t="shared" si="8"/>
        <v>34736.800000000003</v>
      </c>
      <c r="L77" s="13">
        <v>343.40194242297503</v>
      </c>
      <c r="M77" s="14">
        <f t="shared" si="9"/>
        <v>-9.2210144863245525E-2</v>
      </c>
    </row>
    <row r="78" spans="1:13" ht="15.5" x14ac:dyDescent="0.35">
      <c r="A78" s="8" t="s">
        <v>78</v>
      </c>
      <c r="B78" s="9" t="s">
        <v>28</v>
      </c>
      <c r="C78" s="9" t="s">
        <v>15</v>
      </c>
      <c r="D78" s="10">
        <v>329.09</v>
      </c>
      <c r="E78" s="9" t="s">
        <v>16</v>
      </c>
      <c r="F78" s="9" t="s">
        <v>17</v>
      </c>
      <c r="G78" s="9" t="str">
        <f t="shared" si="5"/>
        <v>Low Averg</v>
      </c>
      <c r="H78" s="11">
        <f t="shared" si="6"/>
        <v>309.01727272727271</v>
      </c>
      <c r="I78" s="9">
        <f t="shared" si="7"/>
        <v>22</v>
      </c>
      <c r="J78" s="12">
        <f>DATE(2025, MATCH(E78, {"January","February","March","April","May","June","July","August","September","October","November","December"},0),1)</f>
        <v>45809</v>
      </c>
      <c r="K78" s="13">
        <f t="shared" si="8"/>
        <v>7239.98</v>
      </c>
      <c r="L78" s="13">
        <v>343.01374463835702</v>
      </c>
      <c r="M78" s="14">
        <f t="shared" si="9"/>
        <v>5.8518725813422288E-2</v>
      </c>
    </row>
    <row r="79" spans="1:13" ht="15.5" x14ac:dyDescent="0.35">
      <c r="A79" s="8" t="s">
        <v>64</v>
      </c>
      <c r="B79" s="9" t="s">
        <v>60</v>
      </c>
      <c r="C79" s="9" t="s">
        <v>69</v>
      </c>
      <c r="D79" s="10">
        <v>285.01</v>
      </c>
      <c r="E79" s="9" t="s">
        <v>39</v>
      </c>
      <c r="F79" s="9" t="s">
        <v>36</v>
      </c>
      <c r="G79" s="9" t="str">
        <f t="shared" si="5"/>
        <v>Low Averg</v>
      </c>
      <c r="H79" s="11">
        <f t="shared" si="6"/>
        <v>249.29749999999999</v>
      </c>
      <c r="I79" s="9">
        <f t="shared" si="7"/>
        <v>32</v>
      </c>
      <c r="J79" s="12">
        <f>DATE(2025, MATCH(E79, {"January","February","March","April","May","June","July","August","September","October","November","December"},0),1)</f>
        <v>45992</v>
      </c>
      <c r="K79" s="13">
        <f t="shared" si="8"/>
        <v>9120.32</v>
      </c>
      <c r="L79" s="13">
        <v>343.17860860935002</v>
      </c>
      <c r="M79" s="14">
        <f t="shared" si="9"/>
        <v>0.10406388715402877</v>
      </c>
    </row>
    <row r="80" spans="1:13" ht="15.5" x14ac:dyDescent="0.35">
      <c r="A80" s="8" t="s">
        <v>79</v>
      </c>
      <c r="B80" s="9" t="s">
        <v>32</v>
      </c>
      <c r="C80" s="9" t="s">
        <v>61</v>
      </c>
      <c r="D80" s="10">
        <v>86.84</v>
      </c>
      <c r="E80" s="9" t="s">
        <v>62</v>
      </c>
      <c r="F80" s="9" t="s">
        <v>17</v>
      </c>
      <c r="G80" s="9" t="str">
        <f t="shared" si="5"/>
        <v>Low Averg</v>
      </c>
      <c r="H80" s="11">
        <f t="shared" si="6"/>
        <v>90.269599999999997</v>
      </c>
      <c r="I80" s="9">
        <f t="shared" si="7"/>
        <v>25</v>
      </c>
      <c r="J80" s="12">
        <f>DATE(2025, MATCH(E80, {"January","February","March","April","May","June","July","August","September","October","November","December"},0),1)</f>
        <v>45689</v>
      </c>
      <c r="K80" s="13">
        <f t="shared" si="8"/>
        <v>2171</v>
      </c>
      <c r="L80" s="13">
        <v>343.33633154968499</v>
      </c>
      <c r="M80" s="14">
        <f t="shared" si="9"/>
        <v>-9.9890389826212973E-3</v>
      </c>
    </row>
    <row r="81" spans="1:13" ht="15.5" x14ac:dyDescent="0.35">
      <c r="A81" s="8" t="s">
        <v>67</v>
      </c>
      <c r="B81" s="9" t="s">
        <v>23</v>
      </c>
      <c r="C81" s="9" t="s">
        <v>24</v>
      </c>
      <c r="D81" s="10">
        <v>220.63</v>
      </c>
      <c r="E81" s="9" t="s">
        <v>39</v>
      </c>
      <c r="F81" s="9" t="s">
        <v>26</v>
      </c>
      <c r="G81" s="9" t="str">
        <f t="shared" si="5"/>
        <v>Low Averg</v>
      </c>
      <c r="H81" s="11">
        <f t="shared" si="6"/>
        <v>226.566129032258</v>
      </c>
      <c r="I81" s="9">
        <f t="shared" si="7"/>
        <v>31</v>
      </c>
      <c r="J81" s="12">
        <f>DATE(2025, MATCH(E81, {"January","February","March","April","May","June","July","August","September","October","November","December"},0),1)</f>
        <v>45992</v>
      </c>
      <c r="K81" s="13">
        <f t="shared" si="8"/>
        <v>6839.53</v>
      </c>
      <c r="L81" s="13">
        <v>343.39284559613202</v>
      </c>
      <c r="M81" s="14">
        <f t="shared" si="9"/>
        <v>-1.7286699791176061E-2</v>
      </c>
    </row>
    <row r="82" spans="1:13" ht="15.5" x14ac:dyDescent="0.35">
      <c r="A82" s="8" t="s">
        <v>76</v>
      </c>
      <c r="B82" s="9" t="s">
        <v>60</v>
      </c>
      <c r="C82" s="9" t="s">
        <v>49</v>
      </c>
      <c r="D82" s="10">
        <v>333.47</v>
      </c>
      <c r="E82" s="9" t="s">
        <v>21</v>
      </c>
      <c r="F82" s="9" t="s">
        <v>17</v>
      </c>
      <c r="G82" s="9" t="str">
        <f t="shared" si="5"/>
        <v>Low Averg</v>
      </c>
      <c r="H82" s="11">
        <f t="shared" si="6"/>
        <v>304.90820512820511</v>
      </c>
      <c r="I82" s="9">
        <f t="shared" si="7"/>
        <v>39</v>
      </c>
      <c r="J82" s="12">
        <f>DATE(2025, MATCH(E82, {"January","February","March","April","May","June","July","August","September","October","November","December"},0),1)</f>
        <v>45748</v>
      </c>
      <c r="K82" s="13">
        <f t="shared" si="8"/>
        <v>13005.330000000002</v>
      </c>
      <c r="L82" s="13">
        <v>343.53012493095599</v>
      </c>
      <c r="M82" s="14">
        <f t="shared" si="9"/>
        <v>8.3142038496726814E-2</v>
      </c>
    </row>
    <row r="83" spans="1:13" ht="15.5" x14ac:dyDescent="0.35">
      <c r="A83" s="8" t="s">
        <v>41</v>
      </c>
      <c r="B83" s="9" t="s">
        <v>32</v>
      </c>
      <c r="C83" s="9" t="s">
        <v>43</v>
      </c>
      <c r="D83" s="10">
        <v>79.22</v>
      </c>
      <c r="E83" s="9" t="s">
        <v>39</v>
      </c>
      <c r="F83" s="9" t="s">
        <v>17</v>
      </c>
      <c r="G83" s="9" t="str">
        <f t="shared" si="5"/>
        <v>Low Averg</v>
      </c>
      <c r="H83" s="11">
        <f t="shared" si="6"/>
        <v>70.278611111111118</v>
      </c>
      <c r="I83" s="9">
        <f t="shared" si="7"/>
        <v>36</v>
      </c>
      <c r="J83" s="12">
        <f>DATE(2025, MATCH(E83, {"January","February","March","April","May","June","July","August","September","October","November","December"},0),1)</f>
        <v>45992</v>
      </c>
      <c r="K83" s="13">
        <f t="shared" si="8"/>
        <v>2851.92</v>
      </c>
      <c r="L83" s="13">
        <v>343.69627075903799</v>
      </c>
      <c r="M83" s="14">
        <f t="shared" si="9"/>
        <v>2.6015379419573624E-2</v>
      </c>
    </row>
    <row r="84" spans="1:13" ht="15.5" x14ac:dyDescent="0.35">
      <c r="A84" s="8" t="s">
        <v>18</v>
      </c>
      <c r="B84" s="9" t="s">
        <v>19</v>
      </c>
      <c r="C84" s="9" t="s">
        <v>43</v>
      </c>
      <c r="D84" s="10">
        <v>1046.05</v>
      </c>
      <c r="E84" s="9" t="s">
        <v>62</v>
      </c>
      <c r="F84" s="9" t="s">
        <v>30</v>
      </c>
      <c r="G84" s="9" t="str">
        <f t="shared" si="5"/>
        <v>Above Averg</v>
      </c>
      <c r="H84" s="11">
        <f t="shared" si="6"/>
        <v>920.12567567567555</v>
      </c>
      <c r="I84" s="9">
        <f t="shared" si="7"/>
        <v>37</v>
      </c>
      <c r="J84" s="12">
        <f>DATE(2025, MATCH(E84, {"January","February","March","April","May","June","July","August","September","October","November","December"},0),1)</f>
        <v>45689</v>
      </c>
      <c r="K84" s="13">
        <f t="shared" si="8"/>
        <v>38703.85</v>
      </c>
      <c r="L84" s="13">
        <v>343.74673805988601</v>
      </c>
      <c r="M84" s="14">
        <f t="shared" si="9"/>
        <v>0.36632878332182583</v>
      </c>
    </row>
    <row r="85" spans="1:13" ht="15.5" x14ac:dyDescent="0.35">
      <c r="A85" s="8" t="s">
        <v>67</v>
      </c>
      <c r="B85" s="9" t="s">
        <v>23</v>
      </c>
      <c r="C85" s="9" t="s">
        <v>29</v>
      </c>
      <c r="D85" s="10">
        <v>246.38</v>
      </c>
      <c r="E85" s="9" t="s">
        <v>62</v>
      </c>
      <c r="F85" s="9" t="s">
        <v>36</v>
      </c>
      <c r="G85" s="9" t="str">
        <f t="shared" si="5"/>
        <v>Low Averg</v>
      </c>
      <c r="H85" s="11">
        <f t="shared" si="6"/>
        <v>226.566129032258</v>
      </c>
      <c r="I85" s="9">
        <f t="shared" si="7"/>
        <v>31</v>
      </c>
      <c r="J85" s="12">
        <f>DATE(2025, MATCH(E85, {"January","February","March","April","May","June","July","August","September","October","November","December"},0),1)</f>
        <v>45689</v>
      </c>
      <c r="K85" s="13">
        <f t="shared" si="8"/>
        <v>7637.78</v>
      </c>
      <c r="L85" s="13">
        <v>343.257310291088</v>
      </c>
      <c r="M85" s="14">
        <f t="shared" si="9"/>
        <v>5.7723085200835182E-2</v>
      </c>
    </row>
    <row r="86" spans="1:13" ht="15.5" x14ac:dyDescent="0.35">
      <c r="A86" s="8" t="s">
        <v>80</v>
      </c>
      <c r="B86" s="9" t="s">
        <v>19</v>
      </c>
      <c r="C86" s="9" t="s">
        <v>49</v>
      </c>
      <c r="D86" s="10">
        <v>744.03</v>
      </c>
      <c r="E86" s="9" t="s">
        <v>62</v>
      </c>
      <c r="F86" s="9" t="s">
        <v>40</v>
      </c>
      <c r="G86" s="9" t="str">
        <f t="shared" si="5"/>
        <v>Above Averg</v>
      </c>
      <c r="H86" s="11">
        <f t="shared" si="6"/>
        <v>720.27689655172423</v>
      </c>
      <c r="I86" s="9">
        <f t="shared" si="7"/>
        <v>29</v>
      </c>
      <c r="J86" s="12">
        <f>DATE(2025, MATCH(E86, {"January","February","March","April","May","June","July","August","September","October","November","December"},0),1)</f>
        <v>45689</v>
      </c>
      <c r="K86" s="13">
        <f t="shared" si="8"/>
        <v>21576.87</v>
      </c>
      <c r="L86" s="13">
        <v>343.40488802282698</v>
      </c>
      <c r="M86" s="14">
        <f t="shared" si="9"/>
        <v>6.9169380741886263E-2</v>
      </c>
    </row>
    <row r="87" spans="1:13" ht="15.5" x14ac:dyDescent="0.35">
      <c r="A87" s="8" t="s">
        <v>66</v>
      </c>
      <c r="B87" s="9" t="s">
        <v>32</v>
      </c>
      <c r="C87" s="9" t="s">
        <v>49</v>
      </c>
      <c r="D87" s="10">
        <v>126.58</v>
      </c>
      <c r="E87" s="9" t="s">
        <v>57</v>
      </c>
      <c r="F87" s="9" t="s">
        <v>26</v>
      </c>
      <c r="G87" s="9" t="str">
        <f t="shared" si="5"/>
        <v>Low Averg</v>
      </c>
      <c r="H87" s="11">
        <f t="shared" si="6"/>
        <v>141.74161290322584</v>
      </c>
      <c r="I87" s="9">
        <f t="shared" si="7"/>
        <v>31</v>
      </c>
      <c r="J87" s="12">
        <f>DATE(2025, MATCH(E87, {"January","February","March","April","May","June","July","August","September","October","November","December"},0),1)</f>
        <v>45839</v>
      </c>
      <c r="K87" s="13">
        <f t="shared" si="8"/>
        <v>3923.98</v>
      </c>
      <c r="L87" s="13">
        <v>343.36932901521197</v>
      </c>
      <c r="M87" s="14">
        <f t="shared" si="9"/>
        <v>-4.4155408250089082E-2</v>
      </c>
    </row>
    <row r="88" spans="1:13" ht="15.5" x14ac:dyDescent="0.35">
      <c r="A88" s="8" t="s">
        <v>31</v>
      </c>
      <c r="B88" s="9" t="s">
        <v>32</v>
      </c>
      <c r="C88" s="9" t="s">
        <v>29</v>
      </c>
      <c r="D88" s="10">
        <v>124.5</v>
      </c>
      <c r="E88" s="9" t="s">
        <v>42</v>
      </c>
      <c r="F88" s="9" t="s">
        <v>40</v>
      </c>
      <c r="G88" s="9" t="str">
        <f t="shared" si="5"/>
        <v>Low Averg</v>
      </c>
      <c r="H88" s="11">
        <f t="shared" si="6"/>
        <v>123.43305555555558</v>
      </c>
      <c r="I88" s="9">
        <f t="shared" si="7"/>
        <v>36</v>
      </c>
      <c r="J88" s="12">
        <f>DATE(2025, MATCH(E88, {"January","February","March","April","May","June","July","August","September","October","November","December"},0),1)</f>
        <v>45658</v>
      </c>
      <c r="K88" s="13">
        <f t="shared" si="8"/>
        <v>4482</v>
      </c>
      <c r="L88" s="13">
        <v>343.45587083952603</v>
      </c>
      <c r="M88" s="14">
        <f t="shared" si="9"/>
        <v>3.106496452765335E-3</v>
      </c>
    </row>
    <row r="89" spans="1:13" ht="15.5" x14ac:dyDescent="0.35">
      <c r="A89" s="8" t="s">
        <v>81</v>
      </c>
      <c r="B89" s="9" t="s">
        <v>28</v>
      </c>
      <c r="C89" s="9" t="s">
        <v>43</v>
      </c>
      <c r="D89" s="10">
        <v>147.71</v>
      </c>
      <c r="E89" s="9" t="s">
        <v>16</v>
      </c>
      <c r="F89" s="9" t="s">
        <v>30</v>
      </c>
      <c r="G89" s="9" t="str">
        <f t="shared" si="5"/>
        <v>Low Averg</v>
      </c>
      <c r="H89" s="11">
        <f t="shared" si="6"/>
        <v>140.29840000000002</v>
      </c>
      <c r="I89" s="9">
        <f t="shared" si="7"/>
        <v>25</v>
      </c>
      <c r="J89" s="12">
        <f>DATE(2025, MATCH(E89, {"January","February","March","April","May","June","July","August","September","October","November","December"},0),1)</f>
        <v>45809</v>
      </c>
      <c r="K89" s="13">
        <f t="shared" si="8"/>
        <v>3692.75</v>
      </c>
      <c r="L89" s="13">
        <v>343.54096754503098</v>
      </c>
      <c r="M89" s="14">
        <f t="shared" si="9"/>
        <v>2.1574137294203457E-2</v>
      </c>
    </row>
    <row r="90" spans="1:13" ht="15.5" x14ac:dyDescent="0.35">
      <c r="A90" s="8" t="s">
        <v>44</v>
      </c>
      <c r="B90" s="9" t="s">
        <v>23</v>
      </c>
      <c r="C90" s="9" t="s">
        <v>24</v>
      </c>
      <c r="D90" s="10">
        <v>176.24</v>
      </c>
      <c r="E90" s="9" t="s">
        <v>21</v>
      </c>
      <c r="F90" s="9" t="s">
        <v>40</v>
      </c>
      <c r="G90" s="9" t="str">
        <f t="shared" si="5"/>
        <v>Low Averg</v>
      </c>
      <c r="H90" s="11">
        <f t="shared" si="6"/>
        <v>206.14838709677423</v>
      </c>
      <c r="I90" s="9">
        <f t="shared" si="7"/>
        <v>31</v>
      </c>
      <c r="J90" s="12">
        <f>DATE(2025, MATCH(E90, {"January","February","March","April","May","June","July","August","September","October","November","December"},0),1)</f>
        <v>45748</v>
      </c>
      <c r="K90" s="13">
        <f t="shared" si="8"/>
        <v>5463.4400000000005</v>
      </c>
      <c r="L90" s="13">
        <v>343.64135462016202</v>
      </c>
      <c r="M90" s="14">
        <f t="shared" si="9"/>
        <v>-8.7033724825793843E-2</v>
      </c>
    </row>
    <row r="91" spans="1:13" ht="15.5" x14ac:dyDescent="0.35">
      <c r="A91" s="8" t="s">
        <v>41</v>
      </c>
      <c r="B91" s="9" t="s">
        <v>32</v>
      </c>
      <c r="C91" s="9" t="s">
        <v>43</v>
      </c>
      <c r="D91" s="10">
        <v>71.91</v>
      </c>
      <c r="E91" s="9" t="s">
        <v>63</v>
      </c>
      <c r="F91" s="9" t="s">
        <v>30</v>
      </c>
      <c r="G91" s="9" t="str">
        <f t="shared" si="5"/>
        <v>Low Averg</v>
      </c>
      <c r="H91" s="11">
        <f t="shared" si="6"/>
        <v>70.278611111111118</v>
      </c>
      <c r="I91" s="9">
        <f t="shared" si="7"/>
        <v>36</v>
      </c>
      <c r="J91" s="12">
        <f>DATE(2025, MATCH(E91, {"January","February","March","April","May","June","July","August","September","October","November","December"},0),1)</f>
        <v>45717</v>
      </c>
      <c r="K91" s="13">
        <f t="shared" si="8"/>
        <v>2588.7599999999998</v>
      </c>
      <c r="L91" s="13">
        <v>343.75850681111001</v>
      </c>
      <c r="M91" s="14">
        <f t="shared" si="9"/>
        <v>4.7457411425902585E-3</v>
      </c>
    </row>
    <row r="92" spans="1:13" ht="15.5" x14ac:dyDescent="0.35">
      <c r="A92" s="8" t="s">
        <v>31</v>
      </c>
      <c r="B92" s="9" t="s">
        <v>32</v>
      </c>
      <c r="C92" s="9" t="s">
        <v>20</v>
      </c>
      <c r="D92" s="10">
        <v>146.81</v>
      </c>
      <c r="E92" s="9" t="s">
        <v>39</v>
      </c>
      <c r="F92" s="9" t="s">
        <v>17</v>
      </c>
      <c r="G92" s="9" t="str">
        <f t="shared" si="5"/>
        <v>Low Averg</v>
      </c>
      <c r="H92" s="11">
        <f t="shared" si="6"/>
        <v>123.43305555555558</v>
      </c>
      <c r="I92" s="9">
        <f t="shared" si="7"/>
        <v>36</v>
      </c>
      <c r="J92" s="12">
        <f>DATE(2025, MATCH(E92, {"January","February","March","April","May","June","July","August","September","October","November","December"},0),1)</f>
        <v>45992</v>
      </c>
      <c r="K92" s="13">
        <f t="shared" si="8"/>
        <v>5285.16</v>
      </c>
      <c r="L92" s="13">
        <v>343.803120788576</v>
      </c>
      <c r="M92" s="14">
        <f t="shared" si="9"/>
        <v>6.7995149057475321E-2</v>
      </c>
    </row>
    <row r="93" spans="1:13" ht="15.5" x14ac:dyDescent="0.35">
      <c r="A93" s="8" t="s">
        <v>41</v>
      </c>
      <c r="B93" s="9" t="s">
        <v>32</v>
      </c>
      <c r="C93" s="9" t="s">
        <v>29</v>
      </c>
      <c r="D93" s="10">
        <v>82.15</v>
      </c>
      <c r="E93" s="9" t="s">
        <v>16</v>
      </c>
      <c r="F93" s="9" t="s">
        <v>17</v>
      </c>
      <c r="G93" s="9" t="str">
        <f t="shared" si="5"/>
        <v>Low Averg</v>
      </c>
      <c r="H93" s="11">
        <f t="shared" si="6"/>
        <v>70.278611111111118</v>
      </c>
      <c r="I93" s="9">
        <f t="shared" si="7"/>
        <v>36</v>
      </c>
      <c r="J93" s="12">
        <f>DATE(2025, MATCH(E93, {"January","February","March","April","May","June","July","August","September","October","November","December"},0),1)</f>
        <v>45809</v>
      </c>
      <c r="K93" s="13">
        <f t="shared" si="8"/>
        <v>2957.4</v>
      </c>
      <c r="L93" s="13">
        <v>343.90298319231601</v>
      </c>
      <c r="M93" s="14">
        <f t="shared" si="9"/>
        <v>3.4519586828504534E-2</v>
      </c>
    </row>
    <row r="94" spans="1:13" ht="15.5" x14ac:dyDescent="0.35">
      <c r="A94" s="8" t="s">
        <v>51</v>
      </c>
      <c r="B94" s="9" t="s">
        <v>28</v>
      </c>
      <c r="C94" s="9" t="s">
        <v>29</v>
      </c>
      <c r="D94" s="10">
        <v>130.16</v>
      </c>
      <c r="E94" s="9" t="s">
        <v>16</v>
      </c>
      <c r="F94" s="9" t="s">
        <v>40</v>
      </c>
      <c r="G94" s="9" t="str">
        <f t="shared" si="5"/>
        <v>Low Averg</v>
      </c>
      <c r="H94" s="11">
        <f t="shared" si="6"/>
        <v>122.0377142857143</v>
      </c>
      <c r="I94" s="9">
        <f t="shared" si="7"/>
        <v>35</v>
      </c>
      <c r="J94" s="12">
        <f>DATE(2025, MATCH(E94, {"January","February","March","April","May","June","July","August","September","October","November","December"},0),1)</f>
        <v>45809</v>
      </c>
      <c r="K94" s="13">
        <f t="shared" si="8"/>
        <v>4555.5999999999995</v>
      </c>
      <c r="L94" s="13">
        <v>343.95591772560601</v>
      </c>
      <c r="M94" s="14">
        <f t="shared" si="9"/>
        <v>2.3614321765399376E-2</v>
      </c>
    </row>
    <row r="95" spans="1:13" ht="15.5" x14ac:dyDescent="0.35">
      <c r="A95" s="8" t="s">
        <v>33</v>
      </c>
      <c r="B95" s="9" t="s">
        <v>19</v>
      </c>
      <c r="C95" s="9" t="s">
        <v>20</v>
      </c>
      <c r="D95" s="10">
        <v>1246.3599999999999</v>
      </c>
      <c r="E95" s="9" t="s">
        <v>21</v>
      </c>
      <c r="F95" s="9" t="s">
        <v>40</v>
      </c>
      <c r="G95" s="9" t="str">
        <f t="shared" si="5"/>
        <v>Above Averg</v>
      </c>
      <c r="H95" s="11">
        <f t="shared" si="6"/>
        <v>1113.4854166666667</v>
      </c>
      <c r="I95" s="9">
        <f t="shared" si="7"/>
        <v>24</v>
      </c>
      <c r="J95" s="12">
        <f>DATE(2025, MATCH(E95, {"January","February","March","April","May","June","July","August","September","October","November","December"},0),1)</f>
        <v>45748</v>
      </c>
      <c r="K95" s="13">
        <f t="shared" si="8"/>
        <v>29912.639999999999</v>
      </c>
      <c r="L95" s="13">
        <v>344.044802232503</v>
      </c>
      <c r="M95" s="14">
        <f t="shared" si="9"/>
        <v>0.38621302362689836</v>
      </c>
    </row>
    <row r="96" spans="1:13" ht="15.5" x14ac:dyDescent="0.35">
      <c r="A96" s="8" t="s">
        <v>33</v>
      </c>
      <c r="B96" s="9" t="s">
        <v>19</v>
      </c>
      <c r="C96" s="9" t="s">
        <v>43</v>
      </c>
      <c r="D96" s="10">
        <v>1130.8900000000001</v>
      </c>
      <c r="E96" s="9" t="s">
        <v>25</v>
      </c>
      <c r="F96" s="9" t="s">
        <v>26</v>
      </c>
      <c r="G96" s="9" t="str">
        <f t="shared" si="5"/>
        <v>Above Averg</v>
      </c>
      <c r="H96" s="11">
        <f t="shared" si="6"/>
        <v>1113.4854166666667</v>
      </c>
      <c r="I96" s="9">
        <f t="shared" si="7"/>
        <v>24</v>
      </c>
      <c r="J96" s="12">
        <f>DATE(2025, MATCH(E96, {"January","February","March","April","May","June","July","August","September","October","November","December"},0),1)</f>
        <v>45931</v>
      </c>
      <c r="K96" s="13">
        <f t="shared" si="8"/>
        <v>27141.360000000001</v>
      </c>
      <c r="L96" s="13">
        <v>343.10302955856298</v>
      </c>
      <c r="M96" s="14">
        <f t="shared" si="9"/>
        <v>5.072698820446505E-2</v>
      </c>
    </row>
    <row r="97" spans="1:13" ht="15.5" x14ac:dyDescent="0.35">
      <c r="A97" s="8" t="s">
        <v>58</v>
      </c>
      <c r="B97" s="9" t="s">
        <v>23</v>
      </c>
      <c r="C97" s="9" t="s">
        <v>34</v>
      </c>
      <c r="D97" s="10">
        <v>108.14</v>
      </c>
      <c r="E97" s="9" t="s">
        <v>63</v>
      </c>
      <c r="F97" s="9" t="s">
        <v>40</v>
      </c>
      <c r="G97" s="9" t="str">
        <f t="shared" si="5"/>
        <v>Low Averg</v>
      </c>
      <c r="H97" s="11">
        <f t="shared" si="6"/>
        <v>121.60903225806452</v>
      </c>
      <c r="I97" s="9">
        <f t="shared" si="7"/>
        <v>31</v>
      </c>
      <c r="J97" s="12">
        <f>DATE(2025, MATCH(E97, {"January","February","March","April","May","June","July","August","September","October","November","December"},0),1)</f>
        <v>45717</v>
      </c>
      <c r="K97" s="13">
        <f t="shared" si="8"/>
        <v>3352.34</v>
      </c>
      <c r="L97" s="13">
        <v>342.42929907261799</v>
      </c>
      <c r="M97" s="14">
        <f t="shared" si="9"/>
        <v>-3.9333761142933556E-2</v>
      </c>
    </row>
    <row r="98" spans="1:13" ht="15.5" x14ac:dyDescent="0.35">
      <c r="A98" s="8" t="s">
        <v>70</v>
      </c>
      <c r="B98" s="9" t="s">
        <v>71</v>
      </c>
      <c r="C98" s="9" t="s">
        <v>24</v>
      </c>
      <c r="D98" s="10">
        <v>985.21</v>
      </c>
      <c r="E98" s="9" t="s">
        <v>16</v>
      </c>
      <c r="F98" s="9" t="s">
        <v>30</v>
      </c>
      <c r="G98" s="9" t="str">
        <f t="shared" si="5"/>
        <v>Above Averg</v>
      </c>
      <c r="H98" s="11">
        <f t="shared" si="6"/>
        <v>911.5772916666665</v>
      </c>
      <c r="I98" s="9">
        <f t="shared" si="7"/>
        <v>48</v>
      </c>
      <c r="J98" s="12">
        <f>DATE(2025, MATCH(E98, {"January","February","March","April","May","June","July","August","September","October","November","December"},0),1)</f>
        <v>45809</v>
      </c>
      <c r="K98" s="13">
        <f t="shared" si="8"/>
        <v>47290.080000000002</v>
      </c>
      <c r="L98" s="13">
        <v>342.50252601045298</v>
      </c>
      <c r="M98" s="14">
        <f t="shared" si="9"/>
        <v>0.21498442417644043</v>
      </c>
    </row>
    <row r="99" spans="1:13" ht="15.5" x14ac:dyDescent="0.35">
      <c r="A99" s="8" t="s">
        <v>68</v>
      </c>
      <c r="B99" s="9" t="s">
        <v>28</v>
      </c>
      <c r="C99" s="9" t="s">
        <v>34</v>
      </c>
      <c r="D99" s="10">
        <v>94.3</v>
      </c>
      <c r="E99" s="9" t="s">
        <v>57</v>
      </c>
      <c r="F99" s="9" t="s">
        <v>40</v>
      </c>
      <c r="G99" s="9" t="str">
        <f t="shared" si="5"/>
        <v>Low Averg</v>
      </c>
      <c r="H99" s="11">
        <f t="shared" si="6"/>
        <v>102.25285714285715</v>
      </c>
      <c r="I99" s="9">
        <f t="shared" si="7"/>
        <v>28</v>
      </c>
      <c r="J99" s="12">
        <f>DATE(2025, MATCH(E99, {"January","February","March","April","May","June","July","August","September","October","November","December"},0),1)</f>
        <v>45839</v>
      </c>
      <c r="K99" s="13">
        <f t="shared" si="8"/>
        <v>2640.4</v>
      </c>
      <c r="L99" s="13">
        <v>342.11714167399299</v>
      </c>
      <c r="M99" s="14">
        <f t="shared" si="9"/>
        <v>-2.3246006043261977E-2</v>
      </c>
    </row>
    <row r="100" spans="1:13" ht="15.5" x14ac:dyDescent="0.35">
      <c r="A100" s="8" t="s">
        <v>77</v>
      </c>
      <c r="B100" s="9" t="s">
        <v>14</v>
      </c>
      <c r="C100" s="9" t="s">
        <v>43</v>
      </c>
      <c r="D100" s="10">
        <v>252.05</v>
      </c>
      <c r="E100" s="9" t="s">
        <v>72</v>
      </c>
      <c r="F100" s="9" t="s">
        <v>36</v>
      </c>
      <c r="G100" s="9" t="str">
        <f t="shared" si="5"/>
        <v>Low Averg</v>
      </c>
      <c r="H100" s="11">
        <f t="shared" si="6"/>
        <v>226.49633333333335</v>
      </c>
      <c r="I100" s="9">
        <f t="shared" si="7"/>
        <v>30</v>
      </c>
      <c r="J100" s="12">
        <f>DATE(2025, MATCH(E100, {"January","February","March","April","May","June","July","August","September","October","November","December"},0),1)</f>
        <v>45901</v>
      </c>
      <c r="K100" s="13">
        <f t="shared" si="8"/>
        <v>7561.5</v>
      </c>
      <c r="L100" s="13">
        <v>342.17990044065101</v>
      </c>
      <c r="M100" s="14">
        <f t="shared" si="9"/>
        <v>7.4679040568307084E-2</v>
      </c>
    </row>
    <row r="101" spans="1:13" ht="15.5" x14ac:dyDescent="0.35">
      <c r="A101" s="8" t="s">
        <v>82</v>
      </c>
      <c r="B101" s="9" t="s">
        <v>14</v>
      </c>
      <c r="C101" s="9" t="s">
        <v>45</v>
      </c>
      <c r="D101" s="10">
        <v>796.94</v>
      </c>
      <c r="E101" s="9" t="s">
        <v>46</v>
      </c>
      <c r="F101" s="9" t="s">
        <v>40</v>
      </c>
      <c r="G101" s="9" t="str">
        <f t="shared" si="5"/>
        <v>Above Averg</v>
      </c>
      <c r="H101" s="11">
        <f t="shared" si="6"/>
        <v>905.6025925925926</v>
      </c>
      <c r="I101" s="9">
        <f t="shared" si="7"/>
        <v>27</v>
      </c>
      <c r="J101" s="12">
        <f>DATE(2025, MATCH(E101, {"January","February","March","April","May","June","July","August","September","October","November","December"},0),1)</f>
        <v>45870</v>
      </c>
      <c r="K101" s="13">
        <f t="shared" si="8"/>
        <v>21517.38</v>
      </c>
      <c r="L101" s="13">
        <v>342.33102705608701</v>
      </c>
      <c r="M101" s="14">
        <f t="shared" si="9"/>
        <v>-0.31741964357437408</v>
      </c>
    </row>
    <row r="102" spans="1:13" ht="15.5" x14ac:dyDescent="0.35">
      <c r="A102" s="8" t="s">
        <v>33</v>
      </c>
      <c r="B102" s="9" t="s">
        <v>19</v>
      </c>
      <c r="C102" s="9" t="s">
        <v>61</v>
      </c>
      <c r="D102" s="10">
        <v>1136.8499999999999</v>
      </c>
      <c r="E102" s="9" t="s">
        <v>21</v>
      </c>
      <c r="F102" s="9" t="s">
        <v>36</v>
      </c>
      <c r="G102" s="9" t="str">
        <f t="shared" si="5"/>
        <v>Above Averg</v>
      </c>
      <c r="H102" s="11">
        <f t="shared" si="6"/>
        <v>1113.4854166666667</v>
      </c>
      <c r="I102" s="9">
        <f t="shared" si="7"/>
        <v>24</v>
      </c>
      <c r="J102" s="12">
        <f>DATE(2025, MATCH(E102, {"January","February","March","April","May","June","July","August","September","October","November","December"},0),1)</f>
        <v>45748</v>
      </c>
      <c r="K102" s="13">
        <f t="shared" si="8"/>
        <v>27284.399999999998</v>
      </c>
      <c r="L102" s="13">
        <v>342.23142317973497</v>
      </c>
      <c r="M102" s="14">
        <f t="shared" si="9"/>
        <v>6.827129758059218E-2</v>
      </c>
    </row>
    <row r="103" spans="1:13" ht="15.5" x14ac:dyDescent="0.35">
      <c r="A103" s="8" t="s">
        <v>65</v>
      </c>
      <c r="B103" s="9" t="s">
        <v>23</v>
      </c>
      <c r="C103" s="9" t="s">
        <v>24</v>
      </c>
      <c r="D103" s="10">
        <v>161.65</v>
      </c>
      <c r="E103" s="9" t="s">
        <v>55</v>
      </c>
      <c r="F103" s="9" t="s">
        <v>36</v>
      </c>
      <c r="G103" s="9" t="str">
        <f t="shared" si="5"/>
        <v>Low Averg</v>
      </c>
      <c r="H103" s="11">
        <f t="shared" si="6"/>
        <v>151.26457142857143</v>
      </c>
      <c r="I103" s="9">
        <f t="shared" si="7"/>
        <v>35</v>
      </c>
      <c r="J103" s="12">
        <f>DATE(2025, MATCH(E103, {"January","February","March","April","May","June","July","August","September","October","November","December"},0),1)</f>
        <v>45962</v>
      </c>
      <c r="K103" s="13">
        <f t="shared" si="8"/>
        <v>5657.75</v>
      </c>
      <c r="L103" s="13">
        <v>341.53510707552601</v>
      </c>
      <c r="M103" s="14">
        <f t="shared" si="9"/>
        <v>3.0408085014616008E-2</v>
      </c>
    </row>
    <row r="104" spans="1:13" ht="15.5" x14ac:dyDescent="0.35">
      <c r="A104" s="8" t="s">
        <v>27</v>
      </c>
      <c r="B104" s="9" t="s">
        <v>28</v>
      </c>
      <c r="C104" s="9" t="s">
        <v>15</v>
      </c>
      <c r="D104" s="10">
        <v>113.94</v>
      </c>
      <c r="E104" s="9" t="s">
        <v>21</v>
      </c>
      <c r="F104" s="9" t="s">
        <v>17</v>
      </c>
      <c r="G104" s="9" t="str">
        <f t="shared" si="5"/>
        <v>Low Averg</v>
      </c>
      <c r="H104" s="11">
        <f t="shared" si="6"/>
        <v>113.26108695652174</v>
      </c>
      <c r="I104" s="9">
        <f t="shared" si="7"/>
        <v>46</v>
      </c>
      <c r="J104" s="12">
        <f>DATE(2025, MATCH(E104, {"January","February","March","April","May","June","July","August","September","October","November","December"},0),1)</f>
        <v>45748</v>
      </c>
      <c r="K104" s="13">
        <f t="shared" si="8"/>
        <v>5241.24</v>
      </c>
      <c r="L104" s="13">
        <v>341.64492378995999</v>
      </c>
      <c r="M104" s="14">
        <f t="shared" si="9"/>
        <v>1.9871890263929398E-3</v>
      </c>
    </row>
    <row r="105" spans="1:13" ht="15.5" x14ac:dyDescent="0.35">
      <c r="A105" s="8" t="s">
        <v>59</v>
      </c>
      <c r="B105" s="9" t="s">
        <v>60</v>
      </c>
      <c r="C105" s="9" t="s">
        <v>61</v>
      </c>
      <c r="D105" s="10">
        <v>206.53</v>
      </c>
      <c r="E105" s="9" t="s">
        <v>63</v>
      </c>
      <c r="F105" s="9" t="s">
        <v>17</v>
      </c>
      <c r="G105" s="9" t="str">
        <f t="shared" si="5"/>
        <v>Low Averg</v>
      </c>
      <c r="H105" s="11">
        <f t="shared" si="6"/>
        <v>203.25225806451613</v>
      </c>
      <c r="I105" s="9">
        <f t="shared" si="7"/>
        <v>31</v>
      </c>
      <c r="J105" s="12">
        <f>DATE(2025, MATCH(E105, {"January","February","March","April","May","June","July","August","September","October","November","December"},0),1)</f>
        <v>45717</v>
      </c>
      <c r="K105" s="13">
        <f t="shared" si="8"/>
        <v>6402.43</v>
      </c>
      <c r="L105" s="13">
        <v>341.72308588225701</v>
      </c>
      <c r="M105" s="14">
        <f t="shared" si="9"/>
        <v>9.5918071412162131E-3</v>
      </c>
    </row>
    <row r="106" spans="1:13" ht="15.5" x14ac:dyDescent="0.35">
      <c r="A106" s="8" t="s">
        <v>13</v>
      </c>
      <c r="B106" s="9" t="s">
        <v>14</v>
      </c>
      <c r="C106" s="9" t="s">
        <v>20</v>
      </c>
      <c r="D106" s="10">
        <v>198.38</v>
      </c>
      <c r="E106" s="9" t="s">
        <v>39</v>
      </c>
      <c r="F106" s="9" t="s">
        <v>26</v>
      </c>
      <c r="G106" s="9" t="str">
        <f t="shared" si="5"/>
        <v>Low Averg</v>
      </c>
      <c r="H106" s="11">
        <f t="shared" si="6"/>
        <v>206.78702702702708</v>
      </c>
      <c r="I106" s="9">
        <f t="shared" si="7"/>
        <v>37</v>
      </c>
      <c r="J106" s="12">
        <f>DATE(2025, MATCH(E106, {"January","February","March","April","May","June","July","August","September","October","November","December"},0),1)</f>
        <v>45992</v>
      </c>
      <c r="K106" s="13">
        <f t="shared" si="8"/>
        <v>7340.0599999999995</v>
      </c>
      <c r="L106" s="13">
        <v>341.85679120644198</v>
      </c>
      <c r="M106" s="14">
        <f t="shared" si="9"/>
        <v>-2.4592248108800074E-2</v>
      </c>
    </row>
    <row r="107" spans="1:13" ht="15.5" x14ac:dyDescent="0.35">
      <c r="A107" s="8" t="s">
        <v>13</v>
      </c>
      <c r="B107" s="9" t="s">
        <v>14</v>
      </c>
      <c r="C107" s="9" t="s">
        <v>69</v>
      </c>
      <c r="D107" s="10">
        <v>201.72</v>
      </c>
      <c r="E107" s="9" t="s">
        <v>42</v>
      </c>
      <c r="F107" s="9" t="s">
        <v>17</v>
      </c>
      <c r="G107" s="9" t="str">
        <f t="shared" si="5"/>
        <v>Low Averg</v>
      </c>
      <c r="H107" s="11">
        <f t="shared" si="6"/>
        <v>206.78702702702708</v>
      </c>
      <c r="I107" s="9">
        <f t="shared" si="7"/>
        <v>37</v>
      </c>
      <c r="J107" s="12">
        <f>DATE(2025, MATCH(E107, {"January","February","March","April","May","June","July","August","September","October","November","December"},0),1)</f>
        <v>45658</v>
      </c>
      <c r="K107" s="13">
        <f t="shared" si="8"/>
        <v>7463.64</v>
      </c>
      <c r="L107" s="13">
        <v>341.98674530244602</v>
      </c>
      <c r="M107" s="14">
        <f t="shared" si="9"/>
        <v>-1.4816442732439546E-2</v>
      </c>
    </row>
    <row r="108" spans="1:13" ht="15.5" x14ac:dyDescent="0.35">
      <c r="A108" s="8" t="s">
        <v>70</v>
      </c>
      <c r="B108" s="9" t="s">
        <v>71</v>
      </c>
      <c r="C108" s="9" t="s">
        <v>29</v>
      </c>
      <c r="D108" s="10">
        <v>867.76</v>
      </c>
      <c r="E108" s="9" t="s">
        <v>46</v>
      </c>
      <c r="F108" s="9" t="s">
        <v>17</v>
      </c>
      <c r="G108" s="9" t="str">
        <f t="shared" si="5"/>
        <v>Above Averg</v>
      </c>
      <c r="H108" s="11">
        <f t="shared" si="6"/>
        <v>911.5772916666665</v>
      </c>
      <c r="I108" s="9">
        <f t="shared" si="7"/>
        <v>48</v>
      </c>
      <c r="J108" s="12">
        <f>DATE(2025, MATCH(E108, {"January","February","March","April","May","June","July","August","September","October","November","December"},0),1)</f>
        <v>45870</v>
      </c>
      <c r="K108" s="13">
        <f t="shared" si="8"/>
        <v>41652.479999999996</v>
      </c>
      <c r="L108" s="13">
        <v>342.11844943943601</v>
      </c>
      <c r="M108" s="14">
        <f t="shared" si="9"/>
        <v>-0.12807637746067629</v>
      </c>
    </row>
    <row r="109" spans="1:13" ht="15.5" x14ac:dyDescent="0.35">
      <c r="A109" s="8" t="s">
        <v>76</v>
      </c>
      <c r="B109" s="9" t="s">
        <v>60</v>
      </c>
      <c r="C109" s="9" t="s">
        <v>43</v>
      </c>
      <c r="D109" s="10">
        <v>281.47000000000003</v>
      </c>
      <c r="E109" s="9" t="s">
        <v>62</v>
      </c>
      <c r="F109" s="9" t="s">
        <v>26</v>
      </c>
      <c r="G109" s="9" t="str">
        <f t="shared" si="5"/>
        <v>Low Averg</v>
      </c>
      <c r="H109" s="11">
        <f t="shared" si="6"/>
        <v>304.90820512820511</v>
      </c>
      <c r="I109" s="9">
        <f t="shared" si="7"/>
        <v>39</v>
      </c>
      <c r="J109" s="12">
        <f>DATE(2025, MATCH(E109, {"January","February","March","April","May","June","July","August","September","October","November","December"},0),1)</f>
        <v>45689</v>
      </c>
      <c r="K109" s="13">
        <f t="shared" si="8"/>
        <v>10977.330000000002</v>
      </c>
      <c r="L109" s="13">
        <v>341.92067154137698</v>
      </c>
      <c r="M109" s="14">
        <f t="shared" si="9"/>
        <v>-6.8548663707712523E-2</v>
      </c>
    </row>
    <row r="110" spans="1:13" ht="15.5" x14ac:dyDescent="0.35">
      <c r="A110" s="8" t="s">
        <v>81</v>
      </c>
      <c r="B110" s="9" t="s">
        <v>28</v>
      </c>
      <c r="C110" s="9" t="s">
        <v>20</v>
      </c>
      <c r="D110" s="10">
        <v>145.62</v>
      </c>
      <c r="E110" s="9" t="s">
        <v>62</v>
      </c>
      <c r="F110" s="9" t="s">
        <v>26</v>
      </c>
      <c r="G110" s="9" t="str">
        <f t="shared" si="5"/>
        <v>Low Averg</v>
      </c>
      <c r="H110" s="11">
        <f t="shared" si="6"/>
        <v>140.29840000000002</v>
      </c>
      <c r="I110" s="9">
        <f t="shared" si="7"/>
        <v>25</v>
      </c>
      <c r="J110" s="12">
        <f>DATE(2025, MATCH(E110, {"January","February","March","April","May","June","July","August","September","October","November","December"},0),1)</f>
        <v>45689</v>
      </c>
      <c r="K110" s="13">
        <f t="shared" si="8"/>
        <v>3640.5</v>
      </c>
      <c r="L110" s="13">
        <v>342.08175350723599</v>
      </c>
      <c r="M110" s="14">
        <f t="shared" si="9"/>
        <v>1.5556515205618597E-2</v>
      </c>
    </row>
    <row r="111" spans="1:13" ht="15.5" x14ac:dyDescent="0.35">
      <c r="A111" s="8" t="s">
        <v>52</v>
      </c>
      <c r="B111" s="9" t="s">
        <v>32</v>
      </c>
      <c r="C111" s="9" t="s">
        <v>61</v>
      </c>
      <c r="D111" s="10">
        <v>60.74</v>
      </c>
      <c r="E111" s="9" t="s">
        <v>55</v>
      </c>
      <c r="F111" s="9" t="s">
        <v>26</v>
      </c>
      <c r="G111" s="9" t="str">
        <f t="shared" si="5"/>
        <v>Low Averg</v>
      </c>
      <c r="H111" s="11">
        <f t="shared" si="6"/>
        <v>62.182121212121217</v>
      </c>
      <c r="I111" s="9">
        <f t="shared" si="7"/>
        <v>33</v>
      </c>
      <c r="J111" s="12">
        <f>DATE(2025, MATCH(E111, {"January","February","March","April","May","June","July","August","September","October","November","December"},0),1)</f>
        <v>45962</v>
      </c>
      <c r="K111" s="13">
        <f t="shared" si="8"/>
        <v>2004.42</v>
      </c>
      <c r="L111" s="13">
        <v>342.18242280898301</v>
      </c>
      <c r="M111" s="14">
        <f t="shared" si="9"/>
        <v>-4.2144806863041364E-3</v>
      </c>
    </row>
    <row r="112" spans="1:13" ht="15.5" x14ac:dyDescent="0.35">
      <c r="A112" s="8" t="s">
        <v>76</v>
      </c>
      <c r="B112" s="9" t="s">
        <v>60</v>
      </c>
      <c r="C112" s="9" t="s">
        <v>20</v>
      </c>
      <c r="D112" s="10">
        <v>300.88</v>
      </c>
      <c r="E112" s="9" t="s">
        <v>55</v>
      </c>
      <c r="F112" s="9" t="s">
        <v>26</v>
      </c>
      <c r="G112" s="9" t="str">
        <f t="shared" si="5"/>
        <v>Low Averg</v>
      </c>
      <c r="H112" s="11">
        <f t="shared" si="6"/>
        <v>304.90820512820511</v>
      </c>
      <c r="I112" s="9">
        <f t="shared" si="7"/>
        <v>39</v>
      </c>
      <c r="J112" s="12">
        <f>DATE(2025, MATCH(E112, {"January","February","March","April","May","June","July","August","September","October","November","December"},0),1)</f>
        <v>45962</v>
      </c>
      <c r="K112" s="13">
        <f t="shared" si="8"/>
        <v>11734.32</v>
      </c>
      <c r="L112" s="13">
        <v>342.217608918606</v>
      </c>
      <c r="M112" s="14">
        <f t="shared" si="9"/>
        <v>-1.1770887947391378E-2</v>
      </c>
    </row>
    <row r="113" spans="1:13" ht="15.5" x14ac:dyDescent="0.35">
      <c r="A113" s="8" t="s">
        <v>58</v>
      </c>
      <c r="B113" s="9" t="s">
        <v>23</v>
      </c>
      <c r="C113" s="9" t="s">
        <v>34</v>
      </c>
      <c r="D113" s="10">
        <v>125.9</v>
      </c>
      <c r="E113" s="9" t="s">
        <v>21</v>
      </c>
      <c r="F113" s="9" t="s">
        <v>17</v>
      </c>
      <c r="G113" s="9" t="str">
        <f t="shared" si="5"/>
        <v>Low Averg</v>
      </c>
      <c r="H113" s="11">
        <f t="shared" si="6"/>
        <v>121.60903225806452</v>
      </c>
      <c r="I113" s="9">
        <f t="shared" si="7"/>
        <v>31</v>
      </c>
      <c r="J113" s="12">
        <f>DATE(2025, MATCH(E113, {"January","February","March","April","May","June","July","August","September","October","November","December"},0),1)</f>
        <v>45748</v>
      </c>
      <c r="K113" s="13">
        <f t="shared" si="8"/>
        <v>3902.9</v>
      </c>
      <c r="L113" s="13">
        <v>342.38345910425898</v>
      </c>
      <c r="M113" s="14">
        <f t="shared" si="9"/>
        <v>1.2532637391892374E-2</v>
      </c>
    </row>
    <row r="114" spans="1:13" ht="15.5" x14ac:dyDescent="0.35">
      <c r="A114" s="8" t="s">
        <v>70</v>
      </c>
      <c r="B114" s="9" t="s">
        <v>71</v>
      </c>
      <c r="C114" s="9" t="s">
        <v>29</v>
      </c>
      <c r="D114" s="10">
        <v>1023.75</v>
      </c>
      <c r="E114" s="9" t="s">
        <v>72</v>
      </c>
      <c r="F114" s="9" t="s">
        <v>26</v>
      </c>
      <c r="G114" s="9" t="str">
        <f t="shared" si="5"/>
        <v>Above Averg</v>
      </c>
      <c r="H114" s="11">
        <f t="shared" si="6"/>
        <v>911.5772916666665</v>
      </c>
      <c r="I114" s="9">
        <f t="shared" si="7"/>
        <v>48</v>
      </c>
      <c r="J114" s="12">
        <f>DATE(2025, MATCH(E114, {"January","February","March","April","May","June","July","August","September","October","November","December"},0),1)</f>
        <v>45901</v>
      </c>
      <c r="K114" s="13">
        <f t="shared" si="8"/>
        <v>49140</v>
      </c>
      <c r="L114" s="13">
        <v>342.47089143067899</v>
      </c>
      <c r="M114" s="14">
        <f t="shared" si="9"/>
        <v>0.32753939426714418</v>
      </c>
    </row>
    <row r="115" spans="1:13" ht="15.5" x14ac:dyDescent="0.35">
      <c r="A115" s="8" t="s">
        <v>77</v>
      </c>
      <c r="B115" s="9" t="s">
        <v>14</v>
      </c>
      <c r="C115" s="9" t="s">
        <v>29</v>
      </c>
      <c r="D115" s="10">
        <v>241.28</v>
      </c>
      <c r="E115" s="9" t="s">
        <v>46</v>
      </c>
      <c r="F115" s="9" t="s">
        <v>17</v>
      </c>
      <c r="G115" s="9" t="str">
        <f t="shared" si="5"/>
        <v>Low Averg</v>
      </c>
      <c r="H115" s="11">
        <f t="shared" si="6"/>
        <v>226.49633333333335</v>
      </c>
      <c r="I115" s="9">
        <f t="shared" si="7"/>
        <v>30</v>
      </c>
      <c r="J115" s="12">
        <f>DATE(2025, MATCH(E115, {"January","February","March","April","May","June","July","August","September","October","November","December"},0),1)</f>
        <v>45870</v>
      </c>
      <c r="K115" s="13">
        <f t="shared" si="8"/>
        <v>7238.4</v>
      </c>
      <c r="L115" s="13">
        <v>342.006534938806</v>
      </c>
      <c r="M115" s="14">
        <f t="shared" si="9"/>
        <v>4.3226269548655952E-2</v>
      </c>
    </row>
    <row r="116" spans="1:13" ht="15.5" x14ac:dyDescent="0.35">
      <c r="A116" s="8" t="s">
        <v>51</v>
      </c>
      <c r="B116" s="9" t="s">
        <v>28</v>
      </c>
      <c r="C116" s="9" t="s">
        <v>34</v>
      </c>
      <c r="D116" s="10">
        <v>113.16</v>
      </c>
      <c r="E116" s="9" t="s">
        <v>25</v>
      </c>
      <c r="F116" s="9" t="s">
        <v>26</v>
      </c>
      <c r="G116" s="9" t="str">
        <f t="shared" si="5"/>
        <v>Low Averg</v>
      </c>
      <c r="H116" s="11">
        <f t="shared" si="6"/>
        <v>122.0377142857143</v>
      </c>
      <c r="I116" s="9">
        <f t="shared" si="7"/>
        <v>35</v>
      </c>
      <c r="J116" s="12">
        <f>DATE(2025, MATCH(E116, {"January","February","March","April","May","June","July","August","September","October","November","December"},0),1)</f>
        <v>45931</v>
      </c>
      <c r="K116" s="13">
        <f t="shared" si="8"/>
        <v>3960.6</v>
      </c>
      <c r="L116" s="13">
        <v>342.15619574544598</v>
      </c>
      <c r="M116" s="14">
        <f t="shared" si="9"/>
        <v>-2.5946378864695644E-2</v>
      </c>
    </row>
    <row r="117" spans="1:13" ht="15.5" x14ac:dyDescent="0.35">
      <c r="A117" s="8" t="s">
        <v>50</v>
      </c>
      <c r="B117" s="9" t="s">
        <v>32</v>
      </c>
      <c r="C117" s="9" t="s">
        <v>69</v>
      </c>
      <c r="D117" s="10">
        <v>75.260000000000005</v>
      </c>
      <c r="E117" s="9" t="s">
        <v>55</v>
      </c>
      <c r="F117" s="9" t="s">
        <v>17</v>
      </c>
      <c r="G117" s="9" t="str">
        <f t="shared" si="5"/>
        <v>Low Averg</v>
      </c>
      <c r="H117" s="11">
        <f t="shared" si="6"/>
        <v>81.934666666666672</v>
      </c>
      <c r="I117" s="9">
        <f t="shared" si="7"/>
        <v>30</v>
      </c>
      <c r="J117" s="12">
        <f>DATE(2025, MATCH(E117, {"January","February","March","April","May","June","July","August","September","October","November","December"},0),1)</f>
        <v>45962</v>
      </c>
      <c r="K117" s="13">
        <f t="shared" si="8"/>
        <v>2257.8000000000002</v>
      </c>
      <c r="L117" s="13">
        <v>342.23465989312803</v>
      </c>
      <c r="M117" s="14">
        <f t="shared" si="9"/>
        <v>-1.9503187283108646E-2</v>
      </c>
    </row>
    <row r="118" spans="1:13" ht="15.5" x14ac:dyDescent="0.35">
      <c r="A118" s="8" t="s">
        <v>66</v>
      </c>
      <c r="B118" s="9" t="s">
        <v>32</v>
      </c>
      <c r="C118" s="9" t="s">
        <v>61</v>
      </c>
      <c r="D118" s="10">
        <v>138.75</v>
      </c>
      <c r="E118" s="9" t="s">
        <v>55</v>
      </c>
      <c r="F118" s="9" t="s">
        <v>40</v>
      </c>
      <c r="G118" s="9" t="str">
        <f t="shared" si="5"/>
        <v>Low Averg</v>
      </c>
      <c r="H118" s="11">
        <f t="shared" si="6"/>
        <v>141.74161290322584</v>
      </c>
      <c r="I118" s="9">
        <f t="shared" si="7"/>
        <v>31</v>
      </c>
      <c r="J118" s="12">
        <f>DATE(2025, MATCH(E118, {"January","February","March","April","May","June","July","August","September","October","November","December"},0),1)</f>
        <v>45962</v>
      </c>
      <c r="K118" s="13">
        <f t="shared" si="8"/>
        <v>4301.25</v>
      </c>
      <c r="L118" s="13">
        <v>342.28260556390501</v>
      </c>
      <c r="M118" s="14">
        <f t="shared" si="9"/>
        <v>-8.7401838556686491E-3</v>
      </c>
    </row>
    <row r="119" spans="1:13" ht="15.5" x14ac:dyDescent="0.35">
      <c r="A119" s="8" t="s">
        <v>31</v>
      </c>
      <c r="B119" s="9" t="s">
        <v>32</v>
      </c>
      <c r="C119" s="9" t="s">
        <v>43</v>
      </c>
      <c r="D119" s="10">
        <v>113.19</v>
      </c>
      <c r="E119" s="9" t="s">
        <v>25</v>
      </c>
      <c r="F119" s="9" t="s">
        <v>30</v>
      </c>
      <c r="G119" s="9" t="str">
        <f t="shared" si="5"/>
        <v>Low Averg</v>
      </c>
      <c r="H119" s="11">
        <f t="shared" si="6"/>
        <v>123.43305555555558</v>
      </c>
      <c r="I119" s="9">
        <f t="shared" si="7"/>
        <v>36</v>
      </c>
      <c r="J119" s="12">
        <f>DATE(2025, MATCH(E119, {"January","February","March","April","May","June","July","August","September","October","November","December"},0),1)</f>
        <v>45931</v>
      </c>
      <c r="K119" s="13">
        <f t="shared" si="8"/>
        <v>4074.84</v>
      </c>
      <c r="L119" s="13">
        <v>342.37912342305401</v>
      </c>
      <c r="M119" s="14">
        <f t="shared" si="9"/>
        <v>-2.9917290088096161E-2</v>
      </c>
    </row>
    <row r="120" spans="1:13" ht="15.5" x14ac:dyDescent="0.35">
      <c r="A120" s="8" t="s">
        <v>53</v>
      </c>
      <c r="B120" s="9" t="s">
        <v>54</v>
      </c>
      <c r="C120" s="9" t="s">
        <v>69</v>
      </c>
      <c r="D120" s="10">
        <v>746.1</v>
      </c>
      <c r="E120" s="9" t="s">
        <v>57</v>
      </c>
      <c r="F120" s="9" t="s">
        <v>36</v>
      </c>
      <c r="G120" s="9" t="str">
        <f t="shared" si="5"/>
        <v>Above Averg</v>
      </c>
      <c r="H120" s="11">
        <f t="shared" si="6"/>
        <v>810.77454545454566</v>
      </c>
      <c r="I120" s="9">
        <f t="shared" si="7"/>
        <v>33</v>
      </c>
      <c r="J120" s="12">
        <f>DATE(2025, MATCH(E120, {"January","February","March","April","May","June","July","August","September","October","November","December"},0),1)</f>
        <v>45839</v>
      </c>
      <c r="K120" s="13">
        <f t="shared" si="8"/>
        <v>24621.3</v>
      </c>
      <c r="L120" s="13">
        <v>342.45743902794197</v>
      </c>
      <c r="M120" s="14">
        <f t="shared" si="9"/>
        <v>-0.18885425773819642</v>
      </c>
    </row>
    <row r="121" spans="1:13" ht="15.5" x14ac:dyDescent="0.35">
      <c r="A121" s="8" t="s">
        <v>27</v>
      </c>
      <c r="B121" s="9" t="s">
        <v>28</v>
      </c>
      <c r="C121" s="9" t="s">
        <v>49</v>
      </c>
      <c r="D121" s="10">
        <v>109.03</v>
      </c>
      <c r="E121" s="9" t="s">
        <v>63</v>
      </c>
      <c r="F121" s="9" t="s">
        <v>30</v>
      </c>
      <c r="G121" s="9" t="str">
        <f t="shared" si="5"/>
        <v>Low Averg</v>
      </c>
      <c r="H121" s="11">
        <f t="shared" si="6"/>
        <v>113.26108695652174</v>
      </c>
      <c r="I121" s="9">
        <f t="shared" si="7"/>
        <v>46</v>
      </c>
      <c r="J121" s="12">
        <f>DATE(2025, MATCH(E121, {"January","February","March","April","May","June","July","August","September","October","November","December"},0),1)</f>
        <v>45717</v>
      </c>
      <c r="K121" s="13">
        <f t="shared" si="8"/>
        <v>5015.38</v>
      </c>
      <c r="L121" s="13">
        <v>342.41792139293</v>
      </c>
      <c r="M121" s="14">
        <f t="shared" si="9"/>
        <v>-1.2356499739587218E-2</v>
      </c>
    </row>
    <row r="122" spans="1:13" ht="15.5" x14ac:dyDescent="0.35">
      <c r="A122" s="8" t="s">
        <v>50</v>
      </c>
      <c r="B122" s="9" t="s">
        <v>32</v>
      </c>
      <c r="C122" s="9" t="s">
        <v>61</v>
      </c>
      <c r="D122" s="10">
        <v>72.05</v>
      </c>
      <c r="E122" s="9" t="s">
        <v>63</v>
      </c>
      <c r="F122" s="9" t="s">
        <v>36</v>
      </c>
      <c r="G122" s="9" t="str">
        <f t="shared" si="5"/>
        <v>Low Averg</v>
      </c>
      <c r="H122" s="11">
        <f t="shared" si="6"/>
        <v>81.934666666666672</v>
      </c>
      <c r="I122" s="9">
        <f t="shared" si="7"/>
        <v>30</v>
      </c>
      <c r="J122" s="12">
        <f>DATE(2025, MATCH(E122, {"January","February","March","April","May","June","July","August","September","October","November","December"},0),1)</f>
        <v>45717</v>
      </c>
      <c r="K122" s="13">
        <f t="shared" si="8"/>
        <v>2161.5</v>
      </c>
      <c r="L122" s="13">
        <v>342.49337007222601</v>
      </c>
      <c r="M122" s="14">
        <f t="shared" si="9"/>
        <v>-2.8860899306115524E-2</v>
      </c>
    </row>
    <row r="123" spans="1:13" ht="15.5" x14ac:dyDescent="0.35">
      <c r="A123" s="8" t="s">
        <v>75</v>
      </c>
      <c r="B123" s="9" t="s">
        <v>28</v>
      </c>
      <c r="C123" s="9" t="s">
        <v>43</v>
      </c>
      <c r="D123" s="10">
        <v>134.58000000000001</v>
      </c>
      <c r="E123" s="9" t="s">
        <v>39</v>
      </c>
      <c r="F123" s="9" t="s">
        <v>26</v>
      </c>
      <c r="G123" s="9" t="str">
        <f t="shared" si="5"/>
        <v>Low Averg</v>
      </c>
      <c r="H123" s="11">
        <f t="shared" si="6"/>
        <v>120.53625</v>
      </c>
      <c r="I123" s="9">
        <f t="shared" si="7"/>
        <v>24</v>
      </c>
      <c r="J123" s="12">
        <f>DATE(2025, MATCH(E123, {"January","February","March","April","May","June","July","August","September","October","November","December"},0),1)</f>
        <v>45992</v>
      </c>
      <c r="K123" s="13">
        <f t="shared" si="8"/>
        <v>3229.92</v>
      </c>
      <c r="L123" s="13">
        <v>342.53842264145698</v>
      </c>
      <c r="M123" s="14">
        <f t="shared" si="9"/>
        <v>4.0999050242897683E-2</v>
      </c>
    </row>
    <row r="124" spans="1:13" ht="15.5" x14ac:dyDescent="0.35">
      <c r="A124" s="8" t="s">
        <v>77</v>
      </c>
      <c r="B124" s="9" t="s">
        <v>14</v>
      </c>
      <c r="C124" s="9" t="s">
        <v>43</v>
      </c>
      <c r="D124" s="10">
        <v>245.89</v>
      </c>
      <c r="E124" s="9" t="s">
        <v>63</v>
      </c>
      <c r="F124" s="9" t="s">
        <v>30</v>
      </c>
      <c r="G124" s="9" t="str">
        <f t="shared" si="5"/>
        <v>Low Averg</v>
      </c>
      <c r="H124" s="11">
        <f t="shared" si="6"/>
        <v>226.49633333333335</v>
      </c>
      <c r="I124" s="9">
        <f t="shared" si="7"/>
        <v>30</v>
      </c>
      <c r="J124" s="12">
        <f>DATE(2025, MATCH(E124, {"January","February","March","April","May","June","July","August","September","October","November","December"},0),1)</f>
        <v>45717</v>
      </c>
      <c r="K124" s="13">
        <f t="shared" si="8"/>
        <v>7376.7</v>
      </c>
      <c r="L124" s="13">
        <v>342.63231441010601</v>
      </c>
      <c r="M124" s="14">
        <f t="shared" si="9"/>
        <v>5.6601977837542262E-2</v>
      </c>
    </row>
    <row r="125" spans="1:13" ht="15.5" x14ac:dyDescent="0.35">
      <c r="A125" s="8" t="s">
        <v>76</v>
      </c>
      <c r="B125" s="9" t="s">
        <v>60</v>
      </c>
      <c r="C125" s="9" t="s">
        <v>69</v>
      </c>
      <c r="D125" s="10">
        <v>327.5</v>
      </c>
      <c r="E125" s="9" t="s">
        <v>39</v>
      </c>
      <c r="F125" s="9" t="s">
        <v>36</v>
      </c>
      <c r="G125" s="9" t="str">
        <f t="shared" si="5"/>
        <v>Low Averg</v>
      </c>
      <c r="H125" s="11">
        <f t="shared" si="6"/>
        <v>304.90820512820511</v>
      </c>
      <c r="I125" s="9">
        <f t="shared" si="7"/>
        <v>39</v>
      </c>
      <c r="J125" s="12">
        <f>DATE(2025, MATCH(E125, {"January","February","March","April","May","June","July","August","September","October","November","December"},0),1)</f>
        <v>45992</v>
      </c>
      <c r="K125" s="13">
        <f t="shared" si="8"/>
        <v>12772.5</v>
      </c>
      <c r="L125" s="13">
        <v>342.78481698844502</v>
      </c>
      <c r="M125" s="14">
        <f t="shared" si="9"/>
        <v>6.5906638077719876E-2</v>
      </c>
    </row>
    <row r="126" spans="1:13" ht="15.5" x14ac:dyDescent="0.35">
      <c r="A126" s="8" t="s">
        <v>27</v>
      </c>
      <c r="B126" s="9" t="s">
        <v>28</v>
      </c>
      <c r="C126" s="9" t="s">
        <v>43</v>
      </c>
      <c r="D126" s="10">
        <v>108.73</v>
      </c>
      <c r="E126" s="9" t="s">
        <v>55</v>
      </c>
      <c r="F126" s="9" t="s">
        <v>26</v>
      </c>
      <c r="G126" s="9" t="str">
        <f t="shared" si="5"/>
        <v>Low Averg</v>
      </c>
      <c r="H126" s="11">
        <f t="shared" si="6"/>
        <v>113.26108695652174</v>
      </c>
      <c r="I126" s="9">
        <f t="shared" si="7"/>
        <v>46</v>
      </c>
      <c r="J126" s="12">
        <f>DATE(2025, MATCH(E126, {"January","February","March","April","May","June","July","August","September","October","November","December"},0),1)</f>
        <v>45962</v>
      </c>
      <c r="K126" s="13">
        <f t="shared" si="8"/>
        <v>5001.58</v>
      </c>
      <c r="L126" s="13">
        <v>342.95711564817299</v>
      </c>
      <c r="M126" s="14">
        <f t="shared" si="9"/>
        <v>-1.3211817891453249E-2</v>
      </c>
    </row>
    <row r="127" spans="1:13" ht="15.5" x14ac:dyDescent="0.35">
      <c r="A127" s="8" t="s">
        <v>80</v>
      </c>
      <c r="B127" s="9" t="s">
        <v>19</v>
      </c>
      <c r="C127" s="9" t="s">
        <v>43</v>
      </c>
      <c r="D127" s="10">
        <v>744.81</v>
      </c>
      <c r="E127" s="9" t="s">
        <v>57</v>
      </c>
      <c r="F127" s="9" t="s">
        <v>26</v>
      </c>
      <c r="G127" s="9" t="str">
        <f t="shared" si="5"/>
        <v>Above Averg</v>
      </c>
      <c r="H127" s="11">
        <f t="shared" si="6"/>
        <v>720.27689655172423</v>
      </c>
      <c r="I127" s="9">
        <f t="shared" si="7"/>
        <v>29</v>
      </c>
      <c r="J127" s="12">
        <f>DATE(2025, MATCH(E127, {"January","February","March","April","May","June","July","August","September","October","November","December"},0),1)</f>
        <v>45839</v>
      </c>
      <c r="K127" s="13">
        <f t="shared" si="8"/>
        <v>21599.489999999998</v>
      </c>
      <c r="L127" s="13">
        <v>343.03241035176097</v>
      </c>
      <c r="M127" s="14">
        <f t="shared" si="9"/>
        <v>7.1518325114289794E-2</v>
      </c>
    </row>
    <row r="128" spans="1:13" ht="15.5" x14ac:dyDescent="0.35">
      <c r="A128" s="8" t="s">
        <v>79</v>
      </c>
      <c r="B128" s="9" t="s">
        <v>32</v>
      </c>
      <c r="C128" s="9" t="s">
        <v>45</v>
      </c>
      <c r="D128" s="10">
        <v>97.28</v>
      </c>
      <c r="E128" s="9" t="s">
        <v>35</v>
      </c>
      <c r="F128" s="9" t="s">
        <v>17</v>
      </c>
      <c r="G128" s="9" t="str">
        <f t="shared" si="5"/>
        <v>Low Averg</v>
      </c>
      <c r="H128" s="11">
        <f t="shared" si="6"/>
        <v>90.269599999999997</v>
      </c>
      <c r="I128" s="9">
        <f t="shared" si="7"/>
        <v>25</v>
      </c>
      <c r="J128" s="12">
        <f>DATE(2025, MATCH(E128, {"January","February","March","April","May","June","July","August","September","October","November","December"},0),1)</f>
        <v>45778</v>
      </c>
      <c r="K128" s="13">
        <f t="shared" si="8"/>
        <v>2432</v>
      </c>
      <c r="L128" s="13">
        <v>342.995663614634</v>
      </c>
      <c r="M128" s="14">
        <f t="shared" si="9"/>
        <v>2.0438742362283626E-2</v>
      </c>
    </row>
    <row r="129" spans="1:13" ht="15.5" x14ac:dyDescent="0.35">
      <c r="A129" s="8" t="s">
        <v>31</v>
      </c>
      <c r="B129" s="9" t="s">
        <v>32</v>
      </c>
      <c r="C129" s="9" t="s">
        <v>15</v>
      </c>
      <c r="D129" s="10">
        <v>116.8</v>
      </c>
      <c r="E129" s="9" t="s">
        <v>63</v>
      </c>
      <c r="F129" s="9" t="s">
        <v>26</v>
      </c>
      <c r="G129" s="9" t="str">
        <f t="shared" si="5"/>
        <v>Low Averg</v>
      </c>
      <c r="H129" s="11">
        <f t="shared" si="6"/>
        <v>123.43305555555558</v>
      </c>
      <c r="I129" s="9">
        <f t="shared" si="7"/>
        <v>36</v>
      </c>
      <c r="J129" s="12">
        <f>DATE(2025, MATCH(E129, {"January","February","March","April","May","June","July","August","September","October","November","December"},0),1)</f>
        <v>45717</v>
      </c>
      <c r="K129" s="13">
        <f t="shared" si="8"/>
        <v>4204.8</v>
      </c>
      <c r="L129" s="13">
        <v>343.06220704034899</v>
      </c>
      <c r="M129" s="14">
        <f t="shared" si="9"/>
        <v>-1.9334847789792959E-2</v>
      </c>
    </row>
    <row r="130" spans="1:13" ht="15.5" x14ac:dyDescent="0.35">
      <c r="A130" s="8" t="s">
        <v>50</v>
      </c>
      <c r="B130" s="9" t="s">
        <v>32</v>
      </c>
      <c r="C130" s="9" t="s">
        <v>43</v>
      </c>
      <c r="D130" s="10">
        <v>82.11</v>
      </c>
      <c r="E130" s="9" t="s">
        <v>35</v>
      </c>
      <c r="F130" s="9" t="s">
        <v>36</v>
      </c>
      <c r="G130" s="9" t="str">
        <f t="shared" si="5"/>
        <v>Low Averg</v>
      </c>
      <c r="H130" s="11">
        <f t="shared" si="6"/>
        <v>81.934666666666672</v>
      </c>
      <c r="I130" s="9">
        <f t="shared" si="7"/>
        <v>30</v>
      </c>
      <c r="J130" s="12">
        <f>DATE(2025, MATCH(E130, {"January","February","March","April","May","June","July","August","September","October","November","December"},0),1)</f>
        <v>45778</v>
      </c>
      <c r="K130" s="13">
        <f t="shared" si="8"/>
        <v>2463.3000000000002</v>
      </c>
      <c r="L130" s="13">
        <v>343.14383796776701</v>
      </c>
      <c r="M130" s="14">
        <f t="shared" si="9"/>
        <v>5.1096162580601887E-4</v>
      </c>
    </row>
    <row r="131" spans="1:13" ht="15.5" x14ac:dyDescent="0.35">
      <c r="A131" s="8" t="s">
        <v>59</v>
      </c>
      <c r="B131" s="9" t="s">
        <v>60</v>
      </c>
      <c r="C131" s="9" t="s">
        <v>49</v>
      </c>
      <c r="D131" s="10">
        <v>205.12</v>
      </c>
      <c r="E131" s="9" t="s">
        <v>57</v>
      </c>
      <c r="F131" s="9" t="s">
        <v>36</v>
      </c>
      <c r="G131" s="9" t="str">
        <f t="shared" si="5"/>
        <v>Low Averg</v>
      </c>
      <c r="H131" s="11">
        <f t="shared" si="6"/>
        <v>203.25225806451613</v>
      </c>
      <c r="I131" s="9">
        <f t="shared" si="7"/>
        <v>31</v>
      </c>
      <c r="J131" s="12">
        <f>DATE(2025, MATCH(E131, {"January","February","March","April","May","June","July","August","September","October","November","December"},0),1)</f>
        <v>45839</v>
      </c>
      <c r="K131" s="13">
        <f t="shared" si="8"/>
        <v>6358.72</v>
      </c>
      <c r="L131" s="13">
        <v>343.197600285482</v>
      </c>
      <c r="M131" s="14">
        <f t="shared" si="9"/>
        <v>5.4421765593064579E-3</v>
      </c>
    </row>
    <row r="132" spans="1:13" ht="15.5" x14ac:dyDescent="0.35">
      <c r="A132" s="8" t="s">
        <v>48</v>
      </c>
      <c r="B132" s="9" t="s">
        <v>19</v>
      </c>
      <c r="C132" s="9" t="s">
        <v>49</v>
      </c>
      <c r="D132" s="10">
        <v>1288.19</v>
      </c>
      <c r="E132" s="9" t="s">
        <v>25</v>
      </c>
      <c r="F132" s="9" t="s">
        <v>40</v>
      </c>
      <c r="G132" s="9" t="str">
        <f t="shared" si="5"/>
        <v>Above Averg</v>
      </c>
      <c r="H132" s="11">
        <f t="shared" si="6"/>
        <v>1235.856</v>
      </c>
      <c r="I132" s="9">
        <f t="shared" si="7"/>
        <v>25</v>
      </c>
      <c r="J132" s="12">
        <f>DATE(2025, MATCH(E132, {"January","February","March","April","May","June","July","August","September","October","November","December"},0),1)</f>
        <v>45931</v>
      </c>
      <c r="K132" s="13">
        <f t="shared" si="8"/>
        <v>32204.75</v>
      </c>
      <c r="L132" s="13">
        <v>343.33381724911402</v>
      </c>
      <c r="M132" s="14">
        <f t="shared" si="9"/>
        <v>0.15242891137061479</v>
      </c>
    </row>
    <row r="133" spans="1:13" ht="15.5" x14ac:dyDescent="0.35">
      <c r="A133" s="8" t="s">
        <v>52</v>
      </c>
      <c r="B133" s="9" t="s">
        <v>32</v>
      </c>
      <c r="C133" s="9" t="s">
        <v>20</v>
      </c>
      <c r="D133" s="10">
        <v>71.27</v>
      </c>
      <c r="E133" s="9" t="s">
        <v>25</v>
      </c>
      <c r="F133" s="9" t="s">
        <v>40</v>
      </c>
      <c r="G133" s="9" t="str">
        <f t="shared" si="5"/>
        <v>Low Averg</v>
      </c>
      <c r="H133" s="11">
        <f t="shared" si="6"/>
        <v>62.182121212121217</v>
      </c>
      <c r="I133" s="9">
        <f t="shared" si="7"/>
        <v>33</v>
      </c>
      <c r="J133" s="12">
        <f>DATE(2025, MATCH(E133, {"January","February","March","April","May","June","July","August","September","October","November","December"},0),1)</f>
        <v>45931</v>
      </c>
      <c r="K133" s="13">
        <f t="shared" si="8"/>
        <v>2351.91</v>
      </c>
      <c r="L133" s="13">
        <v>342.24185275929301</v>
      </c>
      <c r="M133" s="14">
        <f t="shared" si="9"/>
        <v>2.655396677702801E-2</v>
      </c>
    </row>
    <row r="134" spans="1:13" ht="15.5" x14ac:dyDescent="0.35">
      <c r="A134" s="8" t="s">
        <v>81</v>
      </c>
      <c r="B134" s="9" t="s">
        <v>28</v>
      </c>
      <c r="C134" s="9" t="s">
        <v>61</v>
      </c>
      <c r="D134" s="10">
        <v>129.88</v>
      </c>
      <c r="E134" s="9" t="s">
        <v>62</v>
      </c>
      <c r="F134" s="9" t="s">
        <v>17</v>
      </c>
      <c r="G134" s="9" t="str">
        <f t="shared" si="5"/>
        <v>Low Averg</v>
      </c>
      <c r="H134" s="11">
        <f t="shared" si="6"/>
        <v>140.29840000000002</v>
      </c>
      <c r="I134" s="9">
        <f t="shared" si="7"/>
        <v>25</v>
      </c>
      <c r="J134" s="12">
        <f>DATE(2025, MATCH(E134, {"January","February","March","April","May","June","July","August","September","October","November","December"},0),1)</f>
        <v>45689</v>
      </c>
      <c r="K134" s="13">
        <f t="shared" si="8"/>
        <v>3247</v>
      </c>
      <c r="L134" s="13">
        <v>342.28593899293099</v>
      </c>
      <c r="M134" s="14">
        <f t="shared" si="9"/>
        <v>-3.0437709567190791E-2</v>
      </c>
    </row>
    <row r="135" spans="1:13" ht="15.5" x14ac:dyDescent="0.35">
      <c r="A135" s="8" t="s">
        <v>67</v>
      </c>
      <c r="B135" s="9" t="s">
        <v>23</v>
      </c>
      <c r="C135" s="9" t="s">
        <v>61</v>
      </c>
      <c r="D135" s="10">
        <v>238.14</v>
      </c>
      <c r="E135" s="9" t="s">
        <v>39</v>
      </c>
      <c r="F135" s="9" t="s">
        <v>36</v>
      </c>
      <c r="G135" s="9" t="str">
        <f t="shared" si="5"/>
        <v>Low Averg</v>
      </c>
      <c r="H135" s="11">
        <f t="shared" si="6"/>
        <v>226.566129032258</v>
      </c>
      <c r="I135" s="9">
        <f t="shared" si="7"/>
        <v>31</v>
      </c>
      <c r="J135" s="12">
        <f>DATE(2025, MATCH(E135, {"January","February","March","April","May","June","July","August","September","October","November","December"},0),1)</f>
        <v>45992</v>
      </c>
      <c r="K135" s="13">
        <f t="shared" si="8"/>
        <v>7382.3399999999992</v>
      </c>
      <c r="L135" s="13">
        <v>342.37693163064199</v>
      </c>
      <c r="M135" s="14">
        <f t="shared" si="9"/>
        <v>3.3804470741118545E-2</v>
      </c>
    </row>
    <row r="136" spans="1:13" ht="15.5" x14ac:dyDescent="0.35">
      <c r="A136" s="8" t="s">
        <v>22</v>
      </c>
      <c r="B136" s="9" t="s">
        <v>23</v>
      </c>
      <c r="C136" s="9" t="s">
        <v>49</v>
      </c>
      <c r="D136" s="10">
        <v>262.29000000000002</v>
      </c>
      <c r="E136" s="9" t="s">
        <v>57</v>
      </c>
      <c r="F136" s="9" t="s">
        <v>17</v>
      </c>
      <c r="G136" s="9" t="str">
        <f t="shared" ref="G136:G199" si="10">IF(D136&gt;AVERAGE(D:D),"Above Averg","Low Averg")</f>
        <v>Low Averg</v>
      </c>
      <c r="H136" s="11">
        <f t="shared" ref="H136:H199" si="11">AVERAGEIF(A:A,A136,D:D)</f>
        <v>257.40029411764709</v>
      </c>
      <c r="I136" s="9">
        <f t="shared" ref="I136:I199" si="12">COUNTIF(A:A,A136)</f>
        <v>34</v>
      </c>
      <c r="J136" s="12">
        <f>DATE(2025, MATCH(E136, {"January","February","March","April","May","June","July","August","September","October","November","December"},0),1)</f>
        <v>45839</v>
      </c>
      <c r="K136" s="13">
        <f t="shared" ref="K136:K199" si="13">1*(D136*I136)</f>
        <v>8917.86</v>
      </c>
      <c r="L136" s="13">
        <v>342.527842042592</v>
      </c>
      <c r="M136" s="14">
        <f t="shared" ref="M136:M199" si="14">(D136-H136)/L136</f>
        <v>1.4275353072597561E-2</v>
      </c>
    </row>
    <row r="137" spans="1:13" ht="15.5" x14ac:dyDescent="0.35">
      <c r="A137" s="8" t="s">
        <v>58</v>
      </c>
      <c r="B137" s="9" t="s">
        <v>23</v>
      </c>
      <c r="C137" s="9" t="s">
        <v>45</v>
      </c>
      <c r="D137" s="10">
        <v>125.92</v>
      </c>
      <c r="E137" s="9" t="s">
        <v>21</v>
      </c>
      <c r="F137" s="9" t="s">
        <v>17</v>
      </c>
      <c r="G137" s="9" t="str">
        <f t="shared" si="10"/>
        <v>Low Averg</v>
      </c>
      <c r="H137" s="11">
        <f t="shared" si="11"/>
        <v>121.60903225806452</v>
      </c>
      <c r="I137" s="9">
        <f t="shared" si="12"/>
        <v>31</v>
      </c>
      <c r="J137" s="12">
        <f>DATE(2025, MATCH(E137, {"January","February","March","April","May","June","July","August","September","October","November","December"},0),1)</f>
        <v>45748</v>
      </c>
      <c r="K137" s="13">
        <f t="shared" si="13"/>
        <v>3903.52</v>
      </c>
      <c r="L137" s="13">
        <v>342.687514811715</v>
      </c>
      <c r="M137" s="14">
        <f t="shared" si="14"/>
        <v>1.2579879790205044E-2</v>
      </c>
    </row>
    <row r="138" spans="1:13" ht="15.5" x14ac:dyDescent="0.35">
      <c r="A138" s="8" t="s">
        <v>80</v>
      </c>
      <c r="B138" s="9" t="s">
        <v>19</v>
      </c>
      <c r="C138" s="9" t="s">
        <v>43</v>
      </c>
      <c r="D138" s="10">
        <v>796.23</v>
      </c>
      <c r="E138" s="9" t="s">
        <v>57</v>
      </c>
      <c r="F138" s="9" t="s">
        <v>30</v>
      </c>
      <c r="G138" s="9" t="str">
        <f t="shared" si="10"/>
        <v>Above Averg</v>
      </c>
      <c r="H138" s="11">
        <f t="shared" si="11"/>
        <v>720.27689655172423</v>
      </c>
      <c r="I138" s="9">
        <f t="shared" si="12"/>
        <v>29</v>
      </c>
      <c r="J138" s="12">
        <f>DATE(2025, MATCH(E138, {"January","February","March","April","May","June","July","August","September","October","November","December"},0),1)</f>
        <v>45839</v>
      </c>
      <c r="K138" s="13">
        <f t="shared" si="13"/>
        <v>23090.670000000002</v>
      </c>
      <c r="L138" s="13">
        <v>342.77587931282</v>
      </c>
      <c r="M138" s="14">
        <f t="shared" si="14"/>
        <v>0.22158240422442438</v>
      </c>
    </row>
    <row r="139" spans="1:13" ht="15.5" x14ac:dyDescent="0.35">
      <c r="A139" s="8" t="s">
        <v>31</v>
      </c>
      <c r="B139" s="9" t="s">
        <v>32</v>
      </c>
      <c r="C139" s="9" t="s">
        <v>45</v>
      </c>
      <c r="D139" s="10">
        <v>129.01</v>
      </c>
      <c r="E139" s="9" t="s">
        <v>63</v>
      </c>
      <c r="F139" s="9" t="s">
        <v>30</v>
      </c>
      <c r="G139" s="9" t="str">
        <f t="shared" si="10"/>
        <v>Low Averg</v>
      </c>
      <c r="H139" s="11">
        <f t="shared" si="11"/>
        <v>123.43305555555558</v>
      </c>
      <c r="I139" s="9">
        <f t="shared" si="12"/>
        <v>36</v>
      </c>
      <c r="J139" s="12">
        <f>DATE(2025, MATCH(E139, {"January","February","March","April","May","June","July","August","September","October","November","December"},0),1)</f>
        <v>45717</v>
      </c>
      <c r="K139" s="13">
        <f t="shared" si="13"/>
        <v>4644.3599999999997</v>
      </c>
      <c r="L139" s="13">
        <v>342.676828744923</v>
      </c>
      <c r="M139" s="14">
        <f t="shared" si="14"/>
        <v>1.6274647062861948E-2</v>
      </c>
    </row>
    <row r="140" spans="1:13" ht="15.5" x14ac:dyDescent="0.35">
      <c r="A140" s="8" t="s">
        <v>67</v>
      </c>
      <c r="B140" s="9" t="s">
        <v>23</v>
      </c>
      <c r="C140" s="9" t="s">
        <v>43</v>
      </c>
      <c r="D140" s="10">
        <v>227.86</v>
      </c>
      <c r="E140" s="9" t="s">
        <v>21</v>
      </c>
      <c r="F140" s="9" t="s">
        <v>36</v>
      </c>
      <c r="G140" s="9" t="str">
        <f t="shared" si="10"/>
        <v>Low Averg</v>
      </c>
      <c r="H140" s="11">
        <f t="shared" si="11"/>
        <v>226.566129032258</v>
      </c>
      <c r="I140" s="9">
        <f t="shared" si="12"/>
        <v>31</v>
      </c>
      <c r="J140" s="12">
        <f>DATE(2025, MATCH(E140, {"January","February","March","April","May","June","July","August","September","October","November","December"},0),1)</f>
        <v>45748</v>
      </c>
      <c r="K140" s="13">
        <f t="shared" si="13"/>
        <v>7063.6600000000008</v>
      </c>
      <c r="L140" s="13">
        <v>342.76775218441298</v>
      </c>
      <c r="M140" s="14">
        <f t="shared" si="14"/>
        <v>3.7747744923387421E-3</v>
      </c>
    </row>
    <row r="141" spans="1:13" ht="15.5" x14ac:dyDescent="0.35">
      <c r="A141" s="8" t="s">
        <v>44</v>
      </c>
      <c r="B141" s="9" t="s">
        <v>23</v>
      </c>
      <c r="C141" s="9" t="s">
        <v>29</v>
      </c>
      <c r="D141" s="10">
        <v>206.64</v>
      </c>
      <c r="E141" s="9" t="s">
        <v>25</v>
      </c>
      <c r="F141" s="9" t="s">
        <v>40</v>
      </c>
      <c r="G141" s="9" t="str">
        <f t="shared" si="10"/>
        <v>Low Averg</v>
      </c>
      <c r="H141" s="11">
        <f t="shared" si="11"/>
        <v>206.14838709677423</v>
      </c>
      <c r="I141" s="9">
        <f t="shared" si="12"/>
        <v>31</v>
      </c>
      <c r="J141" s="12">
        <f>DATE(2025, MATCH(E141, {"January","February","March","April","May","June","July","August","September","October","November","December"},0),1)</f>
        <v>45931</v>
      </c>
      <c r="K141" s="13">
        <f t="shared" si="13"/>
        <v>6405.8399999999992</v>
      </c>
      <c r="L141" s="13">
        <v>342.91535730091999</v>
      </c>
      <c r="M141" s="14">
        <f t="shared" si="14"/>
        <v>1.43362754906993E-3</v>
      </c>
    </row>
    <row r="142" spans="1:13" ht="15.5" x14ac:dyDescent="0.35">
      <c r="A142" s="8" t="s">
        <v>22</v>
      </c>
      <c r="B142" s="9" t="s">
        <v>23</v>
      </c>
      <c r="C142" s="9" t="s">
        <v>34</v>
      </c>
      <c r="D142" s="10">
        <v>237.64</v>
      </c>
      <c r="E142" s="9" t="s">
        <v>25</v>
      </c>
      <c r="F142" s="9" t="s">
        <v>30</v>
      </c>
      <c r="G142" s="9" t="str">
        <f t="shared" si="10"/>
        <v>Low Averg</v>
      </c>
      <c r="H142" s="11">
        <f t="shared" si="11"/>
        <v>257.40029411764709</v>
      </c>
      <c r="I142" s="9">
        <f t="shared" si="12"/>
        <v>34</v>
      </c>
      <c r="J142" s="12">
        <f>DATE(2025, MATCH(E142, {"January","February","March","April","May","June","July","August","September","October","November","December"},0),1)</f>
        <v>45931</v>
      </c>
      <c r="K142" s="13">
        <f t="shared" si="13"/>
        <v>8079.7599999999993</v>
      </c>
      <c r="L142" s="13">
        <v>343.05344680403601</v>
      </c>
      <c r="M142" s="14">
        <f t="shared" si="14"/>
        <v>-5.7601211419790424E-2</v>
      </c>
    </row>
    <row r="143" spans="1:13" ht="15.5" x14ac:dyDescent="0.35">
      <c r="A143" s="8" t="s">
        <v>31</v>
      </c>
      <c r="B143" s="9" t="s">
        <v>32</v>
      </c>
      <c r="C143" s="9" t="s">
        <v>15</v>
      </c>
      <c r="D143" s="10">
        <v>131.1</v>
      </c>
      <c r="E143" s="9" t="s">
        <v>39</v>
      </c>
      <c r="F143" s="9" t="s">
        <v>36</v>
      </c>
      <c r="G143" s="9" t="str">
        <f t="shared" si="10"/>
        <v>Low Averg</v>
      </c>
      <c r="H143" s="11">
        <f t="shared" si="11"/>
        <v>123.43305555555558</v>
      </c>
      <c r="I143" s="9">
        <f t="shared" si="12"/>
        <v>36</v>
      </c>
      <c r="J143" s="12">
        <f>DATE(2025, MATCH(E143, {"January","February","March","April","May","June","July","August","September","October","November","December"},0),1)</f>
        <v>45992</v>
      </c>
      <c r="K143" s="13">
        <f t="shared" si="13"/>
        <v>4719.5999999999995</v>
      </c>
      <c r="L143" s="13">
        <v>343.20541599111402</v>
      </c>
      <c r="M143" s="14">
        <f t="shared" si="14"/>
        <v>2.2339229182335853E-2</v>
      </c>
    </row>
    <row r="144" spans="1:13" ht="15.5" x14ac:dyDescent="0.35">
      <c r="A144" s="8" t="s">
        <v>52</v>
      </c>
      <c r="B144" s="9" t="s">
        <v>32</v>
      </c>
      <c r="C144" s="9" t="s">
        <v>29</v>
      </c>
      <c r="D144" s="10">
        <v>66.63</v>
      </c>
      <c r="E144" s="9" t="s">
        <v>25</v>
      </c>
      <c r="F144" s="9" t="s">
        <v>36</v>
      </c>
      <c r="G144" s="9" t="str">
        <f t="shared" si="10"/>
        <v>Low Averg</v>
      </c>
      <c r="H144" s="11">
        <f t="shared" si="11"/>
        <v>62.182121212121217</v>
      </c>
      <c r="I144" s="9">
        <f t="shared" si="12"/>
        <v>33</v>
      </c>
      <c r="J144" s="12">
        <f>DATE(2025, MATCH(E144, {"January","February","March","April","May","June","July","August","September","October","November","December"},0),1)</f>
        <v>45931</v>
      </c>
      <c r="K144" s="13">
        <f t="shared" si="13"/>
        <v>2198.79</v>
      </c>
      <c r="L144" s="13">
        <v>343.298130813851</v>
      </c>
      <c r="M144" s="14">
        <f t="shared" si="14"/>
        <v>1.2956315192670197E-2</v>
      </c>
    </row>
    <row r="145" spans="1:13" ht="15.5" x14ac:dyDescent="0.35">
      <c r="A145" s="8" t="s">
        <v>76</v>
      </c>
      <c r="B145" s="9" t="s">
        <v>60</v>
      </c>
      <c r="C145" s="9" t="s">
        <v>69</v>
      </c>
      <c r="D145" s="10">
        <v>309.81</v>
      </c>
      <c r="E145" s="9" t="s">
        <v>72</v>
      </c>
      <c r="F145" s="9" t="s">
        <v>36</v>
      </c>
      <c r="G145" s="9" t="str">
        <f t="shared" si="10"/>
        <v>Low Averg</v>
      </c>
      <c r="H145" s="11">
        <f t="shared" si="11"/>
        <v>304.90820512820511</v>
      </c>
      <c r="I145" s="9">
        <f t="shared" si="12"/>
        <v>39</v>
      </c>
      <c r="J145" s="12">
        <f>DATE(2025, MATCH(E145, {"January","February","March","April","May","June","July","August","September","October","November","December"},0),1)</f>
        <v>45901</v>
      </c>
      <c r="K145" s="13">
        <f t="shared" si="13"/>
        <v>12082.59</v>
      </c>
      <c r="L145" s="13">
        <v>343.33807416797401</v>
      </c>
      <c r="M145" s="14">
        <f t="shared" si="14"/>
        <v>1.4276875303368618E-2</v>
      </c>
    </row>
    <row r="146" spans="1:13" ht="15.5" x14ac:dyDescent="0.35">
      <c r="A146" s="8" t="s">
        <v>68</v>
      </c>
      <c r="B146" s="9" t="s">
        <v>28</v>
      </c>
      <c r="C146" s="9" t="s">
        <v>24</v>
      </c>
      <c r="D146" s="10">
        <v>96.53</v>
      </c>
      <c r="E146" s="9" t="s">
        <v>63</v>
      </c>
      <c r="F146" s="9" t="s">
        <v>36</v>
      </c>
      <c r="G146" s="9" t="str">
        <f t="shared" si="10"/>
        <v>Low Averg</v>
      </c>
      <c r="H146" s="11">
        <f t="shared" si="11"/>
        <v>102.25285714285715</v>
      </c>
      <c r="I146" s="9">
        <f t="shared" si="12"/>
        <v>28</v>
      </c>
      <c r="J146" s="12">
        <f>DATE(2025, MATCH(E146, {"January","February","March","April","May","June","July","August","September","October","November","December"},0),1)</f>
        <v>45717</v>
      </c>
      <c r="K146" s="13">
        <f t="shared" si="13"/>
        <v>2702.84</v>
      </c>
      <c r="L146" s="13">
        <v>343.51131103934199</v>
      </c>
      <c r="M146" s="14">
        <f t="shared" si="14"/>
        <v>-1.6659879773803777E-2</v>
      </c>
    </row>
    <row r="147" spans="1:13" ht="15.5" x14ac:dyDescent="0.35">
      <c r="A147" s="8" t="s">
        <v>64</v>
      </c>
      <c r="B147" s="9" t="s">
        <v>60</v>
      </c>
      <c r="C147" s="9" t="s">
        <v>29</v>
      </c>
      <c r="D147" s="10">
        <v>221.74</v>
      </c>
      <c r="E147" s="9" t="s">
        <v>57</v>
      </c>
      <c r="F147" s="9" t="s">
        <v>26</v>
      </c>
      <c r="G147" s="9" t="str">
        <f t="shared" si="10"/>
        <v>Low Averg</v>
      </c>
      <c r="H147" s="11">
        <f t="shared" si="11"/>
        <v>249.29749999999999</v>
      </c>
      <c r="I147" s="9">
        <f t="shared" si="12"/>
        <v>32</v>
      </c>
      <c r="J147" s="12">
        <f>DATE(2025, MATCH(E147, {"January","February","March","April","May","June","July","August","September","October","November","December"},0),1)</f>
        <v>45839</v>
      </c>
      <c r="K147" s="13">
        <f t="shared" si="13"/>
        <v>7095.68</v>
      </c>
      <c r="L147" s="13">
        <v>343.57729884599502</v>
      </c>
      <c r="M147" s="14">
        <f t="shared" si="14"/>
        <v>-8.020756927934386E-2</v>
      </c>
    </row>
    <row r="148" spans="1:13" ht="15.5" x14ac:dyDescent="0.35">
      <c r="A148" s="8" t="s">
        <v>53</v>
      </c>
      <c r="B148" s="9" t="s">
        <v>54</v>
      </c>
      <c r="C148" s="9" t="s">
        <v>34</v>
      </c>
      <c r="D148" s="10">
        <v>700.59</v>
      </c>
      <c r="E148" s="9" t="s">
        <v>57</v>
      </c>
      <c r="F148" s="9" t="s">
        <v>30</v>
      </c>
      <c r="G148" s="9" t="str">
        <f t="shared" si="10"/>
        <v>Above Averg</v>
      </c>
      <c r="H148" s="11">
        <f t="shared" si="11"/>
        <v>810.77454545454566</v>
      </c>
      <c r="I148" s="9">
        <f t="shared" si="12"/>
        <v>33</v>
      </c>
      <c r="J148" s="12">
        <f>DATE(2025, MATCH(E148, {"January","February","March","April","May","June","July","August","September","October","November","December"},0),1)</f>
        <v>45839</v>
      </c>
      <c r="K148" s="13">
        <f t="shared" si="13"/>
        <v>23119.47</v>
      </c>
      <c r="L148" s="13">
        <v>343.72320291467599</v>
      </c>
      <c r="M148" s="14">
        <f t="shared" si="14"/>
        <v>-0.32056184895349427</v>
      </c>
    </row>
    <row r="149" spans="1:13" ht="15.5" x14ac:dyDescent="0.35">
      <c r="A149" s="8" t="s">
        <v>64</v>
      </c>
      <c r="B149" s="9" t="s">
        <v>60</v>
      </c>
      <c r="C149" s="9" t="s">
        <v>61</v>
      </c>
      <c r="D149" s="10">
        <v>257.39999999999998</v>
      </c>
      <c r="E149" s="9" t="s">
        <v>55</v>
      </c>
      <c r="F149" s="9" t="s">
        <v>36</v>
      </c>
      <c r="G149" s="9" t="str">
        <f t="shared" si="10"/>
        <v>Low Averg</v>
      </c>
      <c r="H149" s="11">
        <f t="shared" si="11"/>
        <v>249.29749999999999</v>
      </c>
      <c r="I149" s="9">
        <f t="shared" si="12"/>
        <v>32</v>
      </c>
      <c r="J149" s="12">
        <f>DATE(2025, MATCH(E149, {"January","February","March","April","May","June","July","August","September","October","November","December"},0),1)</f>
        <v>45962</v>
      </c>
      <c r="K149" s="13">
        <f t="shared" si="13"/>
        <v>8236.7999999999993</v>
      </c>
      <c r="L149" s="13">
        <v>343.73620064256301</v>
      </c>
      <c r="M149" s="14">
        <f t="shared" si="14"/>
        <v>2.35718553496943E-2</v>
      </c>
    </row>
    <row r="150" spans="1:13" ht="15.5" x14ac:dyDescent="0.35">
      <c r="A150" s="8" t="s">
        <v>33</v>
      </c>
      <c r="B150" s="9" t="s">
        <v>19</v>
      </c>
      <c r="C150" s="9" t="s">
        <v>45</v>
      </c>
      <c r="D150" s="10">
        <v>1202.58</v>
      </c>
      <c r="E150" s="9" t="s">
        <v>39</v>
      </c>
      <c r="F150" s="9" t="s">
        <v>36</v>
      </c>
      <c r="G150" s="9" t="str">
        <f t="shared" si="10"/>
        <v>Above Averg</v>
      </c>
      <c r="H150" s="11">
        <f t="shared" si="11"/>
        <v>1113.4854166666667</v>
      </c>
      <c r="I150" s="9">
        <f t="shared" si="12"/>
        <v>24</v>
      </c>
      <c r="J150" s="12">
        <f>DATE(2025, MATCH(E150, {"January","February","March","April","May","June","July","August","September","October","November","December"},0),1)</f>
        <v>45992</v>
      </c>
      <c r="K150" s="13">
        <f t="shared" si="13"/>
        <v>28861.919999999998</v>
      </c>
      <c r="L150" s="13">
        <v>343.896674040844</v>
      </c>
      <c r="M150" s="14">
        <f t="shared" si="14"/>
        <v>0.25907369875508501</v>
      </c>
    </row>
    <row r="151" spans="1:13" ht="15.5" x14ac:dyDescent="0.35">
      <c r="A151" s="8" t="s">
        <v>77</v>
      </c>
      <c r="B151" s="9" t="s">
        <v>14</v>
      </c>
      <c r="C151" s="9" t="s">
        <v>69</v>
      </c>
      <c r="D151" s="10">
        <v>229.35</v>
      </c>
      <c r="E151" s="9" t="s">
        <v>42</v>
      </c>
      <c r="F151" s="9" t="s">
        <v>36</v>
      </c>
      <c r="G151" s="9" t="str">
        <f t="shared" si="10"/>
        <v>Low Averg</v>
      </c>
      <c r="H151" s="11">
        <f t="shared" si="11"/>
        <v>226.49633333333335</v>
      </c>
      <c r="I151" s="9">
        <f t="shared" si="12"/>
        <v>30</v>
      </c>
      <c r="J151" s="12">
        <f>DATE(2025, MATCH(E151, {"January","February","March","April","May","June","July","August","September","October","November","December"},0),1)</f>
        <v>45658</v>
      </c>
      <c r="K151" s="13">
        <f t="shared" si="13"/>
        <v>6880.5</v>
      </c>
      <c r="L151" s="13">
        <v>343.01880775992601</v>
      </c>
      <c r="M151" s="14">
        <f t="shared" si="14"/>
        <v>8.3192717195375524E-3</v>
      </c>
    </row>
    <row r="152" spans="1:13" ht="15.5" x14ac:dyDescent="0.35">
      <c r="A152" s="8" t="s">
        <v>81</v>
      </c>
      <c r="B152" s="9" t="s">
        <v>28</v>
      </c>
      <c r="C152" s="9" t="s">
        <v>45</v>
      </c>
      <c r="D152" s="10">
        <v>151.88</v>
      </c>
      <c r="E152" s="9" t="s">
        <v>35</v>
      </c>
      <c r="F152" s="9" t="s">
        <v>30</v>
      </c>
      <c r="G152" s="9" t="str">
        <f t="shared" si="10"/>
        <v>Low Averg</v>
      </c>
      <c r="H152" s="11">
        <f t="shared" si="11"/>
        <v>140.29840000000002</v>
      </c>
      <c r="I152" s="9">
        <f t="shared" si="12"/>
        <v>25</v>
      </c>
      <c r="J152" s="12">
        <f>DATE(2025, MATCH(E152, {"January","February","March","April","May","June","July","August","September","October","November","December"},0),1)</f>
        <v>45778</v>
      </c>
      <c r="K152" s="13">
        <f t="shared" si="13"/>
        <v>3797</v>
      </c>
      <c r="L152" s="13">
        <v>343.16872722154102</v>
      </c>
      <c r="M152" s="14">
        <f t="shared" si="14"/>
        <v>3.37489959932252E-2</v>
      </c>
    </row>
    <row r="153" spans="1:13" ht="15.5" x14ac:dyDescent="0.35">
      <c r="A153" s="8" t="s">
        <v>73</v>
      </c>
      <c r="B153" s="9" t="s">
        <v>54</v>
      </c>
      <c r="C153" s="9" t="s">
        <v>20</v>
      </c>
      <c r="D153" s="10">
        <v>46.38</v>
      </c>
      <c r="E153" s="9" t="s">
        <v>39</v>
      </c>
      <c r="F153" s="9" t="s">
        <v>17</v>
      </c>
      <c r="G153" s="9" t="str">
        <f t="shared" si="10"/>
        <v>Low Averg</v>
      </c>
      <c r="H153" s="11">
        <f t="shared" si="11"/>
        <v>40.881379310344826</v>
      </c>
      <c r="I153" s="9">
        <f t="shared" si="12"/>
        <v>29</v>
      </c>
      <c r="J153" s="12">
        <f>DATE(2025, MATCH(E153, {"January","February","March","April","May","June","July","August","September","October","November","December"},0),1)</f>
        <v>45992</v>
      </c>
      <c r="K153" s="13">
        <f t="shared" si="13"/>
        <v>1345.02</v>
      </c>
      <c r="L153" s="13">
        <v>343.27664679182902</v>
      </c>
      <c r="M153" s="14">
        <f t="shared" si="14"/>
        <v>1.6018044749166023E-2</v>
      </c>
    </row>
    <row r="154" spans="1:13" ht="15.5" x14ac:dyDescent="0.35">
      <c r="A154" s="8" t="s">
        <v>13</v>
      </c>
      <c r="B154" s="9" t="s">
        <v>14</v>
      </c>
      <c r="C154" s="9" t="s">
        <v>69</v>
      </c>
      <c r="D154" s="10">
        <v>220.81</v>
      </c>
      <c r="E154" s="9" t="s">
        <v>25</v>
      </c>
      <c r="F154" s="9" t="s">
        <v>26</v>
      </c>
      <c r="G154" s="9" t="str">
        <f t="shared" si="10"/>
        <v>Low Averg</v>
      </c>
      <c r="H154" s="11">
        <f t="shared" si="11"/>
        <v>206.78702702702708</v>
      </c>
      <c r="I154" s="9">
        <f t="shared" si="12"/>
        <v>37</v>
      </c>
      <c r="J154" s="12">
        <f>DATE(2025, MATCH(E154, {"January","February","March","April","May","June","July","August","September","October","November","December"},0),1)</f>
        <v>45931</v>
      </c>
      <c r="K154" s="13">
        <f t="shared" si="13"/>
        <v>8169.97</v>
      </c>
      <c r="L154" s="13">
        <v>343.297503043576</v>
      </c>
      <c r="M154" s="14">
        <f t="shared" si="14"/>
        <v>4.0847873487716381E-2</v>
      </c>
    </row>
    <row r="155" spans="1:13" ht="15.5" x14ac:dyDescent="0.35">
      <c r="A155" s="8" t="s">
        <v>33</v>
      </c>
      <c r="B155" s="9" t="s">
        <v>19</v>
      </c>
      <c r="C155" s="9" t="s">
        <v>69</v>
      </c>
      <c r="D155" s="10">
        <v>1030.25</v>
      </c>
      <c r="E155" s="9" t="s">
        <v>63</v>
      </c>
      <c r="F155" s="9" t="s">
        <v>36</v>
      </c>
      <c r="G155" s="9" t="str">
        <f t="shared" si="10"/>
        <v>Above Averg</v>
      </c>
      <c r="H155" s="11">
        <f t="shared" si="11"/>
        <v>1113.4854166666667</v>
      </c>
      <c r="I155" s="9">
        <f t="shared" si="12"/>
        <v>24</v>
      </c>
      <c r="J155" s="12">
        <f>DATE(2025, MATCH(E155, {"January","February","March","April","May","June","July","August","September","October","November","December"},0),1)</f>
        <v>45717</v>
      </c>
      <c r="K155" s="13">
        <f t="shared" si="13"/>
        <v>24726</v>
      </c>
      <c r="L155" s="13">
        <v>343.443989379909</v>
      </c>
      <c r="M155" s="14">
        <f t="shared" si="14"/>
        <v>-0.24235514156747623</v>
      </c>
    </row>
    <row r="156" spans="1:13" ht="15.5" x14ac:dyDescent="0.35">
      <c r="A156" s="8" t="s">
        <v>13</v>
      </c>
      <c r="B156" s="9" t="s">
        <v>14</v>
      </c>
      <c r="C156" s="9" t="s">
        <v>15</v>
      </c>
      <c r="D156" s="10">
        <v>221.43</v>
      </c>
      <c r="E156" s="9" t="s">
        <v>55</v>
      </c>
      <c r="F156" s="9" t="s">
        <v>26</v>
      </c>
      <c r="G156" s="9" t="str">
        <f t="shared" si="10"/>
        <v>Low Averg</v>
      </c>
      <c r="H156" s="11">
        <f t="shared" si="11"/>
        <v>206.78702702702708</v>
      </c>
      <c r="I156" s="9">
        <f t="shared" si="12"/>
        <v>37</v>
      </c>
      <c r="J156" s="12">
        <f>DATE(2025, MATCH(E156, {"January","February","March","April","May","June","July","August","September","October","November","December"},0),1)</f>
        <v>45962</v>
      </c>
      <c r="K156" s="13">
        <f t="shared" si="13"/>
        <v>8192.91</v>
      </c>
      <c r="L156" s="13">
        <v>342.95514032661998</v>
      </c>
      <c r="M156" s="14">
        <f t="shared" si="14"/>
        <v>4.269646741269837E-2</v>
      </c>
    </row>
    <row r="157" spans="1:13" ht="15.5" x14ac:dyDescent="0.35">
      <c r="A157" s="8" t="s">
        <v>56</v>
      </c>
      <c r="B157" s="9" t="s">
        <v>19</v>
      </c>
      <c r="C157" s="9" t="s">
        <v>15</v>
      </c>
      <c r="D157" s="10">
        <v>535.87</v>
      </c>
      <c r="E157" s="9" t="s">
        <v>25</v>
      </c>
      <c r="F157" s="9" t="s">
        <v>36</v>
      </c>
      <c r="G157" s="9" t="str">
        <f t="shared" si="10"/>
        <v>Above Averg</v>
      </c>
      <c r="H157" s="11">
        <f t="shared" si="11"/>
        <v>533.4588235294118</v>
      </c>
      <c r="I157" s="9">
        <f t="shared" si="12"/>
        <v>34</v>
      </c>
      <c r="J157" s="12">
        <f>DATE(2025, MATCH(E157, {"January","February","March","April","May","June","July","August","September","October","November","December"},0),1)</f>
        <v>45931</v>
      </c>
      <c r="K157" s="13">
        <f t="shared" si="13"/>
        <v>18219.580000000002</v>
      </c>
      <c r="L157" s="13">
        <v>343.10224725881602</v>
      </c>
      <c r="M157" s="14">
        <f t="shared" si="14"/>
        <v>7.0275741119508132E-3</v>
      </c>
    </row>
    <row r="158" spans="1:13" ht="15.5" x14ac:dyDescent="0.35">
      <c r="A158" s="8" t="s">
        <v>53</v>
      </c>
      <c r="B158" s="9" t="s">
        <v>54</v>
      </c>
      <c r="C158" s="9" t="s">
        <v>49</v>
      </c>
      <c r="D158" s="10">
        <v>724.1</v>
      </c>
      <c r="E158" s="9" t="s">
        <v>57</v>
      </c>
      <c r="F158" s="9" t="s">
        <v>40</v>
      </c>
      <c r="G158" s="9" t="str">
        <f t="shared" si="10"/>
        <v>Above Averg</v>
      </c>
      <c r="H158" s="11">
        <f t="shared" si="11"/>
        <v>810.77454545454566</v>
      </c>
      <c r="I158" s="9">
        <f t="shared" si="12"/>
        <v>33</v>
      </c>
      <c r="J158" s="12">
        <f>DATE(2025, MATCH(E158, {"January","February","March","April","May","June","July","August","September","October","November","December"},0),1)</f>
        <v>45839</v>
      </c>
      <c r="K158" s="13">
        <f t="shared" si="13"/>
        <v>23895.3</v>
      </c>
      <c r="L158" s="13">
        <v>343.24016169648399</v>
      </c>
      <c r="M158" s="14">
        <f t="shared" si="14"/>
        <v>-0.25251865931466694</v>
      </c>
    </row>
    <row r="159" spans="1:13" ht="15.5" x14ac:dyDescent="0.35">
      <c r="A159" s="8" t="s">
        <v>56</v>
      </c>
      <c r="B159" s="9" t="s">
        <v>19</v>
      </c>
      <c r="C159" s="9" t="s">
        <v>24</v>
      </c>
      <c r="D159" s="10">
        <v>559.20000000000005</v>
      </c>
      <c r="E159" s="9" t="s">
        <v>55</v>
      </c>
      <c r="F159" s="9" t="s">
        <v>30</v>
      </c>
      <c r="G159" s="9" t="str">
        <f t="shared" si="10"/>
        <v>Above Averg</v>
      </c>
      <c r="H159" s="11">
        <f t="shared" si="11"/>
        <v>533.4588235294118</v>
      </c>
      <c r="I159" s="9">
        <f t="shared" si="12"/>
        <v>34</v>
      </c>
      <c r="J159" s="12">
        <f>DATE(2025, MATCH(E159, {"January","February","March","April","May","June","July","August","September","October","November","December"},0),1)</f>
        <v>45962</v>
      </c>
      <c r="K159" s="13">
        <f t="shared" si="13"/>
        <v>19012.800000000003</v>
      </c>
      <c r="L159" s="13">
        <v>343.22698904583302</v>
      </c>
      <c r="M159" s="14">
        <f t="shared" si="14"/>
        <v>7.4997530183009239E-2</v>
      </c>
    </row>
    <row r="160" spans="1:13" ht="15.5" x14ac:dyDescent="0.35">
      <c r="A160" s="8" t="s">
        <v>67</v>
      </c>
      <c r="B160" s="9" t="s">
        <v>23</v>
      </c>
      <c r="C160" s="9" t="s">
        <v>49</v>
      </c>
      <c r="D160" s="10">
        <v>208.12</v>
      </c>
      <c r="E160" s="9" t="s">
        <v>21</v>
      </c>
      <c r="F160" s="9" t="s">
        <v>30</v>
      </c>
      <c r="G160" s="9" t="str">
        <f t="shared" si="10"/>
        <v>Low Averg</v>
      </c>
      <c r="H160" s="11">
        <f t="shared" si="11"/>
        <v>226.566129032258</v>
      </c>
      <c r="I160" s="9">
        <f t="shared" si="12"/>
        <v>31</v>
      </c>
      <c r="J160" s="12">
        <f>DATE(2025, MATCH(E160, {"January","February","March","April","May","June","July","August","September","October","November","December"},0),1)</f>
        <v>45748</v>
      </c>
      <c r="K160" s="13">
        <f t="shared" si="13"/>
        <v>6451.72</v>
      </c>
      <c r="L160" s="13">
        <v>343.35212685189799</v>
      </c>
      <c r="M160" s="14">
        <f t="shared" si="14"/>
        <v>-5.3723648667580788E-2</v>
      </c>
    </row>
    <row r="161" spans="1:13" ht="15.5" x14ac:dyDescent="0.35">
      <c r="A161" s="8" t="s">
        <v>66</v>
      </c>
      <c r="B161" s="9" t="s">
        <v>32</v>
      </c>
      <c r="C161" s="9" t="s">
        <v>49</v>
      </c>
      <c r="D161" s="10">
        <v>120.45</v>
      </c>
      <c r="E161" s="9" t="s">
        <v>57</v>
      </c>
      <c r="F161" s="9" t="s">
        <v>17</v>
      </c>
      <c r="G161" s="9" t="str">
        <f t="shared" si="10"/>
        <v>Low Averg</v>
      </c>
      <c r="H161" s="11">
        <f t="shared" si="11"/>
        <v>141.74161290322584</v>
      </c>
      <c r="I161" s="9">
        <f t="shared" si="12"/>
        <v>31</v>
      </c>
      <c r="J161" s="12">
        <f>DATE(2025, MATCH(E161, {"January","February","March","April","May","June","July","August","September","October","November","December"},0),1)</f>
        <v>45839</v>
      </c>
      <c r="K161" s="13">
        <f t="shared" si="13"/>
        <v>3733.9500000000003</v>
      </c>
      <c r="L161" s="13">
        <v>343.49408312422401</v>
      </c>
      <c r="M161" s="14">
        <f t="shared" si="14"/>
        <v>-6.1985384754140775E-2</v>
      </c>
    </row>
    <row r="162" spans="1:13" ht="15.5" x14ac:dyDescent="0.35">
      <c r="A162" s="8" t="s">
        <v>53</v>
      </c>
      <c r="B162" s="9" t="s">
        <v>54</v>
      </c>
      <c r="C162" s="9" t="s">
        <v>24</v>
      </c>
      <c r="D162" s="10">
        <v>865.28</v>
      </c>
      <c r="E162" s="9" t="s">
        <v>62</v>
      </c>
      <c r="F162" s="9" t="s">
        <v>36</v>
      </c>
      <c r="G162" s="9" t="str">
        <f t="shared" si="10"/>
        <v>Above Averg</v>
      </c>
      <c r="H162" s="11">
        <f t="shared" si="11"/>
        <v>810.77454545454566</v>
      </c>
      <c r="I162" s="9">
        <f t="shared" si="12"/>
        <v>33</v>
      </c>
      <c r="J162" s="12">
        <f>DATE(2025, MATCH(E162, {"January","February","March","April","May","June","July","August","September","October","November","December"},0),1)</f>
        <v>45689</v>
      </c>
      <c r="K162" s="13">
        <f t="shared" si="13"/>
        <v>28554.239999999998</v>
      </c>
      <c r="L162" s="13">
        <v>343.58103680434999</v>
      </c>
      <c r="M162" s="14">
        <f t="shared" si="14"/>
        <v>0.15863929817666886</v>
      </c>
    </row>
    <row r="163" spans="1:13" ht="15.5" x14ac:dyDescent="0.35">
      <c r="A163" s="8" t="s">
        <v>50</v>
      </c>
      <c r="B163" s="9" t="s">
        <v>32</v>
      </c>
      <c r="C163" s="9" t="s">
        <v>69</v>
      </c>
      <c r="D163" s="10">
        <v>85.04</v>
      </c>
      <c r="E163" s="9" t="s">
        <v>57</v>
      </c>
      <c r="F163" s="9" t="s">
        <v>30</v>
      </c>
      <c r="G163" s="9" t="str">
        <f t="shared" si="10"/>
        <v>Low Averg</v>
      </c>
      <c r="H163" s="11">
        <f t="shared" si="11"/>
        <v>81.934666666666672</v>
      </c>
      <c r="I163" s="9">
        <f t="shared" si="12"/>
        <v>30</v>
      </c>
      <c r="J163" s="12">
        <f>DATE(2025, MATCH(E163, {"January","February","March","April","May","June","July","August","September","October","November","December"},0),1)</f>
        <v>45839</v>
      </c>
      <c r="K163" s="13">
        <f t="shared" si="13"/>
        <v>2551.2000000000003</v>
      </c>
      <c r="L163" s="13">
        <v>343.38231452801</v>
      </c>
      <c r="M163" s="14">
        <f t="shared" si="14"/>
        <v>9.0433700337820676E-3</v>
      </c>
    </row>
    <row r="164" spans="1:13" ht="15.5" x14ac:dyDescent="0.35">
      <c r="A164" s="8" t="s">
        <v>27</v>
      </c>
      <c r="B164" s="9" t="s">
        <v>28</v>
      </c>
      <c r="C164" s="9" t="s">
        <v>43</v>
      </c>
      <c r="D164" s="10">
        <v>134.29</v>
      </c>
      <c r="E164" s="9" t="s">
        <v>39</v>
      </c>
      <c r="F164" s="9" t="s">
        <v>40</v>
      </c>
      <c r="G164" s="9" t="str">
        <f t="shared" si="10"/>
        <v>Low Averg</v>
      </c>
      <c r="H164" s="11">
        <f t="shared" si="11"/>
        <v>113.26108695652174</v>
      </c>
      <c r="I164" s="9">
        <f t="shared" si="12"/>
        <v>46</v>
      </c>
      <c r="J164" s="12">
        <f>DATE(2025, MATCH(E164, {"January","February","March","April","May","June","July","August","September","October","November","December"},0),1)</f>
        <v>45992</v>
      </c>
      <c r="K164" s="13">
        <f t="shared" si="13"/>
        <v>6177.3399999999992</v>
      </c>
      <c r="L164" s="13">
        <v>343.440520737513</v>
      </c>
      <c r="M164" s="14">
        <f t="shared" si="14"/>
        <v>6.1230145465422152E-2</v>
      </c>
    </row>
    <row r="165" spans="1:13" ht="15.5" x14ac:dyDescent="0.35">
      <c r="A165" s="8" t="s">
        <v>67</v>
      </c>
      <c r="B165" s="9" t="s">
        <v>23</v>
      </c>
      <c r="C165" s="9" t="s">
        <v>49</v>
      </c>
      <c r="D165" s="10">
        <v>216.18</v>
      </c>
      <c r="E165" s="9" t="s">
        <v>25</v>
      </c>
      <c r="F165" s="9" t="s">
        <v>36</v>
      </c>
      <c r="G165" s="9" t="str">
        <f t="shared" si="10"/>
        <v>Low Averg</v>
      </c>
      <c r="H165" s="11">
        <f t="shared" si="11"/>
        <v>226.566129032258</v>
      </c>
      <c r="I165" s="9">
        <f t="shared" si="12"/>
        <v>31</v>
      </c>
      <c r="J165" s="12">
        <f>DATE(2025, MATCH(E165, {"January","February","March","April","May","June","July","August","September","October","November","December"},0),1)</f>
        <v>45931</v>
      </c>
      <c r="K165" s="13">
        <f t="shared" si="13"/>
        <v>6701.58</v>
      </c>
      <c r="L165" s="13">
        <v>343.53799945084199</v>
      </c>
      <c r="M165" s="14">
        <f t="shared" si="14"/>
        <v>-3.0232839013036705E-2</v>
      </c>
    </row>
    <row r="166" spans="1:13" ht="15.5" x14ac:dyDescent="0.35">
      <c r="A166" s="8" t="s">
        <v>64</v>
      </c>
      <c r="B166" s="9" t="s">
        <v>60</v>
      </c>
      <c r="C166" s="9" t="s">
        <v>61</v>
      </c>
      <c r="D166" s="10">
        <v>221.55</v>
      </c>
      <c r="E166" s="9" t="s">
        <v>42</v>
      </c>
      <c r="F166" s="9" t="s">
        <v>30</v>
      </c>
      <c r="G166" s="9" t="str">
        <f t="shared" si="10"/>
        <v>Low Averg</v>
      </c>
      <c r="H166" s="11">
        <f t="shared" si="11"/>
        <v>249.29749999999999</v>
      </c>
      <c r="I166" s="9">
        <f t="shared" si="12"/>
        <v>32</v>
      </c>
      <c r="J166" s="12">
        <f>DATE(2025, MATCH(E166, {"January","February","March","April","May","June","July","August","September","October","November","December"},0),1)</f>
        <v>45658</v>
      </c>
      <c r="K166" s="13">
        <f t="shared" si="13"/>
        <v>7089.6</v>
      </c>
      <c r="L166" s="13">
        <v>343.684509352482</v>
      </c>
      <c r="M166" s="14">
        <f t="shared" si="14"/>
        <v>-8.0735381563392508E-2</v>
      </c>
    </row>
    <row r="167" spans="1:13" ht="15.5" x14ac:dyDescent="0.35">
      <c r="A167" s="8" t="s">
        <v>50</v>
      </c>
      <c r="B167" s="9" t="s">
        <v>32</v>
      </c>
      <c r="C167" s="9" t="s">
        <v>61</v>
      </c>
      <c r="D167" s="10">
        <v>83.36</v>
      </c>
      <c r="E167" s="9" t="s">
        <v>39</v>
      </c>
      <c r="F167" s="9" t="s">
        <v>36</v>
      </c>
      <c r="G167" s="9" t="str">
        <f t="shared" si="10"/>
        <v>Low Averg</v>
      </c>
      <c r="H167" s="11">
        <f t="shared" si="11"/>
        <v>81.934666666666672</v>
      </c>
      <c r="I167" s="9">
        <f t="shared" si="12"/>
        <v>30</v>
      </c>
      <c r="J167" s="12">
        <f>DATE(2025, MATCH(E167, {"January","February","March","April","May","June","July","August","September","October","November","December"},0),1)</f>
        <v>45992</v>
      </c>
      <c r="K167" s="13">
        <f t="shared" si="13"/>
        <v>2500.8000000000002</v>
      </c>
      <c r="L167" s="13">
        <v>343.83368594715802</v>
      </c>
      <c r="M167" s="14">
        <f t="shared" si="14"/>
        <v>4.14541504101602E-3</v>
      </c>
    </row>
    <row r="168" spans="1:13" ht="15.5" x14ac:dyDescent="0.35">
      <c r="A168" s="8" t="s">
        <v>18</v>
      </c>
      <c r="B168" s="9" t="s">
        <v>19</v>
      </c>
      <c r="C168" s="9" t="s">
        <v>45</v>
      </c>
      <c r="D168" s="10">
        <v>935.09</v>
      </c>
      <c r="E168" s="9" t="s">
        <v>62</v>
      </c>
      <c r="F168" s="9" t="s">
        <v>30</v>
      </c>
      <c r="G168" s="9" t="str">
        <f t="shared" si="10"/>
        <v>Above Averg</v>
      </c>
      <c r="H168" s="11">
        <f t="shared" si="11"/>
        <v>920.12567567567555</v>
      </c>
      <c r="I168" s="9">
        <f t="shared" si="12"/>
        <v>37</v>
      </c>
      <c r="J168" s="12">
        <f>DATE(2025, MATCH(E168, {"January","February","March","April","May","June","July","August","September","October","November","December"},0),1)</f>
        <v>45689</v>
      </c>
      <c r="K168" s="13">
        <f t="shared" si="13"/>
        <v>34598.33</v>
      </c>
      <c r="L168" s="13">
        <v>343.890298394811</v>
      </c>
      <c r="M168" s="14">
        <f t="shared" si="14"/>
        <v>4.3514819679921157E-2</v>
      </c>
    </row>
    <row r="169" spans="1:13" ht="15.5" x14ac:dyDescent="0.35">
      <c r="A169" s="8" t="s">
        <v>41</v>
      </c>
      <c r="B169" s="9" t="s">
        <v>32</v>
      </c>
      <c r="C169" s="9" t="s">
        <v>45</v>
      </c>
      <c r="D169" s="10">
        <v>77.430000000000007</v>
      </c>
      <c r="E169" s="9" t="s">
        <v>55</v>
      </c>
      <c r="F169" s="9" t="s">
        <v>36</v>
      </c>
      <c r="G169" s="9" t="str">
        <f t="shared" si="10"/>
        <v>Low Averg</v>
      </c>
      <c r="H169" s="11">
        <f t="shared" si="11"/>
        <v>70.278611111111118</v>
      </c>
      <c r="I169" s="9">
        <f t="shared" si="12"/>
        <v>36</v>
      </c>
      <c r="J169" s="12">
        <f>DATE(2025, MATCH(E169, {"January","February","March","April","May","June","July","August","September","October","November","December"},0),1)</f>
        <v>45962</v>
      </c>
      <c r="K169" s="13">
        <f t="shared" si="13"/>
        <v>2787.4800000000005</v>
      </c>
      <c r="L169" s="13">
        <v>343.57669940374001</v>
      </c>
      <c r="M169" s="14">
        <f t="shared" si="14"/>
        <v>2.0814533992845739E-2</v>
      </c>
    </row>
    <row r="170" spans="1:13" ht="15.5" x14ac:dyDescent="0.35">
      <c r="A170" s="8" t="s">
        <v>22</v>
      </c>
      <c r="B170" s="9" t="s">
        <v>23</v>
      </c>
      <c r="C170" s="9" t="s">
        <v>20</v>
      </c>
      <c r="D170" s="10">
        <v>239.33</v>
      </c>
      <c r="E170" s="9" t="s">
        <v>21</v>
      </c>
      <c r="F170" s="9" t="s">
        <v>40</v>
      </c>
      <c r="G170" s="9" t="str">
        <f t="shared" si="10"/>
        <v>Low Averg</v>
      </c>
      <c r="H170" s="11">
        <f t="shared" si="11"/>
        <v>257.40029411764709</v>
      </c>
      <c r="I170" s="9">
        <f t="shared" si="12"/>
        <v>34</v>
      </c>
      <c r="J170" s="12">
        <f>DATE(2025, MATCH(E170, {"January","February","March","April","May","June","July","August","September","October","November","December"},0),1)</f>
        <v>45748</v>
      </c>
      <c r="K170" s="13">
        <f t="shared" si="13"/>
        <v>8137.22</v>
      </c>
      <c r="L170" s="13">
        <v>343.628150630383</v>
      </c>
      <c r="M170" s="14">
        <f t="shared" si="14"/>
        <v>-5.2586768821172754E-2</v>
      </c>
    </row>
    <row r="171" spans="1:13" ht="15.5" x14ac:dyDescent="0.35">
      <c r="A171" s="8" t="s">
        <v>53</v>
      </c>
      <c r="B171" s="9" t="s">
        <v>54</v>
      </c>
      <c r="C171" s="9" t="s">
        <v>43</v>
      </c>
      <c r="D171" s="10">
        <v>851.76</v>
      </c>
      <c r="E171" s="9" t="s">
        <v>42</v>
      </c>
      <c r="F171" s="9" t="s">
        <v>36</v>
      </c>
      <c r="G171" s="9" t="str">
        <f t="shared" si="10"/>
        <v>Above Averg</v>
      </c>
      <c r="H171" s="11">
        <f t="shared" si="11"/>
        <v>810.77454545454566</v>
      </c>
      <c r="I171" s="9">
        <f t="shared" si="12"/>
        <v>33</v>
      </c>
      <c r="J171" s="12">
        <f>DATE(2025, MATCH(E171, {"January","February","March","April","May","June","July","August","September","October","November","December"},0),1)</f>
        <v>45658</v>
      </c>
      <c r="K171" s="13">
        <f t="shared" si="13"/>
        <v>28108.079999999998</v>
      </c>
      <c r="L171" s="13">
        <v>343.78551527785902</v>
      </c>
      <c r="M171" s="14">
        <f t="shared" si="14"/>
        <v>0.11921809594662099</v>
      </c>
    </row>
    <row r="172" spans="1:13" ht="15.5" x14ac:dyDescent="0.35">
      <c r="A172" s="8" t="s">
        <v>79</v>
      </c>
      <c r="B172" s="9" t="s">
        <v>32</v>
      </c>
      <c r="C172" s="9" t="s">
        <v>15</v>
      </c>
      <c r="D172" s="10">
        <v>78.37</v>
      </c>
      <c r="E172" s="9" t="s">
        <v>46</v>
      </c>
      <c r="F172" s="9" t="s">
        <v>30</v>
      </c>
      <c r="G172" s="9" t="str">
        <f t="shared" si="10"/>
        <v>Low Averg</v>
      </c>
      <c r="H172" s="11">
        <f t="shared" si="11"/>
        <v>90.269599999999997</v>
      </c>
      <c r="I172" s="9">
        <f t="shared" si="12"/>
        <v>25</v>
      </c>
      <c r="J172" s="12">
        <f>DATE(2025, MATCH(E172, {"January","February","March","April","May","June","July","August","September","October","November","December"},0),1)</f>
        <v>45870</v>
      </c>
      <c r="K172" s="13">
        <f t="shared" si="13"/>
        <v>1959.25</v>
      </c>
      <c r="L172" s="13">
        <v>343.60659118830199</v>
      </c>
      <c r="M172" s="14">
        <f t="shared" si="14"/>
        <v>-3.4631466057875523E-2</v>
      </c>
    </row>
    <row r="173" spans="1:13" ht="15.5" x14ac:dyDescent="0.35">
      <c r="A173" s="8" t="s">
        <v>83</v>
      </c>
      <c r="B173" s="9" t="s">
        <v>23</v>
      </c>
      <c r="C173" s="9" t="s">
        <v>20</v>
      </c>
      <c r="D173" s="10">
        <v>145.5</v>
      </c>
      <c r="E173" s="9" t="s">
        <v>72</v>
      </c>
      <c r="F173" s="9" t="s">
        <v>36</v>
      </c>
      <c r="G173" s="9" t="str">
        <f t="shared" si="10"/>
        <v>Low Averg</v>
      </c>
      <c r="H173" s="11">
        <f t="shared" si="11"/>
        <v>132.90272727272728</v>
      </c>
      <c r="I173" s="9">
        <f t="shared" si="12"/>
        <v>22</v>
      </c>
      <c r="J173" s="12">
        <f>DATE(2025, MATCH(E173, {"January","February","March","April","May","June","July","August","September","October","November","December"},0),1)</f>
        <v>45901</v>
      </c>
      <c r="K173" s="13">
        <f t="shared" si="13"/>
        <v>3201</v>
      </c>
      <c r="L173" s="13">
        <v>343.659147627339</v>
      </c>
      <c r="M173" s="14">
        <f t="shared" si="14"/>
        <v>3.6656299750045057E-2</v>
      </c>
    </row>
    <row r="174" spans="1:13" ht="15.5" x14ac:dyDescent="0.35">
      <c r="A174" s="8" t="s">
        <v>74</v>
      </c>
      <c r="B174" s="9" t="s">
        <v>38</v>
      </c>
      <c r="C174" s="9" t="s">
        <v>61</v>
      </c>
      <c r="D174" s="10">
        <v>346.17</v>
      </c>
      <c r="E174" s="9" t="s">
        <v>21</v>
      </c>
      <c r="F174" s="9" t="s">
        <v>40</v>
      </c>
      <c r="G174" s="9" t="str">
        <f t="shared" si="10"/>
        <v>Low Averg</v>
      </c>
      <c r="H174" s="11">
        <f t="shared" si="11"/>
        <v>368.73933333333326</v>
      </c>
      <c r="I174" s="9">
        <f t="shared" si="12"/>
        <v>30</v>
      </c>
      <c r="J174" s="12">
        <f>DATE(2025, MATCH(E174, {"January","February","March","April","May","June","July","August","September","October","November","December"},0),1)</f>
        <v>45748</v>
      </c>
      <c r="K174" s="13">
        <f t="shared" si="13"/>
        <v>10385.1</v>
      </c>
      <c r="L174" s="13">
        <v>343.765376359968</v>
      </c>
      <c r="M174" s="14">
        <f t="shared" si="14"/>
        <v>-6.5653305671191736E-2</v>
      </c>
    </row>
    <row r="175" spans="1:13" ht="15.5" x14ac:dyDescent="0.35">
      <c r="A175" s="8" t="s">
        <v>83</v>
      </c>
      <c r="B175" s="9" t="s">
        <v>23</v>
      </c>
      <c r="C175" s="9" t="s">
        <v>20</v>
      </c>
      <c r="D175" s="10">
        <v>145.81</v>
      </c>
      <c r="E175" s="9" t="s">
        <v>25</v>
      </c>
      <c r="F175" s="9" t="s">
        <v>36</v>
      </c>
      <c r="G175" s="9" t="str">
        <f t="shared" si="10"/>
        <v>Low Averg</v>
      </c>
      <c r="H175" s="11">
        <f t="shared" si="11"/>
        <v>132.90272727272728</v>
      </c>
      <c r="I175" s="9">
        <f t="shared" si="12"/>
        <v>22</v>
      </c>
      <c r="J175" s="12">
        <f>DATE(2025, MATCH(E175, {"January","February","March","April","May","June","July","August","September","October","November","December"},0),1)</f>
        <v>45931</v>
      </c>
      <c r="K175" s="13">
        <f t="shared" si="13"/>
        <v>3207.82</v>
      </c>
      <c r="L175" s="13">
        <v>343.94892516670802</v>
      </c>
      <c r="M175" s="14">
        <f t="shared" si="14"/>
        <v>3.752671336599387E-2</v>
      </c>
    </row>
    <row r="176" spans="1:13" ht="15.5" x14ac:dyDescent="0.35">
      <c r="A176" s="8" t="s">
        <v>27</v>
      </c>
      <c r="B176" s="9" t="s">
        <v>28</v>
      </c>
      <c r="C176" s="9" t="s">
        <v>45</v>
      </c>
      <c r="D176" s="10">
        <v>106.41</v>
      </c>
      <c r="E176" s="9" t="s">
        <v>62</v>
      </c>
      <c r="F176" s="9" t="s">
        <v>26</v>
      </c>
      <c r="G176" s="9" t="str">
        <f t="shared" si="10"/>
        <v>Low Averg</v>
      </c>
      <c r="H176" s="11">
        <f t="shared" si="11"/>
        <v>113.26108695652174</v>
      </c>
      <c r="I176" s="9">
        <f t="shared" si="12"/>
        <v>46</v>
      </c>
      <c r="J176" s="12">
        <f>DATE(2025, MATCH(E176, {"January","February","March","April","May","June","July","August","September","October","November","December"},0),1)</f>
        <v>45689</v>
      </c>
      <c r="K176" s="13">
        <f t="shared" si="13"/>
        <v>4894.8599999999997</v>
      </c>
      <c r="L176" s="13">
        <v>344.05563547489902</v>
      </c>
      <c r="M176" s="14">
        <f t="shared" si="14"/>
        <v>-1.9912729948646835E-2</v>
      </c>
    </row>
    <row r="177" spans="1:13" ht="15.5" x14ac:dyDescent="0.35">
      <c r="A177" s="8" t="s">
        <v>70</v>
      </c>
      <c r="B177" s="9" t="s">
        <v>71</v>
      </c>
      <c r="C177" s="9" t="s">
        <v>61</v>
      </c>
      <c r="D177" s="10">
        <v>907.96</v>
      </c>
      <c r="E177" s="9" t="s">
        <v>25</v>
      </c>
      <c r="F177" s="9" t="s">
        <v>40</v>
      </c>
      <c r="G177" s="9" t="str">
        <f t="shared" si="10"/>
        <v>Above Averg</v>
      </c>
      <c r="H177" s="11">
        <f t="shared" si="11"/>
        <v>911.5772916666665</v>
      </c>
      <c r="I177" s="9">
        <f t="shared" si="12"/>
        <v>48</v>
      </c>
      <c r="J177" s="12">
        <f>DATE(2025, MATCH(E177, {"January","February","March","April","May","June","July","August","September","October","November","December"},0),1)</f>
        <v>45931</v>
      </c>
      <c r="K177" s="13">
        <f t="shared" si="13"/>
        <v>43582.080000000002</v>
      </c>
      <c r="L177" s="13">
        <v>344.13238962695499</v>
      </c>
      <c r="M177" s="14">
        <f t="shared" si="14"/>
        <v>-1.0511337426237799E-2</v>
      </c>
    </row>
    <row r="178" spans="1:13" ht="15.5" x14ac:dyDescent="0.35">
      <c r="A178" s="8" t="s">
        <v>58</v>
      </c>
      <c r="B178" s="9" t="s">
        <v>23</v>
      </c>
      <c r="C178" s="9" t="s">
        <v>49</v>
      </c>
      <c r="D178" s="10">
        <v>120.99</v>
      </c>
      <c r="E178" s="9" t="s">
        <v>55</v>
      </c>
      <c r="F178" s="9" t="s">
        <v>40</v>
      </c>
      <c r="G178" s="9" t="str">
        <f t="shared" si="10"/>
        <v>Low Averg</v>
      </c>
      <c r="H178" s="11">
        <f t="shared" si="11"/>
        <v>121.60903225806452</v>
      </c>
      <c r="I178" s="9">
        <f t="shared" si="12"/>
        <v>31</v>
      </c>
      <c r="J178" s="12">
        <f>DATE(2025, MATCH(E178, {"January","February","March","April","May","June","July","August","September","October","November","December"},0),1)</f>
        <v>45962</v>
      </c>
      <c r="K178" s="13">
        <f t="shared" si="13"/>
        <v>3750.69</v>
      </c>
      <c r="L178" s="13">
        <v>343.86390490263398</v>
      </c>
      <c r="M178" s="14">
        <f t="shared" si="14"/>
        <v>-1.8002245924584677E-3</v>
      </c>
    </row>
    <row r="179" spans="1:13" ht="15.5" x14ac:dyDescent="0.35">
      <c r="A179" s="8" t="s">
        <v>59</v>
      </c>
      <c r="B179" s="9" t="s">
        <v>60</v>
      </c>
      <c r="C179" s="9" t="s">
        <v>49</v>
      </c>
      <c r="D179" s="10">
        <v>196.14</v>
      </c>
      <c r="E179" s="9" t="s">
        <v>57</v>
      </c>
      <c r="F179" s="9" t="s">
        <v>36</v>
      </c>
      <c r="G179" s="9" t="str">
        <f t="shared" si="10"/>
        <v>Low Averg</v>
      </c>
      <c r="H179" s="11">
        <f t="shared" si="11"/>
        <v>203.25225806451613</v>
      </c>
      <c r="I179" s="9">
        <f t="shared" si="12"/>
        <v>31</v>
      </c>
      <c r="J179" s="12">
        <f>DATE(2025, MATCH(E179, {"January","February","March","April","May","June","July","August","September","October","November","December"},0),1)</f>
        <v>45839</v>
      </c>
      <c r="K179" s="13">
        <f t="shared" si="13"/>
        <v>6080.3399999999992</v>
      </c>
      <c r="L179" s="13">
        <v>343.95258499471902</v>
      </c>
      <c r="M179" s="14">
        <f t="shared" si="14"/>
        <v>-2.0678018932828609E-2</v>
      </c>
    </row>
    <row r="180" spans="1:13" ht="15.5" x14ac:dyDescent="0.35">
      <c r="A180" s="8" t="s">
        <v>65</v>
      </c>
      <c r="B180" s="9" t="s">
        <v>23</v>
      </c>
      <c r="C180" s="9" t="s">
        <v>61</v>
      </c>
      <c r="D180" s="10">
        <v>168.18</v>
      </c>
      <c r="E180" s="9" t="s">
        <v>16</v>
      </c>
      <c r="F180" s="9" t="s">
        <v>17</v>
      </c>
      <c r="G180" s="9" t="str">
        <f t="shared" si="10"/>
        <v>Low Averg</v>
      </c>
      <c r="H180" s="11">
        <f t="shared" si="11"/>
        <v>151.26457142857143</v>
      </c>
      <c r="I180" s="9">
        <f t="shared" si="12"/>
        <v>35</v>
      </c>
      <c r="J180" s="12">
        <f>DATE(2025, MATCH(E180, {"January","February","March","April","May","June","July","August","September","October","November","December"},0),1)</f>
        <v>45809</v>
      </c>
      <c r="K180" s="13">
        <f t="shared" si="13"/>
        <v>5886.3</v>
      </c>
      <c r="L180" s="13">
        <v>344.09095384554098</v>
      </c>
      <c r="M180" s="14">
        <f t="shared" si="14"/>
        <v>4.9159759599555604E-2</v>
      </c>
    </row>
    <row r="181" spans="1:13" ht="15.5" x14ac:dyDescent="0.35">
      <c r="A181" s="8" t="s">
        <v>58</v>
      </c>
      <c r="B181" s="9" t="s">
        <v>23</v>
      </c>
      <c r="C181" s="9" t="s">
        <v>34</v>
      </c>
      <c r="D181" s="10">
        <v>121.71</v>
      </c>
      <c r="E181" s="9" t="s">
        <v>72</v>
      </c>
      <c r="F181" s="9" t="s">
        <v>26</v>
      </c>
      <c r="G181" s="9" t="str">
        <f t="shared" si="10"/>
        <v>Low Averg</v>
      </c>
      <c r="H181" s="11">
        <f t="shared" si="11"/>
        <v>121.60903225806452</v>
      </c>
      <c r="I181" s="9">
        <f t="shared" si="12"/>
        <v>31</v>
      </c>
      <c r="J181" s="12">
        <f>DATE(2025, MATCH(E181, {"January","February","March","April","May","June","July","August","September","October","November","December"},0),1)</f>
        <v>45901</v>
      </c>
      <c r="K181" s="13">
        <f t="shared" si="13"/>
        <v>3773.0099999999998</v>
      </c>
      <c r="L181" s="13">
        <v>344.21300611572701</v>
      </c>
      <c r="M181" s="14">
        <f t="shared" si="14"/>
        <v>2.9332924712766718E-4</v>
      </c>
    </row>
    <row r="182" spans="1:13" ht="15.5" x14ac:dyDescent="0.35">
      <c r="A182" s="8" t="s">
        <v>82</v>
      </c>
      <c r="B182" s="9" t="s">
        <v>14</v>
      </c>
      <c r="C182" s="9" t="s">
        <v>24</v>
      </c>
      <c r="D182" s="10">
        <v>847.14</v>
      </c>
      <c r="E182" s="9" t="s">
        <v>57</v>
      </c>
      <c r="F182" s="9" t="s">
        <v>30</v>
      </c>
      <c r="G182" s="9" t="str">
        <f t="shared" si="10"/>
        <v>Above Averg</v>
      </c>
      <c r="H182" s="11">
        <f t="shared" si="11"/>
        <v>905.6025925925926</v>
      </c>
      <c r="I182" s="9">
        <f t="shared" si="12"/>
        <v>27</v>
      </c>
      <c r="J182" s="12">
        <f>DATE(2025, MATCH(E182, {"January","February","March","April","May","June","July","August","September","October","November","December"},0),1)</f>
        <v>45839</v>
      </c>
      <c r="K182" s="13">
        <f t="shared" si="13"/>
        <v>22872.78</v>
      </c>
      <c r="L182" s="13">
        <v>344.30229852304802</v>
      </c>
      <c r="M182" s="14">
        <f t="shared" si="14"/>
        <v>-0.16980018095545493</v>
      </c>
    </row>
    <row r="183" spans="1:13" ht="15.5" x14ac:dyDescent="0.35">
      <c r="A183" s="8" t="s">
        <v>51</v>
      </c>
      <c r="B183" s="9" t="s">
        <v>28</v>
      </c>
      <c r="C183" s="9" t="s">
        <v>43</v>
      </c>
      <c r="D183" s="10">
        <v>121.65</v>
      </c>
      <c r="E183" s="9" t="s">
        <v>57</v>
      </c>
      <c r="F183" s="9" t="s">
        <v>26</v>
      </c>
      <c r="G183" s="9" t="str">
        <f t="shared" si="10"/>
        <v>Low Averg</v>
      </c>
      <c r="H183" s="11">
        <f t="shared" si="11"/>
        <v>122.0377142857143</v>
      </c>
      <c r="I183" s="9">
        <f t="shared" si="12"/>
        <v>35</v>
      </c>
      <c r="J183" s="12">
        <f>DATE(2025, MATCH(E183, {"January","February","March","April","May","June","July","August","September","October","November","December"},0),1)</f>
        <v>45839</v>
      </c>
      <c r="K183" s="13">
        <f t="shared" si="13"/>
        <v>4257.75</v>
      </c>
      <c r="L183" s="13">
        <v>344.130471457189</v>
      </c>
      <c r="M183" s="14">
        <f t="shared" si="14"/>
        <v>-1.1266490993156026E-3</v>
      </c>
    </row>
    <row r="184" spans="1:13" ht="15.5" x14ac:dyDescent="0.35">
      <c r="A184" s="8" t="s">
        <v>80</v>
      </c>
      <c r="B184" s="9" t="s">
        <v>19</v>
      </c>
      <c r="C184" s="9" t="s">
        <v>61</v>
      </c>
      <c r="D184" s="10">
        <v>785.94</v>
      </c>
      <c r="E184" s="9" t="s">
        <v>35</v>
      </c>
      <c r="F184" s="9" t="s">
        <v>36</v>
      </c>
      <c r="G184" s="9" t="str">
        <f t="shared" si="10"/>
        <v>Above Averg</v>
      </c>
      <c r="H184" s="11">
        <f t="shared" si="11"/>
        <v>720.27689655172423</v>
      </c>
      <c r="I184" s="9">
        <f t="shared" si="12"/>
        <v>29</v>
      </c>
      <c r="J184" s="12">
        <f>DATE(2025, MATCH(E184, {"January","February","March","April","May","June","July","August","September","October","November","December"},0),1)</f>
        <v>45778</v>
      </c>
      <c r="K184" s="13">
        <f t="shared" si="13"/>
        <v>22792.260000000002</v>
      </c>
      <c r="L184" s="13">
        <v>344.22003592412699</v>
      </c>
      <c r="M184" s="14">
        <f t="shared" si="14"/>
        <v>0.19075909765679441</v>
      </c>
    </row>
    <row r="185" spans="1:13" ht="15.5" x14ac:dyDescent="0.35">
      <c r="A185" s="8" t="s">
        <v>70</v>
      </c>
      <c r="B185" s="9" t="s">
        <v>71</v>
      </c>
      <c r="C185" s="9" t="s">
        <v>24</v>
      </c>
      <c r="D185" s="10">
        <v>938.46</v>
      </c>
      <c r="E185" s="9" t="s">
        <v>57</v>
      </c>
      <c r="F185" s="9" t="s">
        <v>30</v>
      </c>
      <c r="G185" s="9" t="str">
        <f t="shared" si="10"/>
        <v>Above Averg</v>
      </c>
      <c r="H185" s="11">
        <f t="shared" si="11"/>
        <v>911.5772916666665</v>
      </c>
      <c r="I185" s="9">
        <f t="shared" si="12"/>
        <v>48</v>
      </c>
      <c r="J185" s="12">
        <f>DATE(2025, MATCH(E185, {"January","February","March","April","May","June","July","August","September","October","November","December"},0),1)</f>
        <v>45839</v>
      </c>
      <c r="K185" s="13">
        <f t="shared" si="13"/>
        <v>45046.080000000002</v>
      </c>
      <c r="L185" s="13">
        <v>344.13360103830098</v>
      </c>
      <c r="M185" s="14">
        <f t="shared" si="14"/>
        <v>7.8117069220281041E-2</v>
      </c>
    </row>
    <row r="186" spans="1:13" ht="15.5" x14ac:dyDescent="0.35">
      <c r="A186" s="8" t="s">
        <v>79</v>
      </c>
      <c r="B186" s="9" t="s">
        <v>32</v>
      </c>
      <c r="C186" s="9" t="s">
        <v>34</v>
      </c>
      <c r="D186" s="10">
        <v>90.37</v>
      </c>
      <c r="E186" s="9" t="s">
        <v>55</v>
      </c>
      <c r="F186" s="9" t="s">
        <v>40</v>
      </c>
      <c r="G186" s="9" t="str">
        <f t="shared" si="10"/>
        <v>Low Averg</v>
      </c>
      <c r="H186" s="11">
        <f t="shared" si="11"/>
        <v>90.269599999999997</v>
      </c>
      <c r="I186" s="9">
        <f t="shared" si="12"/>
        <v>25</v>
      </c>
      <c r="J186" s="12">
        <f>DATE(2025, MATCH(E186, {"January","February","March","April","May","June","July","August","September","October","November","December"},0),1)</f>
        <v>45962</v>
      </c>
      <c r="K186" s="13">
        <f t="shared" si="13"/>
        <v>2259.25</v>
      </c>
      <c r="L186" s="13">
        <v>343.80880526416098</v>
      </c>
      <c r="M186" s="14">
        <f t="shared" si="14"/>
        <v>2.920227709783831E-4</v>
      </c>
    </row>
    <row r="187" spans="1:13" ht="15.5" x14ac:dyDescent="0.35">
      <c r="A187" s="8" t="s">
        <v>13</v>
      </c>
      <c r="B187" s="9" t="s">
        <v>14</v>
      </c>
      <c r="C187" s="9" t="s">
        <v>43</v>
      </c>
      <c r="D187" s="10">
        <v>215.64</v>
      </c>
      <c r="E187" s="9" t="s">
        <v>72</v>
      </c>
      <c r="F187" s="9" t="s">
        <v>36</v>
      </c>
      <c r="G187" s="9" t="str">
        <f t="shared" si="10"/>
        <v>Low Averg</v>
      </c>
      <c r="H187" s="11">
        <f t="shared" si="11"/>
        <v>206.78702702702708</v>
      </c>
      <c r="I187" s="9">
        <f t="shared" si="12"/>
        <v>37</v>
      </c>
      <c r="J187" s="12">
        <f>DATE(2025, MATCH(E187, {"January","February","March","April","May","June","July","August","September","October","November","December"},0),1)</f>
        <v>45901</v>
      </c>
      <c r="K187" s="13">
        <f t="shared" si="13"/>
        <v>7978.6799999999994</v>
      </c>
      <c r="L187" s="13">
        <v>343.873016690253</v>
      </c>
      <c r="M187" s="14">
        <f t="shared" si="14"/>
        <v>2.5744889954384845E-2</v>
      </c>
    </row>
    <row r="188" spans="1:13" ht="15.5" x14ac:dyDescent="0.35">
      <c r="A188" s="8" t="s">
        <v>13</v>
      </c>
      <c r="B188" s="9" t="s">
        <v>14</v>
      </c>
      <c r="C188" s="9" t="s">
        <v>61</v>
      </c>
      <c r="D188" s="10">
        <v>211.99</v>
      </c>
      <c r="E188" s="9" t="s">
        <v>46</v>
      </c>
      <c r="F188" s="9" t="s">
        <v>30</v>
      </c>
      <c r="G188" s="9" t="str">
        <f t="shared" si="10"/>
        <v>Low Averg</v>
      </c>
      <c r="H188" s="11">
        <f t="shared" si="11"/>
        <v>206.78702702702708</v>
      </c>
      <c r="I188" s="9">
        <f t="shared" si="12"/>
        <v>37</v>
      </c>
      <c r="J188" s="12">
        <f>DATE(2025, MATCH(E188, {"January","February","March","April","May","June","July","August","September","October","November","December"},0),1)</f>
        <v>45870</v>
      </c>
      <c r="K188" s="13">
        <f t="shared" si="13"/>
        <v>7843.63</v>
      </c>
      <c r="L188" s="13">
        <v>344.02279690556003</v>
      </c>
      <c r="M188" s="14">
        <f t="shared" si="14"/>
        <v>1.5123919169813715E-2</v>
      </c>
    </row>
    <row r="189" spans="1:13" ht="15.5" x14ac:dyDescent="0.35">
      <c r="A189" s="8" t="s">
        <v>77</v>
      </c>
      <c r="B189" s="9" t="s">
        <v>14</v>
      </c>
      <c r="C189" s="9" t="s">
        <v>15</v>
      </c>
      <c r="D189" s="10">
        <v>204.67</v>
      </c>
      <c r="E189" s="9" t="s">
        <v>25</v>
      </c>
      <c r="F189" s="9" t="s">
        <v>26</v>
      </c>
      <c r="G189" s="9" t="str">
        <f t="shared" si="10"/>
        <v>Low Averg</v>
      </c>
      <c r="H189" s="11">
        <f t="shared" si="11"/>
        <v>226.49633333333335</v>
      </c>
      <c r="I189" s="9">
        <f t="shared" si="12"/>
        <v>30</v>
      </c>
      <c r="J189" s="12">
        <f>DATE(2025, MATCH(E189, {"January","February","March","April","May","June","July","August","September","October","November","December"},0),1)</f>
        <v>45931</v>
      </c>
      <c r="K189" s="13">
        <f t="shared" si="13"/>
        <v>6140.0999999999995</v>
      </c>
      <c r="L189" s="13">
        <v>344.17095963537201</v>
      </c>
      <c r="M189" s="14">
        <f t="shared" si="14"/>
        <v>-6.341712664094909E-2</v>
      </c>
    </row>
    <row r="190" spans="1:13" ht="15.5" x14ac:dyDescent="0.35">
      <c r="A190" s="8" t="s">
        <v>41</v>
      </c>
      <c r="B190" s="9" t="s">
        <v>32</v>
      </c>
      <c r="C190" s="9" t="s">
        <v>15</v>
      </c>
      <c r="D190" s="10">
        <v>63.23</v>
      </c>
      <c r="E190" s="9" t="s">
        <v>72</v>
      </c>
      <c r="F190" s="9" t="s">
        <v>17</v>
      </c>
      <c r="G190" s="9" t="str">
        <f t="shared" si="10"/>
        <v>Low Averg</v>
      </c>
      <c r="H190" s="11">
        <f t="shared" si="11"/>
        <v>70.278611111111118</v>
      </c>
      <c r="I190" s="9">
        <f t="shared" si="12"/>
        <v>36</v>
      </c>
      <c r="J190" s="12">
        <f>DATE(2025, MATCH(E190, {"January","February","March","April","May","June","July","August","September","October","November","December"},0),1)</f>
        <v>45901</v>
      </c>
      <c r="K190" s="13">
        <f t="shared" si="13"/>
        <v>2276.2799999999997</v>
      </c>
      <c r="L190" s="13">
        <v>344.31555810964898</v>
      </c>
      <c r="M190" s="14">
        <f t="shared" si="14"/>
        <v>-2.0471369780120294E-2</v>
      </c>
    </row>
    <row r="191" spans="1:13" ht="15.5" x14ac:dyDescent="0.35">
      <c r="A191" s="8" t="s">
        <v>27</v>
      </c>
      <c r="B191" s="9" t="s">
        <v>28</v>
      </c>
      <c r="C191" s="9" t="s">
        <v>45</v>
      </c>
      <c r="D191" s="10">
        <v>106.65</v>
      </c>
      <c r="E191" s="9" t="s">
        <v>57</v>
      </c>
      <c r="F191" s="9" t="s">
        <v>36</v>
      </c>
      <c r="G191" s="9" t="str">
        <f t="shared" si="10"/>
        <v>Low Averg</v>
      </c>
      <c r="H191" s="11">
        <f t="shared" si="11"/>
        <v>113.26108695652174</v>
      </c>
      <c r="I191" s="9">
        <f t="shared" si="12"/>
        <v>46</v>
      </c>
      <c r="J191" s="12">
        <f>DATE(2025, MATCH(E191, {"January","February","March","April","May","June","July","August","September","October","November","December"},0),1)</f>
        <v>45839</v>
      </c>
      <c r="K191" s="13">
        <f t="shared" si="13"/>
        <v>4905.9000000000005</v>
      </c>
      <c r="L191" s="13">
        <v>344.35456508106</v>
      </c>
      <c r="M191" s="14">
        <f t="shared" si="14"/>
        <v>-1.9198487915981315E-2</v>
      </c>
    </row>
    <row r="192" spans="1:13" ht="15.5" x14ac:dyDescent="0.35">
      <c r="A192" s="8" t="s">
        <v>67</v>
      </c>
      <c r="B192" s="9" t="s">
        <v>23</v>
      </c>
      <c r="C192" s="9" t="s">
        <v>61</v>
      </c>
      <c r="D192" s="10">
        <v>226.09</v>
      </c>
      <c r="E192" s="9" t="s">
        <v>62</v>
      </c>
      <c r="F192" s="9" t="s">
        <v>40</v>
      </c>
      <c r="G192" s="9" t="str">
        <f t="shared" si="10"/>
        <v>Low Averg</v>
      </c>
      <c r="H192" s="11">
        <f t="shared" si="11"/>
        <v>226.566129032258</v>
      </c>
      <c r="I192" s="9">
        <f t="shared" si="12"/>
        <v>31</v>
      </c>
      <c r="J192" s="12">
        <f>DATE(2025, MATCH(E192, {"January","February","March","April","May","June","July","August","September","October","November","December"},0),1)</f>
        <v>45689</v>
      </c>
      <c r="K192" s="13">
        <f t="shared" si="13"/>
        <v>7008.79</v>
      </c>
      <c r="L192" s="13">
        <v>344.43263294787403</v>
      </c>
      <c r="M192" s="14">
        <f t="shared" si="14"/>
        <v>-1.3823574966837062E-3</v>
      </c>
    </row>
    <row r="193" spans="1:13" ht="15.5" x14ac:dyDescent="0.35">
      <c r="A193" s="8" t="s">
        <v>82</v>
      </c>
      <c r="B193" s="9" t="s">
        <v>14</v>
      </c>
      <c r="C193" s="9" t="s">
        <v>49</v>
      </c>
      <c r="D193" s="10">
        <v>852.38</v>
      </c>
      <c r="E193" s="9" t="s">
        <v>63</v>
      </c>
      <c r="F193" s="9" t="s">
        <v>30</v>
      </c>
      <c r="G193" s="9" t="str">
        <f t="shared" si="10"/>
        <v>Above Averg</v>
      </c>
      <c r="H193" s="11">
        <f t="shared" si="11"/>
        <v>905.6025925925926</v>
      </c>
      <c r="I193" s="9">
        <f t="shared" si="12"/>
        <v>27</v>
      </c>
      <c r="J193" s="12">
        <f>DATE(2025, MATCH(E193, {"January","February","March","April","May","June","July","August","September","October","November","December"},0),1)</f>
        <v>45717</v>
      </c>
      <c r="K193" s="13">
        <f t="shared" si="13"/>
        <v>23014.26</v>
      </c>
      <c r="L193" s="13">
        <v>344.58800174509901</v>
      </c>
      <c r="M193" s="14">
        <f t="shared" si="14"/>
        <v>-0.15445283156423648</v>
      </c>
    </row>
    <row r="194" spans="1:13" ht="15.5" x14ac:dyDescent="0.35">
      <c r="A194" s="8" t="s">
        <v>68</v>
      </c>
      <c r="B194" s="9" t="s">
        <v>28</v>
      </c>
      <c r="C194" s="9" t="s">
        <v>29</v>
      </c>
      <c r="D194" s="10">
        <v>110.49</v>
      </c>
      <c r="E194" s="9" t="s">
        <v>57</v>
      </c>
      <c r="F194" s="9" t="s">
        <v>26</v>
      </c>
      <c r="G194" s="9" t="str">
        <f t="shared" si="10"/>
        <v>Low Averg</v>
      </c>
      <c r="H194" s="11">
        <f t="shared" si="11"/>
        <v>102.25285714285715</v>
      </c>
      <c r="I194" s="9">
        <f t="shared" si="12"/>
        <v>28</v>
      </c>
      <c r="J194" s="12">
        <f>DATE(2025, MATCH(E194, {"January","February","March","April","May","June","July","August","September","October","November","December"},0),1)</f>
        <v>45839</v>
      </c>
      <c r="K194" s="13">
        <f t="shared" si="13"/>
        <v>3093.72</v>
      </c>
      <c r="L194" s="13">
        <v>344.40698835860098</v>
      </c>
      <c r="M194" s="14">
        <f t="shared" si="14"/>
        <v>2.3916886519637699E-2</v>
      </c>
    </row>
    <row r="195" spans="1:13" ht="15.5" x14ac:dyDescent="0.35">
      <c r="A195" s="8" t="s">
        <v>64</v>
      </c>
      <c r="B195" s="9" t="s">
        <v>60</v>
      </c>
      <c r="C195" s="9" t="s">
        <v>15</v>
      </c>
      <c r="D195" s="10">
        <v>226.48</v>
      </c>
      <c r="E195" s="9" t="s">
        <v>72</v>
      </c>
      <c r="F195" s="9" t="s">
        <v>30</v>
      </c>
      <c r="G195" s="9" t="str">
        <f t="shared" si="10"/>
        <v>Low Averg</v>
      </c>
      <c r="H195" s="11">
        <f t="shared" si="11"/>
        <v>249.29749999999999</v>
      </c>
      <c r="I195" s="9">
        <f t="shared" si="12"/>
        <v>32</v>
      </c>
      <c r="J195" s="12">
        <f>DATE(2025, MATCH(E195, {"January","February","March","April","May","June","July","August","September","October","November","December"},0),1)</f>
        <v>45901</v>
      </c>
      <c r="K195" s="13">
        <f t="shared" si="13"/>
        <v>7247.36</v>
      </c>
      <c r="L195" s="13">
        <v>344.48862401831798</v>
      </c>
      <c r="M195" s="14">
        <f t="shared" si="14"/>
        <v>-6.6235859210220793E-2</v>
      </c>
    </row>
    <row r="196" spans="1:13" ht="15.5" x14ac:dyDescent="0.35">
      <c r="A196" s="8" t="s">
        <v>52</v>
      </c>
      <c r="B196" s="9" t="s">
        <v>32</v>
      </c>
      <c r="C196" s="9" t="s">
        <v>20</v>
      </c>
      <c r="D196" s="10">
        <v>64.099999999999994</v>
      </c>
      <c r="E196" s="9" t="s">
        <v>63</v>
      </c>
      <c r="F196" s="9" t="s">
        <v>40</v>
      </c>
      <c r="G196" s="9" t="str">
        <f t="shared" si="10"/>
        <v>Low Averg</v>
      </c>
      <c r="H196" s="11">
        <f t="shared" si="11"/>
        <v>62.182121212121217</v>
      </c>
      <c r="I196" s="9">
        <f t="shared" si="12"/>
        <v>33</v>
      </c>
      <c r="J196" s="12">
        <f>DATE(2025, MATCH(E196, {"January","February","March","April","May","June","July","August","September","October","November","December"},0),1)</f>
        <v>45717</v>
      </c>
      <c r="K196" s="13">
        <f t="shared" si="13"/>
        <v>2115.2999999999997</v>
      </c>
      <c r="L196" s="13">
        <v>344.64475860617603</v>
      </c>
      <c r="M196" s="14">
        <f t="shared" si="14"/>
        <v>5.5647989414814476E-3</v>
      </c>
    </row>
    <row r="197" spans="1:13" ht="15.5" x14ac:dyDescent="0.35">
      <c r="A197" s="8" t="s">
        <v>44</v>
      </c>
      <c r="B197" s="9" t="s">
        <v>23</v>
      </c>
      <c r="C197" s="9" t="s">
        <v>15</v>
      </c>
      <c r="D197" s="10">
        <v>205.84</v>
      </c>
      <c r="E197" s="9" t="s">
        <v>63</v>
      </c>
      <c r="F197" s="9" t="s">
        <v>26</v>
      </c>
      <c r="G197" s="9" t="str">
        <f t="shared" si="10"/>
        <v>Low Averg</v>
      </c>
      <c r="H197" s="11">
        <f t="shared" si="11"/>
        <v>206.14838709677423</v>
      </c>
      <c r="I197" s="9">
        <f t="shared" si="12"/>
        <v>31</v>
      </c>
      <c r="J197" s="12">
        <f>DATE(2025, MATCH(E197, {"January","February","March","April","May","June","July","August","September","October","November","December"},0),1)</f>
        <v>45717</v>
      </c>
      <c r="K197" s="13">
        <f t="shared" si="13"/>
        <v>6381.04</v>
      </c>
      <c r="L197" s="13">
        <v>344.68451863699698</v>
      </c>
      <c r="M197" s="14">
        <f t="shared" si="14"/>
        <v>-8.9469378547576213E-4</v>
      </c>
    </row>
    <row r="198" spans="1:13" ht="15.5" x14ac:dyDescent="0.35">
      <c r="A198" s="8" t="s">
        <v>48</v>
      </c>
      <c r="B198" s="9" t="s">
        <v>19</v>
      </c>
      <c r="C198" s="9" t="s">
        <v>69</v>
      </c>
      <c r="D198" s="10">
        <v>1304.0899999999999</v>
      </c>
      <c r="E198" s="9" t="s">
        <v>42</v>
      </c>
      <c r="F198" s="9" t="s">
        <v>36</v>
      </c>
      <c r="G198" s="9" t="str">
        <f t="shared" si="10"/>
        <v>Above Averg</v>
      </c>
      <c r="H198" s="11">
        <f t="shared" si="11"/>
        <v>1235.856</v>
      </c>
      <c r="I198" s="9">
        <f t="shared" si="12"/>
        <v>25</v>
      </c>
      <c r="J198" s="12">
        <f>DATE(2025, MATCH(E198, {"January","February","March","April","May","June","July","August","September","October","November","December"},0),1)</f>
        <v>45658</v>
      </c>
      <c r="K198" s="13">
        <f t="shared" si="13"/>
        <v>32602.249999999996</v>
      </c>
      <c r="L198" s="13">
        <v>344.830715775008</v>
      </c>
      <c r="M198" s="14">
        <f t="shared" si="14"/>
        <v>0.19787680412008488</v>
      </c>
    </row>
    <row r="199" spans="1:13" ht="15.5" x14ac:dyDescent="0.35">
      <c r="A199" s="8" t="s">
        <v>13</v>
      </c>
      <c r="B199" s="9" t="s">
        <v>14</v>
      </c>
      <c r="C199" s="9" t="s">
        <v>43</v>
      </c>
      <c r="D199" s="10">
        <v>210.52</v>
      </c>
      <c r="E199" s="9" t="s">
        <v>16</v>
      </c>
      <c r="F199" s="9" t="s">
        <v>30</v>
      </c>
      <c r="G199" s="9" t="str">
        <f t="shared" si="10"/>
        <v>Low Averg</v>
      </c>
      <c r="H199" s="11">
        <f t="shared" si="11"/>
        <v>206.78702702702708</v>
      </c>
      <c r="I199" s="9">
        <f t="shared" si="12"/>
        <v>37</v>
      </c>
      <c r="J199" s="12">
        <f>DATE(2025, MATCH(E199, {"January","February","March","April","May","June","July","August","September","October","November","December"},0),1)</f>
        <v>45809</v>
      </c>
      <c r="K199" s="13">
        <f t="shared" si="13"/>
        <v>7789.2400000000007</v>
      </c>
      <c r="L199" s="13">
        <v>343.62595808065902</v>
      </c>
      <c r="M199" s="14">
        <f t="shared" si="14"/>
        <v>1.0863477817053314E-2</v>
      </c>
    </row>
    <row r="200" spans="1:13" ht="15.5" x14ac:dyDescent="0.35">
      <c r="A200" s="8" t="s">
        <v>80</v>
      </c>
      <c r="B200" s="9" t="s">
        <v>19</v>
      </c>
      <c r="C200" s="9" t="s">
        <v>49</v>
      </c>
      <c r="D200" s="10">
        <v>754.34</v>
      </c>
      <c r="E200" s="9" t="s">
        <v>55</v>
      </c>
      <c r="F200" s="9" t="s">
        <v>36</v>
      </c>
      <c r="G200" s="9" t="str">
        <f t="shared" ref="G200:G263" si="15">IF(D200&gt;AVERAGE(D:D),"Above Averg","Low Averg")</f>
        <v>Above Averg</v>
      </c>
      <c r="H200" s="11">
        <f t="shared" ref="H200:H263" si="16">AVERAGEIF(A:A,A200,D:D)</f>
        <v>720.27689655172423</v>
      </c>
      <c r="I200" s="9">
        <f t="shared" ref="I200:I263" si="17">COUNTIF(A:A,A200)</f>
        <v>29</v>
      </c>
      <c r="J200" s="12">
        <f>DATE(2025, MATCH(E200, {"January","February","March","April","May","June","July","August","September","October","November","December"},0),1)</f>
        <v>45962</v>
      </c>
      <c r="K200" s="13">
        <f t="shared" ref="K200:K263" si="18">1*(D200*I200)</f>
        <v>21875.86</v>
      </c>
      <c r="L200" s="13">
        <v>343.77463421825502</v>
      </c>
      <c r="M200" s="14">
        <f t="shared" ref="M200:M263" si="19">(D200-H200)/L200</f>
        <v>9.9085563790171541E-2</v>
      </c>
    </row>
    <row r="201" spans="1:13" ht="15.5" x14ac:dyDescent="0.35">
      <c r="A201" s="8" t="s">
        <v>52</v>
      </c>
      <c r="B201" s="9" t="s">
        <v>32</v>
      </c>
      <c r="C201" s="9" t="s">
        <v>15</v>
      </c>
      <c r="D201" s="10">
        <v>52.81</v>
      </c>
      <c r="E201" s="9" t="s">
        <v>25</v>
      </c>
      <c r="F201" s="9" t="s">
        <v>30</v>
      </c>
      <c r="G201" s="9" t="str">
        <f t="shared" si="15"/>
        <v>Low Averg</v>
      </c>
      <c r="H201" s="11">
        <f t="shared" si="16"/>
        <v>62.182121212121217</v>
      </c>
      <c r="I201" s="9">
        <f t="shared" si="17"/>
        <v>33</v>
      </c>
      <c r="J201" s="12">
        <f>DATE(2025, MATCH(E201, {"January","February","March","April","May","June","July","August","September","October","November","December"},0),1)</f>
        <v>45931</v>
      </c>
      <c r="K201" s="13">
        <f t="shared" si="18"/>
        <v>1742.73</v>
      </c>
      <c r="L201" s="13">
        <v>343.726866179372</v>
      </c>
      <c r="M201" s="14">
        <f t="shared" si="19"/>
        <v>-2.7266187587531854E-2</v>
      </c>
    </row>
    <row r="202" spans="1:13" ht="15.5" x14ac:dyDescent="0.35">
      <c r="A202" s="8" t="s">
        <v>22</v>
      </c>
      <c r="B202" s="9" t="s">
        <v>23</v>
      </c>
      <c r="C202" s="9" t="s">
        <v>45</v>
      </c>
      <c r="D202" s="10">
        <v>284.04000000000002</v>
      </c>
      <c r="E202" s="9" t="s">
        <v>72</v>
      </c>
      <c r="F202" s="9" t="s">
        <v>26</v>
      </c>
      <c r="G202" s="9" t="str">
        <f t="shared" si="15"/>
        <v>Low Averg</v>
      </c>
      <c r="H202" s="11">
        <f t="shared" si="16"/>
        <v>257.40029411764709</v>
      </c>
      <c r="I202" s="9">
        <f t="shared" si="17"/>
        <v>34</v>
      </c>
      <c r="J202" s="12">
        <f>DATE(2025, MATCH(E202, {"January","February","March","April","May","June","July","August","September","October","November","December"},0),1)</f>
        <v>45901</v>
      </c>
      <c r="K202" s="13">
        <f t="shared" si="18"/>
        <v>9657.36</v>
      </c>
      <c r="L202" s="13">
        <v>343.755381620067</v>
      </c>
      <c r="M202" s="14">
        <f t="shared" si="19"/>
        <v>7.7496112953356636E-2</v>
      </c>
    </row>
    <row r="203" spans="1:13" ht="15.5" x14ac:dyDescent="0.35">
      <c r="A203" s="8" t="s">
        <v>31</v>
      </c>
      <c r="B203" s="9" t="s">
        <v>32</v>
      </c>
      <c r="C203" s="9" t="s">
        <v>43</v>
      </c>
      <c r="D203" s="10">
        <v>126.74</v>
      </c>
      <c r="E203" s="9" t="s">
        <v>16</v>
      </c>
      <c r="F203" s="9" t="s">
        <v>17</v>
      </c>
      <c r="G203" s="9" t="str">
        <f t="shared" si="15"/>
        <v>Low Averg</v>
      </c>
      <c r="H203" s="11">
        <f t="shared" si="16"/>
        <v>123.43305555555558</v>
      </c>
      <c r="I203" s="9">
        <f t="shared" si="17"/>
        <v>36</v>
      </c>
      <c r="J203" s="12">
        <f>DATE(2025, MATCH(E203, {"January","February","March","April","May","June","July","August","September","October","November","December"},0),1)</f>
        <v>45809</v>
      </c>
      <c r="K203" s="13">
        <f t="shared" si="18"/>
        <v>4562.6399999999994</v>
      </c>
      <c r="L203" s="13">
        <v>343.933603622276</v>
      </c>
      <c r="M203" s="14">
        <f t="shared" si="19"/>
        <v>9.6150664244958536E-3</v>
      </c>
    </row>
    <row r="204" spans="1:13" ht="15.5" x14ac:dyDescent="0.35">
      <c r="A204" s="8" t="s">
        <v>27</v>
      </c>
      <c r="B204" s="9" t="s">
        <v>28</v>
      </c>
      <c r="C204" s="9" t="s">
        <v>20</v>
      </c>
      <c r="D204" s="10">
        <v>125.69</v>
      </c>
      <c r="E204" s="9" t="s">
        <v>25</v>
      </c>
      <c r="F204" s="9" t="s">
        <v>36</v>
      </c>
      <c r="G204" s="9" t="str">
        <f t="shared" si="15"/>
        <v>Low Averg</v>
      </c>
      <c r="H204" s="11">
        <f t="shared" si="16"/>
        <v>113.26108695652174</v>
      </c>
      <c r="I204" s="9">
        <f t="shared" si="17"/>
        <v>46</v>
      </c>
      <c r="J204" s="12">
        <f>DATE(2025, MATCH(E204, {"January","February","March","April","May","June","July","August","September","October","November","December"},0),1)</f>
        <v>45931</v>
      </c>
      <c r="K204" s="13">
        <f t="shared" si="18"/>
        <v>5781.74</v>
      </c>
      <c r="L204" s="13">
        <v>344.02869547153603</v>
      </c>
      <c r="M204" s="14">
        <f t="shared" si="19"/>
        <v>3.6127547518798743E-2</v>
      </c>
    </row>
    <row r="205" spans="1:13" ht="15.5" x14ac:dyDescent="0.35">
      <c r="A205" s="8" t="s">
        <v>83</v>
      </c>
      <c r="B205" s="9" t="s">
        <v>23</v>
      </c>
      <c r="C205" s="9" t="s">
        <v>61</v>
      </c>
      <c r="D205" s="10">
        <v>125.19</v>
      </c>
      <c r="E205" s="9" t="s">
        <v>55</v>
      </c>
      <c r="F205" s="9" t="s">
        <v>26</v>
      </c>
      <c r="G205" s="9" t="str">
        <f t="shared" si="15"/>
        <v>Low Averg</v>
      </c>
      <c r="H205" s="11">
        <f t="shared" si="16"/>
        <v>132.90272727272728</v>
      </c>
      <c r="I205" s="9">
        <f t="shared" si="17"/>
        <v>22</v>
      </c>
      <c r="J205" s="12">
        <f>DATE(2025, MATCH(E205, {"January","February","March","April","May","June","July","August","September","October","November","December"},0),1)</f>
        <v>45962</v>
      </c>
      <c r="K205" s="13">
        <f t="shared" si="18"/>
        <v>2754.18</v>
      </c>
      <c r="L205" s="13">
        <v>344.12293422011601</v>
      </c>
      <c r="M205" s="14">
        <f t="shared" si="19"/>
        <v>-2.2412709255215994E-2</v>
      </c>
    </row>
    <row r="206" spans="1:13" ht="15.5" x14ac:dyDescent="0.35">
      <c r="A206" s="8" t="s">
        <v>76</v>
      </c>
      <c r="B206" s="9" t="s">
        <v>60</v>
      </c>
      <c r="C206" s="9" t="s">
        <v>61</v>
      </c>
      <c r="D206" s="10">
        <v>272.98</v>
      </c>
      <c r="E206" s="9" t="s">
        <v>21</v>
      </c>
      <c r="F206" s="9" t="s">
        <v>17</v>
      </c>
      <c r="G206" s="9" t="str">
        <f t="shared" si="15"/>
        <v>Low Averg</v>
      </c>
      <c r="H206" s="11">
        <f t="shared" si="16"/>
        <v>304.90820512820511</v>
      </c>
      <c r="I206" s="9">
        <f t="shared" si="17"/>
        <v>39</v>
      </c>
      <c r="J206" s="12">
        <f>DATE(2025, MATCH(E206, {"January","February","March","April","May","June","July","August","September","October","November","December"},0),1)</f>
        <v>45748</v>
      </c>
      <c r="K206" s="13">
        <f t="shared" si="18"/>
        <v>10646.220000000001</v>
      </c>
      <c r="L206" s="13">
        <v>344.21674678607502</v>
      </c>
      <c r="M206" s="14">
        <f t="shared" si="19"/>
        <v>-9.2756106221781071E-2</v>
      </c>
    </row>
    <row r="207" spans="1:13" ht="15.5" x14ac:dyDescent="0.35">
      <c r="A207" s="8" t="s">
        <v>73</v>
      </c>
      <c r="B207" s="9" t="s">
        <v>54</v>
      </c>
      <c r="C207" s="9" t="s">
        <v>24</v>
      </c>
      <c r="D207" s="10">
        <v>42.47</v>
      </c>
      <c r="E207" s="9" t="s">
        <v>55</v>
      </c>
      <c r="F207" s="9" t="s">
        <v>17</v>
      </c>
      <c r="G207" s="9" t="str">
        <f t="shared" si="15"/>
        <v>Low Averg</v>
      </c>
      <c r="H207" s="11">
        <f t="shared" si="16"/>
        <v>40.881379310344826</v>
      </c>
      <c r="I207" s="9">
        <f t="shared" si="17"/>
        <v>29</v>
      </c>
      <c r="J207" s="12">
        <f>DATE(2025, MATCH(E207, {"January","February","March","April","May","June","July","August","September","October","November","December"},0),1)</f>
        <v>45962</v>
      </c>
      <c r="K207" s="13">
        <f t="shared" si="18"/>
        <v>1231.6299999999999</v>
      </c>
      <c r="L207" s="13">
        <v>344.39248478443199</v>
      </c>
      <c r="M207" s="14">
        <f t="shared" si="19"/>
        <v>4.6128204297185785E-3</v>
      </c>
    </row>
    <row r="208" spans="1:13" ht="15.5" x14ac:dyDescent="0.35">
      <c r="A208" s="8" t="s">
        <v>64</v>
      </c>
      <c r="B208" s="9" t="s">
        <v>60</v>
      </c>
      <c r="C208" s="9" t="s">
        <v>20</v>
      </c>
      <c r="D208" s="10">
        <v>281.36</v>
      </c>
      <c r="E208" s="9" t="s">
        <v>46</v>
      </c>
      <c r="F208" s="9" t="s">
        <v>30</v>
      </c>
      <c r="G208" s="9" t="str">
        <f t="shared" si="15"/>
        <v>Low Averg</v>
      </c>
      <c r="H208" s="11">
        <f t="shared" si="16"/>
        <v>249.29749999999999</v>
      </c>
      <c r="I208" s="9">
        <f t="shared" si="17"/>
        <v>32</v>
      </c>
      <c r="J208" s="12">
        <f>DATE(2025, MATCH(E208, {"January","February","March","April","May","June","July","August","September","October","November","December"},0),1)</f>
        <v>45870</v>
      </c>
      <c r="K208" s="13">
        <f t="shared" si="18"/>
        <v>9003.52</v>
      </c>
      <c r="L208" s="13">
        <v>344.40966692422398</v>
      </c>
      <c r="M208" s="14">
        <f t="shared" si="19"/>
        <v>9.3094076848471055E-2</v>
      </c>
    </row>
    <row r="209" spans="1:13" ht="15.5" x14ac:dyDescent="0.35">
      <c r="A209" s="8" t="s">
        <v>41</v>
      </c>
      <c r="B209" s="9" t="s">
        <v>32</v>
      </c>
      <c r="C209" s="9" t="s">
        <v>61</v>
      </c>
      <c r="D209" s="10">
        <v>65.7</v>
      </c>
      <c r="E209" s="9" t="s">
        <v>35</v>
      </c>
      <c r="F209" s="9" t="s">
        <v>40</v>
      </c>
      <c r="G209" s="9" t="str">
        <f t="shared" si="15"/>
        <v>Low Averg</v>
      </c>
      <c r="H209" s="11">
        <f t="shared" si="16"/>
        <v>70.278611111111118</v>
      </c>
      <c r="I209" s="9">
        <f t="shared" si="17"/>
        <v>36</v>
      </c>
      <c r="J209" s="12">
        <f>DATE(2025, MATCH(E209, {"January","February","March","April","May","June","July","August","September","October","November","December"},0),1)</f>
        <v>45778</v>
      </c>
      <c r="K209" s="13">
        <f t="shared" si="18"/>
        <v>2365.2000000000003</v>
      </c>
      <c r="L209" s="13">
        <v>344.58831234206298</v>
      </c>
      <c r="M209" s="14">
        <f t="shared" si="19"/>
        <v>-1.3287192127880584E-2</v>
      </c>
    </row>
    <row r="210" spans="1:13" ht="15.5" x14ac:dyDescent="0.35">
      <c r="A210" s="8" t="s">
        <v>68</v>
      </c>
      <c r="B210" s="9" t="s">
        <v>28</v>
      </c>
      <c r="C210" s="9" t="s">
        <v>43</v>
      </c>
      <c r="D210" s="10">
        <v>92.93</v>
      </c>
      <c r="E210" s="9" t="s">
        <v>46</v>
      </c>
      <c r="F210" s="9" t="s">
        <v>17</v>
      </c>
      <c r="G210" s="9" t="str">
        <f t="shared" si="15"/>
        <v>Low Averg</v>
      </c>
      <c r="H210" s="11">
        <f t="shared" si="16"/>
        <v>102.25285714285715</v>
      </c>
      <c r="I210" s="9">
        <f t="shared" si="17"/>
        <v>28</v>
      </c>
      <c r="J210" s="12">
        <f>DATE(2025, MATCH(E210, {"January","February","March","April","May","June","July","August","September","October","November","December"},0),1)</f>
        <v>45870</v>
      </c>
      <c r="K210" s="13">
        <f t="shared" si="18"/>
        <v>2602.04</v>
      </c>
      <c r="L210" s="13">
        <v>344.629113424595</v>
      </c>
      <c r="M210" s="14">
        <f t="shared" si="19"/>
        <v>-2.7051855979941725E-2</v>
      </c>
    </row>
    <row r="211" spans="1:13" ht="15.5" x14ac:dyDescent="0.35">
      <c r="A211" s="8" t="s">
        <v>13</v>
      </c>
      <c r="B211" s="9" t="s">
        <v>14</v>
      </c>
      <c r="C211" s="9" t="s">
        <v>49</v>
      </c>
      <c r="D211" s="10">
        <v>200.51</v>
      </c>
      <c r="E211" s="9" t="s">
        <v>46</v>
      </c>
      <c r="F211" s="9" t="s">
        <v>17</v>
      </c>
      <c r="G211" s="9" t="str">
        <f t="shared" si="15"/>
        <v>Low Averg</v>
      </c>
      <c r="H211" s="11">
        <f t="shared" si="16"/>
        <v>206.78702702702708</v>
      </c>
      <c r="I211" s="9">
        <f t="shared" si="17"/>
        <v>37</v>
      </c>
      <c r="J211" s="12">
        <f>DATE(2025, MATCH(E211, {"January","February","March","April","May","June","July","August","September","October","November","December"},0),1)</f>
        <v>45870</v>
      </c>
      <c r="K211" s="13">
        <f t="shared" si="18"/>
        <v>7418.87</v>
      </c>
      <c r="L211" s="13">
        <v>344.69546925975698</v>
      </c>
      <c r="M211" s="14">
        <f t="shared" si="19"/>
        <v>-1.8210355478437756E-2</v>
      </c>
    </row>
    <row r="212" spans="1:13" ht="15.5" x14ac:dyDescent="0.35">
      <c r="A212" s="8" t="s">
        <v>64</v>
      </c>
      <c r="B212" s="9" t="s">
        <v>60</v>
      </c>
      <c r="C212" s="9" t="s">
        <v>15</v>
      </c>
      <c r="D212" s="10">
        <v>243.61</v>
      </c>
      <c r="E212" s="9" t="s">
        <v>57</v>
      </c>
      <c r="F212" s="9" t="s">
        <v>30</v>
      </c>
      <c r="G212" s="9" t="str">
        <f t="shared" si="15"/>
        <v>Low Averg</v>
      </c>
      <c r="H212" s="11">
        <f t="shared" si="16"/>
        <v>249.29749999999999</v>
      </c>
      <c r="I212" s="9">
        <f t="shared" si="17"/>
        <v>32</v>
      </c>
      <c r="J212" s="12">
        <f>DATE(2025, MATCH(E212, {"January","February","March","April","May","June","July","August","September","October","November","December"},0),1)</f>
        <v>45839</v>
      </c>
      <c r="K212" s="13">
        <f t="shared" si="18"/>
        <v>7795.52</v>
      </c>
      <c r="L212" s="13">
        <v>344.84029687626798</v>
      </c>
      <c r="M212" s="14">
        <f t="shared" si="19"/>
        <v>-1.6493142047261086E-2</v>
      </c>
    </row>
    <row r="213" spans="1:13" ht="15.5" x14ac:dyDescent="0.35">
      <c r="A213" s="8" t="s">
        <v>59</v>
      </c>
      <c r="B213" s="9" t="s">
        <v>60</v>
      </c>
      <c r="C213" s="9" t="s">
        <v>69</v>
      </c>
      <c r="D213" s="10">
        <v>218.35</v>
      </c>
      <c r="E213" s="9" t="s">
        <v>62</v>
      </c>
      <c r="F213" s="9" t="s">
        <v>36</v>
      </c>
      <c r="G213" s="9" t="str">
        <f t="shared" si="15"/>
        <v>Low Averg</v>
      </c>
      <c r="H213" s="11">
        <f t="shared" si="16"/>
        <v>203.25225806451613</v>
      </c>
      <c r="I213" s="9">
        <f t="shared" si="17"/>
        <v>31</v>
      </c>
      <c r="J213" s="12">
        <f>DATE(2025, MATCH(E213, {"January","February","March","April","May","June","July","August","September","October","November","December"},0),1)</f>
        <v>45689</v>
      </c>
      <c r="K213" s="13">
        <f t="shared" si="18"/>
        <v>6768.8499999999995</v>
      </c>
      <c r="L213" s="13">
        <v>345.006281943734</v>
      </c>
      <c r="M213" s="14">
        <f t="shared" si="19"/>
        <v>4.3760774008010997E-2</v>
      </c>
    </row>
    <row r="214" spans="1:13" ht="15.5" x14ac:dyDescent="0.35">
      <c r="A214" s="8" t="s">
        <v>70</v>
      </c>
      <c r="B214" s="9" t="s">
        <v>71</v>
      </c>
      <c r="C214" s="9" t="s">
        <v>34</v>
      </c>
      <c r="D214" s="10">
        <v>1025.27</v>
      </c>
      <c r="E214" s="9" t="s">
        <v>16</v>
      </c>
      <c r="F214" s="9" t="s">
        <v>36</v>
      </c>
      <c r="G214" s="9" t="str">
        <f t="shared" si="15"/>
        <v>Above Averg</v>
      </c>
      <c r="H214" s="11">
        <f t="shared" si="16"/>
        <v>911.5772916666665</v>
      </c>
      <c r="I214" s="9">
        <f t="shared" si="17"/>
        <v>48</v>
      </c>
      <c r="J214" s="12">
        <f>DATE(2025, MATCH(E214, {"January","February","March","April","May","June","July","August","September","October","November","December"},0),1)</f>
        <v>45809</v>
      </c>
      <c r="K214" s="13">
        <f t="shared" si="18"/>
        <v>49212.959999999999</v>
      </c>
      <c r="L214" s="13">
        <v>345.16090265650899</v>
      </c>
      <c r="M214" s="14">
        <f t="shared" si="19"/>
        <v>0.32939045951701007</v>
      </c>
    </row>
    <row r="215" spans="1:13" ht="15.5" x14ac:dyDescent="0.35">
      <c r="A215" s="8" t="s">
        <v>18</v>
      </c>
      <c r="B215" s="9" t="s">
        <v>19</v>
      </c>
      <c r="C215" s="9" t="s">
        <v>69</v>
      </c>
      <c r="D215" s="10">
        <v>914.04</v>
      </c>
      <c r="E215" s="9" t="s">
        <v>63</v>
      </c>
      <c r="F215" s="9" t="s">
        <v>36</v>
      </c>
      <c r="G215" s="9" t="str">
        <f t="shared" si="15"/>
        <v>Above Averg</v>
      </c>
      <c r="H215" s="11">
        <f t="shared" si="16"/>
        <v>920.12567567567555</v>
      </c>
      <c r="I215" s="9">
        <f t="shared" si="17"/>
        <v>37</v>
      </c>
      <c r="J215" s="12">
        <f>DATE(2025, MATCH(E215, {"January","February","March","April","May","June","July","August","September","October","November","December"},0),1)</f>
        <v>45717</v>
      </c>
      <c r="K215" s="13">
        <f t="shared" si="18"/>
        <v>33819.479999999996</v>
      </c>
      <c r="L215" s="13">
        <v>344.661231119435</v>
      </c>
      <c r="M215" s="14">
        <f t="shared" si="19"/>
        <v>-1.7656977710866259E-2</v>
      </c>
    </row>
    <row r="216" spans="1:13" ht="15.5" x14ac:dyDescent="0.35">
      <c r="A216" s="8" t="s">
        <v>68</v>
      </c>
      <c r="B216" s="9" t="s">
        <v>28</v>
      </c>
      <c r="C216" s="9" t="s">
        <v>49</v>
      </c>
      <c r="D216" s="10">
        <v>104.5</v>
      </c>
      <c r="E216" s="9" t="s">
        <v>39</v>
      </c>
      <c r="F216" s="9" t="s">
        <v>30</v>
      </c>
      <c r="G216" s="9" t="str">
        <f t="shared" si="15"/>
        <v>Low Averg</v>
      </c>
      <c r="H216" s="11">
        <f t="shared" si="16"/>
        <v>102.25285714285715</v>
      </c>
      <c r="I216" s="9">
        <f t="shared" si="17"/>
        <v>28</v>
      </c>
      <c r="J216" s="12">
        <f>DATE(2025, MATCH(E216, {"January","February","March","April","May","June","July","August","September","October","November","December"},0),1)</f>
        <v>45992</v>
      </c>
      <c r="K216" s="13">
        <f t="shared" si="18"/>
        <v>2926</v>
      </c>
      <c r="L216" s="13">
        <v>344.37520014498699</v>
      </c>
      <c r="M216" s="14">
        <f t="shared" si="19"/>
        <v>6.5252749216458319E-3</v>
      </c>
    </row>
    <row r="217" spans="1:13" ht="15.5" x14ac:dyDescent="0.35">
      <c r="A217" s="8" t="s">
        <v>48</v>
      </c>
      <c r="B217" s="9" t="s">
        <v>19</v>
      </c>
      <c r="C217" s="9" t="s">
        <v>15</v>
      </c>
      <c r="D217" s="10">
        <v>1014.03</v>
      </c>
      <c r="E217" s="9" t="s">
        <v>57</v>
      </c>
      <c r="F217" s="9" t="s">
        <v>26</v>
      </c>
      <c r="G217" s="9" t="str">
        <f t="shared" si="15"/>
        <v>Above Averg</v>
      </c>
      <c r="H217" s="11">
        <f t="shared" si="16"/>
        <v>1235.856</v>
      </c>
      <c r="I217" s="9">
        <f t="shared" si="17"/>
        <v>25</v>
      </c>
      <c r="J217" s="12">
        <f>DATE(2025, MATCH(E217, {"January","February","March","April","May","June","July","August","September","October","November","December"},0),1)</f>
        <v>45839</v>
      </c>
      <c r="K217" s="13">
        <f t="shared" si="18"/>
        <v>25350.75</v>
      </c>
      <c r="L217" s="13">
        <v>344.45253382138998</v>
      </c>
      <c r="M217" s="14">
        <f t="shared" si="19"/>
        <v>-0.64399584331414483</v>
      </c>
    </row>
    <row r="218" spans="1:13" ht="15.5" x14ac:dyDescent="0.35">
      <c r="A218" s="8" t="s">
        <v>31</v>
      </c>
      <c r="B218" s="9" t="s">
        <v>32</v>
      </c>
      <c r="C218" s="9" t="s">
        <v>49</v>
      </c>
      <c r="D218" s="10">
        <v>127.37</v>
      </c>
      <c r="E218" s="9" t="s">
        <v>46</v>
      </c>
      <c r="F218" s="9" t="s">
        <v>36</v>
      </c>
      <c r="G218" s="9" t="str">
        <f t="shared" si="15"/>
        <v>Low Averg</v>
      </c>
      <c r="H218" s="11">
        <f t="shared" si="16"/>
        <v>123.43305555555558</v>
      </c>
      <c r="I218" s="9">
        <f t="shared" si="17"/>
        <v>36</v>
      </c>
      <c r="J218" s="12">
        <f>DATE(2025, MATCH(E218, {"January","February","March","April","May","June","July","August","September","October","November","December"},0),1)</f>
        <v>45870</v>
      </c>
      <c r="K218" s="13">
        <f t="shared" si="18"/>
        <v>4585.32</v>
      </c>
      <c r="L218" s="13">
        <v>343.97097061638402</v>
      </c>
      <c r="M218" s="14">
        <f t="shared" si="19"/>
        <v>1.1445571809125501E-2</v>
      </c>
    </row>
    <row r="219" spans="1:13" ht="15.5" x14ac:dyDescent="0.35">
      <c r="A219" s="8" t="s">
        <v>53</v>
      </c>
      <c r="B219" s="9" t="s">
        <v>54</v>
      </c>
      <c r="C219" s="9" t="s">
        <v>61</v>
      </c>
      <c r="D219" s="10">
        <v>721.32</v>
      </c>
      <c r="E219" s="9" t="s">
        <v>72</v>
      </c>
      <c r="F219" s="9" t="s">
        <v>17</v>
      </c>
      <c r="G219" s="9" t="str">
        <f t="shared" si="15"/>
        <v>Above Averg</v>
      </c>
      <c r="H219" s="11">
        <f t="shared" si="16"/>
        <v>810.77454545454566</v>
      </c>
      <c r="I219" s="9">
        <f t="shared" si="17"/>
        <v>33</v>
      </c>
      <c r="J219" s="12">
        <f>DATE(2025, MATCH(E219, {"January","February","March","April","May","June","July","August","September","October","November","December"},0),1)</f>
        <v>45901</v>
      </c>
      <c r="K219" s="13">
        <f t="shared" si="18"/>
        <v>23803.56</v>
      </c>
      <c r="L219" s="13">
        <v>344.06757720229803</v>
      </c>
      <c r="M219" s="14">
        <f t="shared" si="19"/>
        <v>-0.25999120923256858</v>
      </c>
    </row>
    <row r="220" spans="1:13" ht="15.5" x14ac:dyDescent="0.35">
      <c r="A220" s="8" t="s">
        <v>56</v>
      </c>
      <c r="B220" s="9" t="s">
        <v>19</v>
      </c>
      <c r="C220" s="9" t="s">
        <v>49</v>
      </c>
      <c r="D220" s="10">
        <v>517.21</v>
      </c>
      <c r="E220" s="9" t="s">
        <v>46</v>
      </c>
      <c r="F220" s="9" t="s">
        <v>36</v>
      </c>
      <c r="G220" s="9" t="str">
        <f t="shared" si="15"/>
        <v>Above Averg</v>
      </c>
      <c r="H220" s="11">
        <f t="shared" si="16"/>
        <v>533.4588235294118</v>
      </c>
      <c r="I220" s="9">
        <f t="shared" si="17"/>
        <v>34</v>
      </c>
      <c r="J220" s="12">
        <f>DATE(2025, MATCH(E220, {"January","February","March","April","May","June","July","August","September","October","November","December"},0),1)</f>
        <v>45870</v>
      </c>
      <c r="K220" s="13">
        <f t="shared" si="18"/>
        <v>17585.14</v>
      </c>
      <c r="L220" s="13">
        <v>344.06024389171898</v>
      </c>
      <c r="M220" s="14">
        <f t="shared" si="19"/>
        <v>-4.7226681425377115E-2</v>
      </c>
    </row>
    <row r="221" spans="1:13" ht="15.5" x14ac:dyDescent="0.35">
      <c r="A221" s="8" t="s">
        <v>75</v>
      </c>
      <c r="B221" s="9" t="s">
        <v>28</v>
      </c>
      <c r="C221" s="9" t="s">
        <v>15</v>
      </c>
      <c r="D221" s="10">
        <v>109.58</v>
      </c>
      <c r="E221" s="9" t="s">
        <v>42</v>
      </c>
      <c r="F221" s="9" t="s">
        <v>30</v>
      </c>
      <c r="G221" s="9" t="str">
        <f t="shared" si="15"/>
        <v>Low Averg</v>
      </c>
      <c r="H221" s="11">
        <f t="shared" si="16"/>
        <v>120.53625</v>
      </c>
      <c r="I221" s="9">
        <f t="shared" si="17"/>
        <v>24</v>
      </c>
      <c r="J221" s="12">
        <f>DATE(2025, MATCH(E221, {"January","February","March","April","May","June","July","August","September","October","November","December"},0),1)</f>
        <v>45658</v>
      </c>
      <c r="K221" s="13">
        <f t="shared" si="18"/>
        <v>2629.92</v>
      </c>
      <c r="L221" s="13">
        <v>344.21908197604898</v>
      </c>
      <c r="M221" s="14">
        <f t="shared" si="19"/>
        <v>-3.1829292952336503E-2</v>
      </c>
    </row>
    <row r="222" spans="1:13" ht="15.5" x14ac:dyDescent="0.35">
      <c r="A222" s="8" t="s">
        <v>56</v>
      </c>
      <c r="B222" s="9" t="s">
        <v>19</v>
      </c>
      <c r="C222" s="9" t="s">
        <v>34</v>
      </c>
      <c r="D222" s="10">
        <v>528.86</v>
      </c>
      <c r="E222" s="9" t="s">
        <v>25</v>
      </c>
      <c r="F222" s="9" t="s">
        <v>26</v>
      </c>
      <c r="G222" s="9" t="str">
        <f t="shared" si="15"/>
        <v>Above Averg</v>
      </c>
      <c r="H222" s="11">
        <f t="shared" si="16"/>
        <v>533.4588235294118</v>
      </c>
      <c r="I222" s="9">
        <f t="shared" si="17"/>
        <v>34</v>
      </c>
      <c r="J222" s="12">
        <f>DATE(2025, MATCH(E222, {"January","February","March","April","May","June","July","August","September","October","November","December"},0),1)</f>
        <v>45931</v>
      </c>
      <c r="K222" s="13">
        <f t="shared" si="18"/>
        <v>17981.240000000002</v>
      </c>
      <c r="L222" s="13">
        <v>344.30172717420299</v>
      </c>
      <c r="M222" s="14">
        <f t="shared" si="19"/>
        <v>-1.3356957477837357E-2</v>
      </c>
    </row>
    <row r="223" spans="1:13" ht="15.5" x14ac:dyDescent="0.35">
      <c r="A223" s="8" t="s">
        <v>22</v>
      </c>
      <c r="B223" s="9" t="s">
        <v>23</v>
      </c>
      <c r="C223" s="9" t="s">
        <v>43</v>
      </c>
      <c r="D223" s="10">
        <v>255.91</v>
      </c>
      <c r="E223" s="9" t="s">
        <v>21</v>
      </c>
      <c r="F223" s="9" t="s">
        <v>36</v>
      </c>
      <c r="G223" s="9" t="str">
        <f t="shared" si="15"/>
        <v>Low Averg</v>
      </c>
      <c r="H223" s="11">
        <f t="shared" si="16"/>
        <v>257.40029411764709</v>
      </c>
      <c r="I223" s="9">
        <f t="shared" si="17"/>
        <v>34</v>
      </c>
      <c r="J223" s="12">
        <f>DATE(2025, MATCH(E223, {"January","February","March","April","May","June","July","August","September","October","November","December"},0),1)</f>
        <v>45748</v>
      </c>
      <c r="K223" s="13">
        <f t="shared" si="18"/>
        <v>8700.94</v>
      </c>
      <c r="L223" s="13">
        <v>344.45531473177499</v>
      </c>
      <c r="M223" s="14">
        <f t="shared" si="19"/>
        <v>-4.3265238012297124E-3</v>
      </c>
    </row>
    <row r="224" spans="1:13" ht="15.5" x14ac:dyDescent="0.35">
      <c r="A224" s="8" t="s">
        <v>82</v>
      </c>
      <c r="B224" s="9" t="s">
        <v>14</v>
      </c>
      <c r="C224" s="9" t="s">
        <v>43</v>
      </c>
      <c r="D224" s="10">
        <v>958.53</v>
      </c>
      <c r="E224" s="9" t="s">
        <v>62</v>
      </c>
      <c r="F224" s="9" t="s">
        <v>26</v>
      </c>
      <c r="G224" s="9" t="str">
        <f t="shared" si="15"/>
        <v>Above Averg</v>
      </c>
      <c r="H224" s="11">
        <f t="shared" si="16"/>
        <v>905.6025925925926</v>
      </c>
      <c r="I224" s="9">
        <f t="shared" si="17"/>
        <v>27</v>
      </c>
      <c r="J224" s="12">
        <f>DATE(2025, MATCH(E224, {"January","February","March","April","May","June","July","August","September","October","November","December"},0),1)</f>
        <v>45689</v>
      </c>
      <c r="K224" s="13">
        <f t="shared" si="18"/>
        <v>25880.309999999998</v>
      </c>
      <c r="L224" s="13">
        <v>344.62868595110302</v>
      </c>
      <c r="M224" s="14">
        <f t="shared" si="19"/>
        <v>0.15357806696020909</v>
      </c>
    </row>
    <row r="225" spans="1:13" ht="15.5" x14ac:dyDescent="0.35">
      <c r="A225" s="8" t="s">
        <v>37</v>
      </c>
      <c r="B225" s="9" t="s">
        <v>38</v>
      </c>
      <c r="C225" s="9" t="s">
        <v>24</v>
      </c>
      <c r="D225" s="10">
        <v>997.38</v>
      </c>
      <c r="E225" s="9" t="s">
        <v>25</v>
      </c>
      <c r="F225" s="9" t="s">
        <v>26</v>
      </c>
      <c r="G225" s="9" t="str">
        <f t="shared" si="15"/>
        <v>Above Averg</v>
      </c>
      <c r="H225" s="11">
        <f t="shared" si="16"/>
        <v>1024.1451428571424</v>
      </c>
      <c r="I225" s="9">
        <f t="shared" si="17"/>
        <v>35</v>
      </c>
      <c r="J225" s="12">
        <f>DATE(2025, MATCH(E225, {"January","February","March","April","May","June","July","August","September","October","November","December"},0),1)</f>
        <v>45931</v>
      </c>
      <c r="K225" s="13">
        <f t="shared" si="18"/>
        <v>34908.300000000003</v>
      </c>
      <c r="L225" s="13">
        <v>344.25479062954798</v>
      </c>
      <c r="M225" s="14">
        <f t="shared" si="19"/>
        <v>-7.7748062149538472E-2</v>
      </c>
    </row>
    <row r="226" spans="1:13" ht="15.5" x14ac:dyDescent="0.35">
      <c r="A226" s="8" t="s">
        <v>58</v>
      </c>
      <c r="B226" s="9" t="s">
        <v>23</v>
      </c>
      <c r="C226" s="9" t="s">
        <v>20</v>
      </c>
      <c r="D226" s="10">
        <v>122.71</v>
      </c>
      <c r="E226" s="9" t="s">
        <v>35</v>
      </c>
      <c r="F226" s="9" t="s">
        <v>30</v>
      </c>
      <c r="G226" s="9" t="str">
        <f t="shared" si="15"/>
        <v>Low Averg</v>
      </c>
      <c r="H226" s="11">
        <f t="shared" si="16"/>
        <v>121.60903225806452</v>
      </c>
      <c r="I226" s="9">
        <f t="shared" si="17"/>
        <v>31</v>
      </c>
      <c r="J226" s="12">
        <f>DATE(2025, MATCH(E226, {"January","February","March","April","May","June","July","August","September","October","November","December"},0),1)</f>
        <v>45778</v>
      </c>
      <c r="K226" s="13">
        <f t="shared" si="18"/>
        <v>3804.0099999999998</v>
      </c>
      <c r="L226" s="13">
        <v>343.80028815455103</v>
      </c>
      <c r="M226" s="14">
        <f t="shared" si="19"/>
        <v>3.2023467689490455E-3</v>
      </c>
    </row>
    <row r="227" spans="1:13" ht="15.5" x14ac:dyDescent="0.35">
      <c r="A227" s="8" t="s">
        <v>77</v>
      </c>
      <c r="B227" s="9" t="s">
        <v>14</v>
      </c>
      <c r="C227" s="9" t="s">
        <v>20</v>
      </c>
      <c r="D227" s="10">
        <v>249.84</v>
      </c>
      <c r="E227" s="9" t="s">
        <v>72</v>
      </c>
      <c r="F227" s="9" t="s">
        <v>30</v>
      </c>
      <c r="G227" s="9" t="str">
        <f t="shared" si="15"/>
        <v>Low Averg</v>
      </c>
      <c r="H227" s="11">
        <f t="shared" si="16"/>
        <v>226.49633333333335</v>
      </c>
      <c r="I227" s="9">
        <f t="shared" si="17"/>
        <v>30</v>
      </c>
      <c r="J227" s="12">
        <f>DATE(2025, MATCH(E227, {"January","February","March","April","May","June","July","August","September","October","November","December"},0),1)</f>
        <v>45901</v>
      </c>
      <c r="K227" s="13">
        <f t="shared" si="18"/>
        <v>7495.2</v>
      </c>
      <c r="L227" s="13">
        <v>343.894998521773</v>
      </c>
      <c r="M227" s="14">
        <f t="shared" si="19"/>
        <v>6.7880215667599178E-2</v>
      </c>
    </row>
    <row r="228" spans="1:13" ht="15.5" x14ac:dyDescent="0.35">
      <c r="A228" s="8" t="s">
        <v>82</v>
      </c>
      <c r="B228" s="9" t="s">
        <v>14</v>
      </c>
      <c r="C228" s="9" t="s">
        <v>24</v>
      </c>
      <c r="D228" s="10">
        <v>870.1</v>
      </c>
      <c r="E228" s="9" t="s">
        <v>42</v>
      </c>
      <c r="F228" s="9" t="s">
        <v>17</v>
      </c>
      <c r="G228" s="9" t="str">
        <f t="shared" si="15"/>
        <v>Above Averg</v>
      </c>
      <c r="H228" s="11">
        <f t="shared" si="16"/>
        <v>905.6025925925926</v>
      </c>
      <c r="I228" s="9">
        <f t="shared" si="17"/>
        <v>27</v>
      </c>
      <c r="J228" s="12">
        <f>DATE(2025, MATCH(E228, {"January","February","March","April","May","June","July","August","September","October","November","December"},0),1)</f>
        <v>45658</v>
      </c>
      <c r="K228" s="13">
        <f t="shared" si="18"/>
        <v>23492.7</v>
      </c>
      <c r="L228" s="13">
        <v>344.06682470084797</v>
      </c>
      <c r="M228" s="14">
        <f t="shared" si="19"/>
        <v>-0.10318516649624859</v>
      </c>
    </row>
    <row r="229" spans="1:13" ht="15.5" x14ac:dyDescent="0.35">
      <c r="A229" s="8" t="s">
        <v>13</v>
      </c>
      <c r="B229" s="9" t="s">
        <v>14</v>
      </c>
      <c r="C229" s="9" t="s">
        <v>15</v>
      </c>
      <c r="D229" s="10">
        <v>211.03</v>
      </c>
      <c r="E229" s="9" t="s">
        <v>46</v>
      </c>
      <c r="F229" s="9" t="s">
        <v>36</v>
      </c>
      <c r="G229" s="9" t="str">
        <f t="shared" si="15"/>
        <v>Low Averg</v>
      </c>
      <c r="H229" s="11">
        <f t="shared" si="16"/>
        <v>206.78702702702708</v>
      </c>
      <c r="I229" s="9">
        <f t="shared" si="17"/>
        <v>37</v>
      </c>
      <c r="J229" s="12">
        <f>DATE(2025, MATCH(E229, {"January","February","March","April","May","June","July","August","September","October","November","December"},0),1)</f>
        <v>45870</v>
      </c>
      <c r="K229" s="13">
        <f t="shared" si="18"/>
        <v>7808.11</v>
      </c>
      <c r="L229" s="13">
        <v>343.847825809342</v>
      </c>
      <c r="M229" s="14">
        <f t="shared" si="19"/>
        <v>1.2339682424880536E-2</v>
      </c>
    </row>
    <row r="230" spans="1:13" ht="15.5" x14ac:dyDescent="0.35">
      <c r="A230" s="8" t="s">
        <v>80</v>
      </c>
      <c r="B230" s="9" t="s">
        <v>19</v>
      </c>
      <c r="C230" s="9" t="s">
        <v>61</v>
      </c>
      <c r="D230" s="10">
        <v>641.19000000000005</v>
      </c>
      <c r="E230" s="9" t="s">
        <v>21</v>
      </c>
      <c r="F230" s="9" t="s">
        <v>17</v>
      </c>
      <c r="G230" s="9" t="str">
        <f t="shared" si="15"/>
        <v>Above Averg</v>
      </c>
      <c r="H230" s="11">
        <f t="shared" si="16"/>
        <v>720.27689655172423</v>
      </c>
      <c r="I230" s="9">
        <f t="shared" si="17"/>
        <v>29</v>
      </c>
      <c r="J230" s="12">
        <f>DATE(2025, MATCH(E230, {"January","February","March","April","May","June","July","August","September","October","November","December"},0),1)</f>
        <v>45748</v>
      </c>
      <c r="K230" s="13">
        <f t="shared" si="18"/>
        <v>18594.510000000002</v>
      </c>
      <c r="L230" s="13">
        <v>344.00231952307098</v>
      </c>
      <c r="M230" s="14">
        <f t="shared" si="19"/>
        <v>-0.22990221886111473</v>
      </c>
    </row>
    <row r="231" spans="1:13" ht="15.5" x14ac:dyDescent="0.35">
      <c r="A231" s="8" t="s">
        <v>27</v>
      </c>
      <c r="B231" s="9" t="s">
        <v>28</v>
      </c>
      <c r="C231" s="9" t="s">
        <v>20</v>
      </c>
      <c r="D231" s="10">
        <v>100.21</v>
      </c>
      <c r="E231" s="9" t="s">
        <v>57</v>
      </c>
      <c r="F231" s="9" t="s">
        <v>40</v>
      </c>
      <c r="G231" s="9" t="str">
        <f t="shared" si="15"/>
        <v>Low Averg</v>
      </c>
      <c r="H231" s="11">
        <f t="shared" si="16"/>
        <v>113.26108695652174</v>
      </c>
      <c r="I231" s="9">
        <f t="shared" si="17"/>
        <v>46</v>
      </c>
      <c r="J231" s="12">
        <f>DATE(2025, MATCH(E231, {"January","February","March","April","May","June","July","August","September","October","November","December"},0),1)</f>
        <v>45839</v>
      </c>
      <c r="K231" s="13">
        <f t="shared" si="18"/>
        <v>4609.66</v>
      </c>
      <c r="L231" s="13">
        <v>344.07590048067999</v>
      </c>
      <c r="M231" s="14">
        <f t="shared" si="19"/>
        <v>-3.7930837173685075E-2</v>
      </c>
    </row>
    <row r="232" spans="1:13" ht="15.5" x14ac:dyDescent="0.35">
      <c r="A232" s="8" t="s">
        <v>83</v>
      </c>
      <c r="B232" s="9" t="s">
        <v>23</v>
      </c>
      <c r="C232" s="9" t="s">
        <v>61</v>
      </c>
      <c r="D232" s="10">
        <v>145.19999999999999</v>
      </c>
      <c r="E232" s="9" t="s">
        <v>21</v>
      </c>
      <c r="F232" s="9" t="s">
        <v>17</v>
      </c>
      <c r="G232" s="9" t="str">
        <f t="shared" si="15"/>
        <v>Low Averg</v>
      </c>
      <c r="H232" s="11">
        <f t="shared" si="16"/>
        <v>132.90272727272728</v>
      </c>
      <c r="I232" s="9">
        <f t="shared" si="17"/>
        <v>22</v>
      </c>
      <c r="J232" s="12">
        <f>DATE(2025, MATCH(E232, {"January","February","March","April","May","June","July","August","September","October","November","December"},0),1)</f>
        <v>45748</v>
      </c>
      <c r="K232" s="13">
        <f t="shared" si="18"/>
        <v>3194.3999999999996</v>
      </c>
      <c r="L232" s="13">
        <v>344.15235524217098</v>
      </c>
      <c r="M232" s="14">
        <f t="shared" si="19"/>
        <v>3.573206035047892E-2</v>
      </c>
    </row>
    <row r="233" spans="1:13" ht="15.5" x14ac:dyDescent="0.35">
      <c r="A233" s="8" t="s">
        <v>56</v>
      </c>
      <c r="B233" s="9" t="s">
        <v>19</v>
      </c>
      <c r="C233" s="9" t="s">
        <v>24</v>
      </c>
      <c r="D233" s="10">
        <v>491.19</v>
      </c>
      <c r="E233" s="9" t="s">
        <v>35</v>
      </c>
      <c r="F233" s="9" t="s">
        <v>17</v>
      </c>
      <c r="G233" s="9" t="str">
        <f t="shared" si="15"/>
        <v>Above Averg</v>
      </c>
      <c r="H233" s="11">
        <f t="shared" si="16"/>
        <v>533.4588235294118</v>
      </c>
      <c r="I233" s="9">
        <f t="shared" si="17"/>
        <v>34</v>
      </c>
      <c r="J233" s="12">
        <f>DATE(2025, MATCH(E233, {"January","February","March","April","May","June","July","August","September","October","November","December"},0),1)</f>
        <v>45778</v>
      </c>
      <c r="K233" s="13">
        <f t="shared" si="18"/>
        <v>16700.46</v>
      </c>
      <c r="L233" s="13">
        <v>344.265614744088</v>
      </c>
      <c r="M233" s="14">
        <f t="shared" si="19"/>
        <v>-0.12277968440395245</v>
      </c>
    </row>
    <row r="234" spans="1:13" ht="15.5" x14ac:dyDescent="0.35">
      <c r="A234" s="8" t="s">
        <v>33</v>
      </c>
      <c r="B234" s="9" t="s">
        <v>19</v>
      </c>
      <c r="C234" s="9" t="s">
        <v>49</v>
      </c>
      <c r="D234" s="10">
        <v>1067.6300000000001</v>
      </c>
      <c r="E234" s="9" t="s">
        <v>25</v>
      </c>
      <c r="F234" s="9" t="s">
        <v>40</v>
      </c>
      <c r="G234" s="9" t="str">
        <f t="shared" si="15"/>
        <v>Above Averg</v>
      </c>
      <c r="H234" s="11">
        <f t="shared" si="16"/>
        <v>1113.4854166666667</v>
      </c>
      <c r="I234" s="9">
        <f t="shared" si="17"/>
        <v>24</v>
      </c>
      <c r="J234" s="12">
        <f>DATE(2025, MATCH(E234, {"January","February","March","April","May","June","July","August","September","October","November","December"},0),1)</f>
        <v>45931</v>
      </c>
      <c r="K234" s="13">
        <f t="shared" si="18"/>
        <v>25623.120000000003</v>
      </c>
      <c r="L234" s="13">
        <v>344.43811920775602</v>
      </c>
      <c r="M234" s="14">
        <f t="shared" si="19"/>
        <v>-0.13313107379676453</v>
      </c>
    </row>
    <row r="235" spans="1:13" ht="15.5" x14ac:dyDescent="0.35">
      <c r="A235" s="8" t="s">
        <v>50</v>
      </c>
      <c r="B235" s="9" t="s">
        <v>32</v>
      </c>
      <c r="C235" s="9" t="s">
        <v>61</v>
      </c>
      <c r="D235" s="10">
        <v>77.069999999999993</v>
      </c>
      <c r="E235" s="9" t="s">
        <v>62</v>
      </c>
      <c r="F235" s="9" t="s">
        <v>26</v>
      </c>
      <c r="G235" s="9" t="str">
        <f t="shared" si="15"/>
        <v>Low Averg</v>
      </c>
      <c r="H235" s="11">
        <f t="shared" si="16"/>
        <v>81.934666666666672</v>
      </c>
      <c r="I235" s="9">
        <f t="shared" si="17"/>
        <v>30</v>
      </c>
      <c r="J235" s="12">
        <f>DATE(2025, MATCH(E235, {"January","February","March","April","May","June","July","August","September","October","November","December"},0),1)</f>
        <v>45689</v>
      </c>
      <c r="K235" s="13">
        <f t="shared" si="18"/>
        <v>2312.1</v>
      </c>
      <c r="L235" s="13">
        <v>343.82267132990597</v>
      </c>
      <c r="M235" s="14">
        <f t="shared" si="19"/>
        <v>-1.4148766420347297E-2</v>
      </c>
    </row>
    <row r="236" spans="1:13" ht="15.5" x14ac:dyDescent="0.35">
      <c r="A236" s="8" t="s">
        <v>51</v>
      </c>
      <c r="B236" s="9" t="s">
        <v>28</v>
      </c>
      <c r="C236" s="9" t="s">
        <v>45</v>
      </c>
      <c r="D236" s="10">
        <v>119.41</v>
      </c>
      <c r="E236" s="9" t="s">
        <v>35</v>
      </c>
      <c r="F236" s="9" t="s">
        <v>40</v>
      </c>
      <c r="G236" s="9" t="str">
        <f t="shared" si="15"/>
        <v>Low Averg</v>
      </c>
      <c r="H236" s="11">
        <f t="shared" si="16"/>
        <v>122.0377142857143</v>
      </c>
      <c r="I236" s="9">
        <f t="shared" si="17"/>
        <v>35</v>
      </c>
      <c r="J236" s="12">
        <f>DATE(2025, MATCH(E236, {"January","February","March","April","May","June","July","August","September","October","November","December"},0),1)</f>
        <v>45778</v>
      </c>
      <c r="K236" s="13">
        <f t="shared" si="18"/>
        <v>4179.3499999999995</v>
      </c>
      <c r="L236" s="13">
        <v>343.87792235568202</v>
      </c>
      <c r="M236" s="14">
        <f t="shared" si="19"/>
        <v>-7.6414160807811047E-3</v>
      </c>
    </row>
    <row r="237" spans="1:13" ht="15.5" x14ac:dyDescent="0.35">
      <c r="A237" s="8" t="s">
        <v>73</v>
      </c>
      <c r="B237" s="9" t="s">
        <v>54</v>
      </c>
      <c r="C237" s="9" t="s">
        <v>45</v>
      </c>
      <c r="D237" s="10">
        <v>46.21</v>
      </c>
      <c r="E237" s="9" t="s">
        <v>25</v>
      </c>
      <c r="F237" s="9" t="s">
        <v>40</v>
      </c>
      <c r="G237" s="9" t="str">
        <f t="shared" si="15"/>
        <v>Low Averg</v>
      </c>
      <c r="H237" s="11">
        <f t="shared" si="16"/>
        <v>40.881379310344826</v>
      </c>
      <c r="I237" s="9">
        <f t="shared" si="17"/>
        <v>29</v>
      </c>
      <c r="J237" s="12">
        <f>DATE(2025, MATCH(E237, {"January","February","March","April","May","June","July","August","September","October","November","December"},0),1)</f>
        <v>45931</v>
      </c>
      <c r="K237" s="13">
        <f t="shared" si="18"/>
        <v>1340.09</v>
      </c>
      <c r="L237" s="13">
        <v>343.97131790687502</v>
      </c>
      <c r="M237" s="14">
        <f t="shared" si="19"/>
        <v>1.5491468073793924E-2</v>
      </c>
    </row>
    <row r="238" spans="1:13" ht="15.5" x14ac:dyDescent="0.35">
      <c r="A238" s="8" t="s">
        <v>66</v>
      </c>
      <c r="B238" s="9" t="s">
        <v>32</v>
      </c>
      <c r="C238" s="9" t="s">
        <v>15</v>
      </c>
      <c r="D238" s="10">
        <v>136.38999999999999</v>
      </c>
      <c r="E238" s="9" t="s">
        <v>63</v>
      </c>
      <c r="F238" s="9" t="s">
        <v>36</v>
      </c>
      <c r="G238" s="9" t="str">
        <f t="shared" si="15"/>
        <v>Low Averg</v>
      </c>
      <c r="H238" s="11">
        <f t="shared" si="16"/>
        <v>141.74161290322584</v>
      </c>
      <c r="I238" s="9">
        <f t="shared" si="17"/>
        <v>31</v>
      </c>
      <c r="J238" s="12">
        <f>DATE(2025, MATCH(E238, {"January","February","March","April","May","June","July","August","September","October","November","December"},0),1)</f>
        <v>45717</v>
      </c>
      <c r="K238" s="13">
        <f t="shared" si="18"/>
        <v>4228.0899999999992</v>
      </c>
      <c r="L238" s="13">
        <v>343.99444213749598</v>
      </c>
      <c r="M238" s="14">
        <f t="shared" si="19"/>
        <v>-1.5557265605723928E-2</v>
      </c>
    </row>
    <row r="239" spans="1:13" ht="15.5" x14ac:dyDescent="0.35">
      <c r="A239" s="8" t="s">
        <v>50</v>
      </c>
      <c r="B239" s="9" t="s">
        <v>32</v>
      </c>
      <c r="C239" s="9" t="s">
        <v>43</v>
      </c>
      <c r="D239" s="10">
        <v>89.75</v>
      </c>
      <c r="E239" s="9" t="s">
        <v>62</v>
      </c>
      <c r="F239" s="9" t="s">
        <v>30</v>
      </c>
      <c r="G239" s="9" t="str">
        <f t="shared" si="15"/>
        <v>Low Averg</v>
      </c>
      <c r="H239" s="11">
        <f t="shared" si="16"/>
        <v>81.934666666666672</v>
      </c>
      <c r="I239" s="9">
        <f t="shared" si="17"/>
        <v>30</v>
      </c>
      <c r="J239" s="12">
        <f>DATE(2025, MATCH(E239, {"January","February","March","April","May","June","July","August","September","October","November","December"},0),1)</f>
        <v>45689</v>
      </c>
      <c r="K239" s="13">
        <f t="shared" si="18"/>
        <v>2692.5</v>
      </c>
      <c r="L239" s="13">
        <v>344.10136341141703</v>
      </c>
      <c r="M239" s="14">
        <f t="shared" si="19"/>
        <v>2.2712299817275357E-2</v>
      </c>
    </row>
    <row r="240" spans="1:13" ht="15.5" x14ac:dyDescent="0.35">
      <c r="A240" s="8" t="s">
        <v>80</v>
      </c>
      <c r="B240" s="9" t="s">
        <v>19</v>
      </c>
      <c r="C240" s="9" t="s">
        <v>20</v>
      </c>
      <c r="D240" s="10">
        <v>858.66</v>
      </c>
      <c r="E240" s="9" t="s">
        <v>35</v>
      </c>
      <c r="F240" s="9" t="s">
        <v>17</v>
      </c>
      <c r="G240" s="9" t="str">
        <f t="shared" si="15"/>
        <v>Above Averg</v>
      </c>
      <c r="H240" s="11">
        <f t="shared" si="16"/>
        <v>720.27689655172423</v>
      </c>
      <c r="I240" s="9">
        <f t="shared" si="17"/>
        <v>29</v>
      </c>
      <c r="J240" s="12">
        <f>DATE(2025, MATCH(E240, {"January","February","March","April","May","June","July","August","September","October","November","December"},0),1)</f>
        <v>45778</v>
      </c>
      <c r="K240" s="13">
        <f t="shared" si="18"/>
        <v>24901.14</v>
      </c>
      <c r="L240" s="13">
        <v>344.16809790604202</v>
      </c>
      <c r="M240" s="14">
        <f t="shared" si="19"/>
        <v>0.40207998443264881</v>
      </c>
    </row>
    <row r="241" spans="1:13" ht="15.5" x14ac:dyDescent="0.35">
      <c r="A241" s="8" t="s">
        <v>80</v>
      </c>
      <c r="B241" s="9" t="s">
        <v>19</v>
      </c>
      <c r="C241" s="9" t="s">
        <v>69</v>
      </c>
      <c r="D241" s="10">
        <v>695.91</v>
      </c>
      <c r="E241" s="9" t="s">
        <v>35</v>
      </c>
      <c r="F241" s="9" t="s">
        <v>30</v>
      </c>
      <c r="G241" s="9" t="str">
        <f t="shared" si="15"/>
        <v>Above Averg</v>
      </c>
      <c r="H241" s="11">
        <f t="shared" si="16"/>
        <v>720.27689655172423</v>
      </c>
      <c r="I241" s="9">
        <f t="shared" si="17"/>
        <v>29</v>
      </c>
      <c r="J241" s="12">
        <f>DATE(2025, MATCH(E241, {"January","February","March","April","May","June","July","August","September","October","November","December"},0),1)</f>
        <v>45778</v>
      </c>
      <c r="K241" s="13">
        <f t="shared" si="18"/>
        <v>20181.39</v>
      </c>
      <c r="L241" s="13">
        <v>343.966094074051</v>
      </c>
      <c r="M241" s="14">
        <f t="shared" si="19"/>
        <v>-7.0840983956047779E-2</v>
      </c>
    </row>
    <row r="242" spans="1:13" ht="15.5" x14ac:dyDescent="0.35">
      <c r="A242" s="8" t="s">
        <v>47</v>
      </c>
      <c r="B242" s="9" t="s">
        <v>19</v>
      </c>
      <c r="C242" s="9" t="s">
        <v>29</v>
      </c>
      <c r="D242" s="10">
        <v>738.27</v>
      </c>
      <c r="E242" s="9" t="s">
        <v>16</v>
      </c>
      <c r="F242" s="9" t="s">
        <v>40</v>
      </c>
      <c r="G242" s="9" t="str">
        <f t="shared" si="15"/>
        <v>Above Averg</v>
      </c>
      <c r="H242" s="11">
        <f t="shared" si="16"/>
        <v>673.04079999999988</v>
      </c>
      <c r="I242" s="9">
        <f t="shared" si="17"/>
        <v>25</v>
      </c>
      <c r="J242" s="12">
        <f>DATE(2025, MATCH(E242, {"January","February","March","April","May","June","July","August","September","October","November","December"},0),1)</f>
        <v>45809</v>
      </c>
      <c r="K242" s="13">
        <f t="shared" si="18"/>
        <v>18456.75</v>
      </c>
      <c r="L242" s="13">
        <v>343.98585725103101</v>
      </c>
      <c r="M242" s="14">
        <f t="shared" si="19"/>
        <v>0.18962756353206028</v>
      </c>
    </row>
    <row r="243" spans="1:13" ht="15.5" x14ac:dyDescent="0.35">
      <c r="A243" s="8" t="s">
        <v>73</v>
      </c>
      <c r="B243" s="9" t="s">
        <v>54</v>
      </c>
      <c r="C243" s="9" t="s">
        <v>49</v>
      </c>
      <c r="D243" s="10">
        <v>34.92</v>
      </c>
      <c r="E243" s="9" t="s">
        <v>57</v>
      </c>
      <c r="F243" s="9" t="s">
        <v>30</v>
      </c>
      <c r="G243" s="9" t="str">
        <f t="shared" si="15"/>
        <v>Low Averg</v>
      </c>
      <c r="H243" s="11">
        <f t="shared" si="16"/>
        <v>40.881379310344826</v>
      </c>
      <c r="I243" s="9">
        <f t="shared" si="17"/>
        <v>29</v>
      </c>
      <c r="J243" s="12">
        <f>DATE(2025, MATCH(E243, {"January","February","March","April","May","June","July","August","September","October","November","December"},0),1)</f>
        <v>45839</v>
      </c>
      <c r="K243" s="13">
        <f t="shared" si="18"/>
        <v>1012.6800000000001</v>
      </c>
      <c r="L243" s="13">
        <v>343.95562231305502</v>
      </c>
      <c r="M243" s="14">
        <f t="shared" si="19"/>
        <v>-1.7331826909109248E-2</v>
      </c>
    </row>
    <row r="244" spans="1:13" ht="15.5" x14ac:dyDescent="0.35">
      <c r="A244" s="8" t="s">
        <v>76</v>
      </c>
      <c r="B244" s="9" t="s">
        <v>60</v>
      </c>
      <c r="C244" s="9" t="s">
        <v>61</v>
      </c>
      <c r="D244" s="10">
        <v>325.52</v>
      </c>
      <c r="E244" s="9" t="s">
        <v>62</v>
      </c>
      <c r="F244" s="9" t="s">
        <v>17</v>
      </c>
      <c r="G244" s="9" t="str">
        <f t="shared" si="15"/>
        <v>Low Averg</v>
      </c>
      <c r="H244" s="11">
        <f t="shared" si="16"/>
        <v>304.90820512820511</v>
      </c>
      <c r="I244" s="9">
        <f t="shared" si="17"/>
        <v>39</v>
      </c>
      <c r="J244" s="12">
        <f>DATE(2025, MATCH(E244, {"January","February","March","April","May","June","July","August","September","October","November","December"},0),1)</f>
        <v>45689</v>
      </c>
      <c r="K244" s="13">
        <f t="shared" si="18"/>
        <v>12695.279999999999</v>
      </c>
      <c r="L244" s="13">
        <v>343.966827886121</v>
      </c>
      <c r="M244" s="14">
        <f t="shared" si="19"/>
        <v>5.9923786832778339E-2</v>
      </c>
    </row>
    <row r="245" spans="1:13" ht="15.5" x14ac:dyDescent="0.35">
      <c r="A245" s="8" t="s">
        <v>59</v>
      </c>
      <c r="B245" s="9" t="s">
        <v>60</v>
      </c>
      <c r="C245" s="9" t="s">
        <v>20</v>
      </c>
      <c r="D245" s="10">
        <v>209.09</v>
      </c>
      <c r="E245" s="9" t="s">
        <v>42</v>
      </c>
      <c r="F245" s="9" t="s">
        <v>17</v>
      </c>
      <c r="G245" s="9" t="str">
        <f t="shared" si="15"/>
        <v>Low Averg</v>
      </c>
      <c r="H245" s="11">
        <f t="shared" si="16"/>
        <v>203.25225806451613</v>
      </c>
      <c r="I245" s="9">
        <f t="shared" si="17"/>
        <v>31</v>
      </c>
      <c r="J245" s="12">
        <f>DATE(2025, MATCH(E245, {"January","February","March","April","May","June","July","August","September","October","November","December"},0),1)</f>
        <v>45658</v>
      </c>
      <c r="K245" s="13">
        <f t="shared" si="18"/>
        <v>6481.79</v>
      </c>
      <c r="L245" s="13">
        <v>344.16305882977798</v>
      </c>
      <c r="M245" s="14">
        <f t="shared" si="19"/>
        <v>1.6962139851189568E-2</v>
      </c>
    </row>
    <row r="246" spans="1:13" ht="15.5" x14ac:dyDescent="0.35">
      <c r="A246" s="8" t="s">
        <v>65</v>
      </c>
      <c r="B246" s="9" t="s">
        <v>23</v>
      </c>
      <c r="C246" s="9" t="s">
        <v>49</v>
      </c>
      <c r="D246" s="10">
        <v>139.53</v>
      </c>
      <c r="E246" s="9" t="s">
        <v>55</v>
      </c>
      <c r="F246" s="9" t="s">
        <v>26</v>
      </c>
      <c r="G246" s="9" t="str">
        <f t="shared" si="15"/>
        <v>Low Averg</v>
      </c>
      <c r="H246" s="11">
        <f t="shared" si="16"/>
        <v>151.26457142857143</v>
      </c>
      <c r="I246" s="9">
        <f t="shared" si="17"/>
        <v>35</v>
      </c>
      <c r="J246" s="12">
        <f>DATE(2025, MATCH(E246, {"January","February","March","April","May","June","July","August","September","October","November","December"},0),1)</f>
        <v>45962</v>
      </c>
      <c r="K246" s="13">
        <f t="shared" si="18"/>
        <v>4883.55</v>
      </c>
      <c r="L246" s="13">
        <v>344.319521108907</v>
      </c>
      <c r="M246" s="14">
        <f t="shared" si="19"/>
        <v>-3.4080470926479436E-2</v>
      </c>
    </row>
    <row r="247" spans="1:13" ht="15.5" x14ac:dyDescent="0.35">
      <c r="A247" s="8" t="s">
        <v>48</v>
      </c>
      <c r="B247" s="9" t="s">
        <v>19</v>
      </c>
      <c r="C247" s="9" t="s">
        <v>29</v>
      </c>
      <c r="D247" s="10">
        <v>1186.3599999999999</v>
      </c>
      <c r="E247" s="9" t="s">
        <v>57</v>
      </c>
      <c r="F247" s="9" t="s">
        <v>40</v>
      </c>
      <c r="G247" s="9" t="str">
        <f t="shared" si="15"/>
        <v>Above Averg</v>
      </c>
      <c r="H247" s="11">
        <f t="shared" si="16"/>
        <v>1235.856</v>
      </c>
      <c r="I247" s="9">
        <f t="shared" si="17"/>
        <v>25</v>
      </c>
      <c r="J247" s="12">
        <f>DATE(2025, MATCH(E247, {"January","February","March","April","May","June","July","August","September","October","November","December"},0),1)</f>
        <v>45839</v>
      </c>
      <c r="K247" s="13">
        <f t="shared" si="18"/>
        <v>29658.999999999996</v>
      </c>
      <c r="L247" s="13">
        <v>344.430289053271</v>
      </c>
      <c r="M247" s="14">
        <f t="shared" si="19"/>
        <v>-0.143703970217163</v>
      </c>
    </row>
    <row r="248" spans="1:13" ht="15.5" x14ac:dyDescent="0.35">
      <c r="A248" s="8" t="s">
        <v>76</v>
      </c>
      <c r="B248" s="9" t="s">
        <v>60</v>
      </c>
      <c r="C248" s="9" t="s">
        <v>49</v>
      </c>
      <c r="D248" s="10">
        <v>274.08</v>
      </c>
      <c r="E248" s="9" t="s">
        <v>46</v>
      </c>
      <c r="F248" s="9" t="s">
        <v>40</v>
      </c>
      <c r="G248" s="9" t="str">
        <f t="shared" si="15"/>
        <v>Low Averg</v>
      </c>
      <c r="H248" s="11">
        <f t="shared" si="16"/>
        <v>304.90820512820511</v>
      </c>
      <c r="I248" s="9">
        <f t="shared" si="17"/>
        <v>39</v>
      </c>
      <c r="J248" s="12">
        <f>DATE(2025, MATCH(E248, {"January","February","March","April","May","June","July","August","September","October","November","December"},0),1)</f>
        <v>45870</v>
      </c>
      <c r="K248" s="13">
        <f t="shared" si="18"/>
        <v>10689.119999999999</v>
      </c>
      <c r="L248" s="13">
        <v>343.50129189621202</v>
      </c>
      <c r="M248" s="14">
        <f t="shared" si="19"/>
        <v>-8.9746984525227891E-2</v>
      </c>
    </row>
    <row r="249" spans="1:13" ht="15.5" x14ac:dyDescent="0.35">
      <c r="A249" s="8" t="s">
        <v>31</v>
      </c>
      <c r="B249" s="9" t="s">
        <v>32</v>
      </c>
      <c r="C249" s="9" t="s">
        <v>43</v>
      </c>
      <c r="D249" s="10">
        <v>127.39</v>
      </c>
      <c r="E249" s="9" t="s">
        <v>42</v>
      </c>
      <c r="F249" s="9" t="s">
        <v>26</v>
      </c>
      <c r="G249" s="9" t="str">
        <f t="shared" si="15"/>
        <v>Low Averg</v>
      </c>
      <c r="H249" s="11">
        <f t="shared" si="16"/>
        <v>123.43305555555558</v>
      </c>
      <c r="I249" s="9">
        <f t="shared" si="17"/>
        <v>36</v>
      </c>
      <c r="J249" s="12">
        <f>DATE(2025, MATCH(E249, {"January","February","March","April","May","June","July","August","September","October","November","December"},0),1)</f>
        <v>45658</v>
      </c>
      <c r="K249" s="13">
        <f t="shared" si="18"/>
        <v>4586.04</v>
      </c>
      <c r="L249" s="13">
        <v>343.686175146859</v>
      </c>
      <c r="M249" s="14">
        <f t="shared" si="19"/>
        <v>1.1513248802497199E-2</v>
      </c>
    </row>
    <row r="250" spans="1:13" ht="15.5" x14ac:dyDescent="0.35">
      <c r="A250" s="8" t="s">
        <v>58</v>
      </c>
      <c r="B250" s="9" t="s">
        <v>23</v>
      </c>
      <c r="C250" s="9" t="s">
        <v>45</v>
      </c>
      <c r="D250" s="10">
        <v>136.4</v>
      </c>
      <c r="E250" s="9" t="s">
        <v>55</v>
      </c>
      <c r="F250" s="9" t="s">
        <v>30</v>
      </c>
      <c r="G250" s="9" t="str">
        <f t="shared" si="15"/>
        <v>Low Averg</v>
      </c>
      <c r="H250" s="11">
        <f t="shared" si="16"/>
        <v>121.60903225806452</v>
      </c>
      <c r="I250" s="9">
        <f t="shared" si="17"/>
        <v>31</v>
      </c>
      <c r="J250" s="12">
        <f>DATE(2025, MATCH(E250, {"January","February","March","April","May","June","July","August","September","October","November","December"},0),1)</f>
        <v>45962</v>
      </c>
      <c r="K250" s="13">
        <f t="shared" si="18"/>
        <v>4228.4000000000005</v>
      </c>
      <c r="L250" s="13">
        <v>343.7875288912</v>
      </c>
      <c r="M250" s="14">
        <f t="shared" si="19"/>
        <v>4.3023572698055762E-2</v>
      </c>
    </row>
    <row r="251" spans="1:13" ht="15.5" x14ac:dyDescent="0.35">
      <c r="A251" s="8" t="s">
        <v>27</v>
      </c>
      <c r="B251" s="9" t="s">
        <v>28</v>
      </c>
      <c r="C251" s="9" t="s">
        <v>15</v>
      </c>
      <c r="D251" s="10">
        <v>102.99</v>
      </c>
      <c r="E251" s="9" t="s">
        <v>62</v>
      </c>
      <c r="F251" s="9" t="s">
        <v>17</v>
      </c>
      <c r="G251" s="9" t="str">
        <f t="shared" si="15"/>
        <v>Low Averg</v>
      </c>
      <c r="H251" s="11">
        <f t="shared" si="16"/>
        <v>113.26108695652174</v>
      </c>
      <c r="I251" s="9">
        <f t="shared" si="17"/>
        <v>46</v>
      </c>
      <c r="J251" s="12">
        <f>DATE(2025, MATCH(E251, {"January","February","March","April","May","June","July","August","September","October","November","December"},0),1)</f>
        <v>45689</v>
      </c>
      <c r="K251" s="13">
        <f t="shared" si="18"/>
        <v>4737.54</v>
      </c>
      <c r="L251" s="13">
        <v>343.896129877958</v>
      </c>
      <c r="M251" s="14">
        <f t="shared" si="19"/>
        <v>-2.9866829150321492E-2</v>
      </c>
    </row>
    <row r="252" spans="1:13" ht="15.5" x14ac:dyDescent="0.35">
      <c r="A252" s="8" t="s">
        <v>76</v>
      </c>
      <c r="B252" s="9" t="s">
        <v>60</v>
      </c>
      <c r="C252" s="9" t="s">
        <v>34</v>
      </c>
      <c r="D252" s="10">
        <v>287.66000000000003</v>
      </c>
      <c r="E252" s="9" t="s">
        <v>25</v>
      </c>
      <c r="F252" s="9" t="s">
        <v>36</v>
      </c>
      <c r="G252" s="9" t="str">
        <f t="shared" si="15"/>
        <v>Low Averg</v>
      </c>
      <c r="H252" s="11">
        <f t="shared" si="16"/>
        <v>304.90820512820511</v>
      </c>
      <c r="I252" s="9">
        <f t="shared" si="17"/>
        <v>39</v>
      </c>
      <c r="J252" s="12">
        <f>DATE(2025, MATCH(E252, {"January","February","March","April","May","June","July","August","September","October","November","December"},0),1)</f>
        <v>45931</v>
      </c>
      <c r="K252" s="13">
        <f t="shared" si="18"/>
        <v>11218.740000000002</v>
      </c>
      <c r="L252" s="13">
        <v>343.97632765308202</v>
      </c>
      <c r="M252" s="14">
        <f t="shared" si="19"/>
        <v>-5.0143581815318396E-2</v>
      </c>
    </row>
    <row r="253" spans="1:13" ht="15.5" x14ac:dyDescent="0.35">
      <c r="A253" s="8" t="s">
        <v>58</v>
      </c>
      <c r="B253" s="9" t="s">
        <v>23</v>
      </c>
      <c r="C253" s="9" t="s">
        <v>45</v>
      </c>
      <c r="D253" s="10">
        <v>114.98</v>
      </c>
      <c r="E253" s="9" t="s">
        <v>62</v>
      </c>
      <c r="F253" s="9" t="s">
        <v>36</v>
      </c>
      <c r="G253" s="9" t="str">
        <f t="shared" si="15"/>
        <v>Low Averg</v>
      </c>
      <c r="H253" s="11">
        <f t="shared" si="16"/>
        <v>121.60903225806452</v>
      </c>
      <c r="I253" s="9">
        <f t="shared" si="17"/>
        <v>31</v>
      </c>
      <c r="J253" s="12">
        <f>DATE(2025, MATCH(E253, {"January","February","March","April","May","June","July","August","September","October","November","December"},0),1)</f>
        <v>45689</v>
      </c>
      <c r="K253" s="13">
        <f t="shared" si="18"/>
        <v>3564.38</v>
      </c>
      <c r="L253" s="13">
        <v>344.166172678713</v>
      </c>
      <c r="M253" s="14">
        <f t="shared" si="19"/>
        <v>-1.9261138323006737E-2</v>
      </c>
    </row>
    <row r="254" spans="1:13" ht="15.5" x14ac:dyDescent="0.35">
      <c r="A254" s="8" t="s">
        <v>79</v>
      </c>
      <c r="B254" s="9" t="s">
        <v>32</v>
      </c>
      <c r="C254" s="9" t="s">
        <v>43</v>
      </c>
      <c r="D254" s="10">
        <v>107.69</v>
      </c>
      <c r="E254" s="9" t="s">
        <v>16</v>
      </c>
      <c r="F254" s="9" t="s">
        <v>17</v>
      </c>
      <c r="G254" s="9" t="str">
        <f t="shared" si="15"/>
        <v>Low Averg</v>
      </c>
      <c r="H254" s="11">
        <f t="shared" si="16"/>
        <v>90.269599999999997</v>
      </c>
      <c r="I254" s="9">
        <f t="shared" si="17"/>
        <v>25</v>
      </c>
      <c r="J254" s="12">
        <f>DATE(2025, MATCH(E254, {"January","February","March","April","May","June","July","August","September","October","November","December"},0),1)</f>
        <v>45809</v>
      </c>
      <c r="K254" s="13">
        <f t="shared" si="18"/>
        <v>2692.25</v>
      </c>
      <c r="L254" s="13">
        <v>344.25710636178002</v>
      </c>
      <c r="M254" s="14">
        <f t="shared" si="19"/>
        <v>5.0602876972110751E-2</v>
      </c>
    </row>
    <row r="255" spans="1:13" ht="15.5" x14ac:dyDescent="0.35">
      <c r="A255" s="8" t="s">
        <v>27</v>
      </c>
      <c r="B255" s="9" t="s">
        <v>28</v>
      </c>
      <c r="C255" s="9" t="s">
        <v>43</v>
      </c>
      <c r="D255" s="10">
        <v>114.43</v>
      </c>
      <c r="E255" s="9" t="s">
        <v>21</v>
      </c>
      <c r="F255" s="9" t="s">
        <v>36</v>
      </c>
      <c r="G255" s="9" t="str">
        <f t="shared" si="15"/>
        <v>Low Averg</v>
      </c>
      <c r="H255" s="11">
        <f t="shared" si="16"/>
        <v>113.26108695652174</v>
      </c>
      <c r="I255" s="9">
        <f t="shared" si="17"/>
        <v>46</v>
      </c>
      <c r="J255" s="12">
        <f>DATE(2025, MATCH(E255, {"January","February","March","April","May","June","July","August","September","October","November","December"},0),1)</f>
        <v>45748</v>
      </c>
      <c r="K255" s="13">
        <f t="shared" si="18"/>
        <v>5263.7800000000007</v>
      </c>
      <c r="L255" s="13">
        <v>344.34153005430102</v>
      </c>
      <c r="M255" s="14">
        <f t="shared" si="19"/>
        <v>3.3946327743096735E-3</v>
      </c>
    </row>
    <row r="256" spans="1:13" ht="15.5" x14ac:dyDescent="0.35">
      <c r="A256" s="8" t="s">
        <v>77</v>
      </c>
      <c r="B256" s="9" t="s">
        <v>14</v>
      </c>
      <c r="C256" s="9" t="s">
        <v>20</v>
      </c>
      <c r="D256" s="10">
        <v>224.25</v>
      </c>
      <c r="E256" s="9" t="s">
        <v>62</v>
      </c>
      <c r="F256" s="9" t="s">
        <v>17</v>
      </c>
      <c r="G256" s="9" t="str">
        <f t="shared" si="15"/>
        <v>Low Averg</v>
      </c>
      <c r="H256" s="11">
        <f t="shared" si="16"/>
        <v>226.49633333333335</v>
      </c>
      <c r="I256" s="9">
        <f t="shared" si="17"/>
        <v>30</v>
      </c>
      <c r="J256" s="12">
        <f>DATE(2025, MATCH(E256, {"January","February","March","April","May","June","July","August","September","October","November","December"},0),1)</f>
        <v>45689</v>
      </c>
      <c r="K256" s="13">
        <f t="shared" si="18"/>
        <v>6727.5</v>
      </c>
      <c r="L256" s="13">
        <v>344.43182770768499</v>
      </c>
      <c r="M256" s="14">
        <f t="shared" si="19"/>
        <v>-6.5218517936727642E-3</v>
      </c>
    </row>
    <row r="257" spans="1:13" ht="15.5" x14ac:dyDescent="0.35">
      <c r="A257" s="8" t="s">
        <v>67</v>
      </c>
      <c r="B257" s="9" t="s">
        <v>23</v>
      </c>
      <c r="C257" s="9" t="s">
        <v>43</v>
      </c>
      <c r="D257" s="10">
        <v>238.7</v>
      </c>
      <c r="E257" s="9" t="s">
        <v>42</v>
      </c>
      <c r="F257" s="9" t="s">
        <v>40</v>
      </c>
      <c r="G257" s="9" t="str">
        <f t="shared" si="15"/>
        <v>Low Averg</v>
      </c>
      <c r="H257" s="11">
        <f t="shared" si="16"/>
        <v>226.566129032258</v>
      </c>
      <c r="I257" s="9">
        <f t="shared" si="17"/>
        <v>31</v>
      </c>
      <c r="J257" s="12">
        <f>DATE(2025, MATCH(E257, {"January","February","March","April","May","June","July","August","September","October","November","December"},0),1)</f>
        <v>45658</v>
      </c>
      <c r="K257" s="13">
        <f t="shared" si="18"/>
        <v>7399.7</v>
      </c>
      <c r="L257" s="13">
        <v>344.59767741526099</v>
      </c>
      <c r="M257" s="14">
        <f t="shared" si="19"/>
        <v>3.5211702698506403E-2</v>
      </c>
    </row>
    <row r="258" spans="1:13" ht="15.5" x14ac:dyDescent="0.35">
      <c r="A258" s="8" t="s">
        <v>81</v>
      </c>
      <c r="B258" s="9" t="s">
        <v>28</v>
      </c>
      <c r="C258" s="9" t="s">
        <v>24</v>
      </c>
      <c r="D258" s="10">
        <v>143.31</v>
      </c>
      <c r="E258" s="9" t="s">
        <v>35</v>
      </c>
      <c r="F258" s="9" t="s">
        <v>40</v>
      </c>
      <c r="G258" s="9" t="str">
        <f t="shared" si="15"/>
        <v>Low Averg</v>
      </c>
      <c r="H258" s="11">
        <f t="shared" si="16"/>
        <v>140.29840000000002</v>
      </c>
      <c r="I258" s="9">
        <f t="shared" si="17"/>
        <v>25</v>
      </c>
      <c r="J258" s="12">
        <f>DATE(2025, MATCH(E258, {"January","February","March","April","May","June","July","August","September","October","November","December"},0),1)</f>
        <v>45778</v>
      </c>
      <c r="K258" s="13">
        <f t="shared" si="18"/>
        <v>3582.75</v>
      </c>
      <c r="L258" s="13">
        <v>344.77064547239701</v>
      </c>
      <c r="M258" s="14">
        <f t="shared" si="19"/>
        <v>8.7350824078237885E-3</v>
      </c>
    </row>
    <row r="259" spans="1:13" ht="15.5" x14ac:dyDescent="0.35">
      <c r="A259" s="8" t="s">
        <v>77</v>
      </c>
      <c r="B259" s="9" t="s">
        <v>14</v>
      </c>
      <c r="C259" s="9" t="s">
        <v>20</v>
      </c>
      <c r="D259" s="10">
        <v>203.71</v>
      </c>
      <c r="E259" s="9" t="s">
        <v>42</v>
      </c>
      <c r="F259" s="9" t="s">
        <v>17</v>
      </c>
      <c r="G259" s="9" t="str">
        <f t="shared" si="15"/>
        <v>Low Averg</v>
      </c>
      <c r="H259" s="11">
        <f t="shared" si="16"/>
        <v>226.49633333333335</v>
      </c>
      <c r="I259" s="9">
        <f t="shared" si="17"/>
        <v>30</v>
      </c>
      <c r="J259" s="12">
        <f>DATE(2025, MATCH(E259, {"January","February","March","April","May","June","July","August","September","October","November","December"},0),1)</f>
        <v>45658</v>
      </c>
      <c r="K259" s="13">
        <f t="shared" si="18"/>
        <v>6111.3</v>
      </c>
      <c r="L259" s="13">
        <v>344.88505383679802</v>
      </c>
      <c r="M259" s="14">
        <f t="shared" si="19"/>
        <v>-6.6069355803733951E-2</v>
      </c>
    </row>
    <row r="260" spans="1:13" ht="15.5" x14ac:dyDescent="0.35">
      <c r="A260" s="8" t="s">
        <v>64</v>
      </c>
      <c r="B260" s="9" t="s">
        <v>60</v>
      </c>
      <c r="C260" s="9" t="s">
        <v>45</v>
      </c>
      <c r="D260" s="10">
        <v>240.98</v>
      </c>
      <c r="E260" s="9" t="s">
        <v>21</v>
      </c>
      <c r="F260" s="9" t="s">
        <v>30</v>
      </c>
      <c r="G260" s="9" t="str">
        <f t="shared" si="15"/>
        <v>Low Averg</v>
      </c>
      <c r="H260" s="11">
        <f t="shared" si="16"/>
        <v>249.29749999999999</v>
      </c>
      <c r="I260" s="9">
        <f t="shared" si="17"/>
        <v>32</v>
      </c>
      <c r="J260" s="12">
        <f>DATE(2025, MATCH(E260, {"January","February","March","April","May","June","July","August","September","October","November","December"},0),1)</f>
        <v>45748</v>
      </c>
      <c r="K260" s="13">
        <f t="shared" si="18"/>
        <v>7711.36</v>
      </c>
      <c r="L260" s="13">
        <v>345.04043091486102</v>
      </c>
      <c r="M260" s="14">
        <f t="shared" si="19"/>
        <v>-2.4105870659697687E-2</v>
      </c>
    </row>
    <row r="261" spans="1:13" ht="15.5" x14ac:dyDescent="0.35">
      <c r="A261" s="8" t="s">
        <v>65</v>
      </c>
      <c r="B261" s="9" t="s">
        <v>23</v>
      </c>
      <c r="C261" s="9" t="s">
        <v>49</v>
      </c>
      <c r="D261" s="10">
        <v>170.49</v>
      </c>
      <c r="E261" s="9" t="s">
        <v>63</v>
      </c>
      <c r="F261" s="9" t="s">
        <v>26</v>
      </c>
      <c r="G261" s="9" t="str">
        <f t="shared" si="15"/>
        <v>Low Averg</v>
      </c>
      <c r="H261" s="11">
        <f t="shared" si="16"/>
        <v>151.26457142857143</v>
      </c>
      <c r="I261" s="9">
        <f t="shared" si="17"/>
        <v>35</v>
      </c>
      <c r="J261" s="12">
        <f>DATE(2025, MATCH(E261, {"January","February","March","April","May","June","July","August","September","October","November","December"},0),1)</f>
        <v>45717</v>
      </c>
      <c r="K261" s="13">
        <f t="shared" si="18"/>
        <v>5967.1500000000005</v>
      </c>
      <c r="L261" s="13">
        <v>345.21505936966798</v>
      </c>
      <c r="M261" s="14">
        <f t="shared" si="19"/>
        <v>5.5691164245651695E-2</v>
      </c>
    </row>
    <row r="262" spans="1:13" ht="15.5" x14ac:dyDescent="0.35">
      <c r="A262" s="8" t="s">
        <v>64</v>
      </c>
      <c r="B262" s="9" t="s">
        <v>60</v>
      </c>
      <c r="C262" s="9" t="s">
        <v>43</v>
      </c>
      <c r="D262" s="10">
        <v>276.99</v>
      </c>
      <c r="E262" s="9" t="s">
        <v>46</v>
      </c>
      <c r="F262" s="9" t="s">
        <v>36</v>
      </c>
      <c r="G262" s="9" t="str">
        <f t="shared" si="15"/>
        <v>Low Averg</v>
      </c>
      <c r="H262" s="11">
        <f t="shared" si="16"/>
        <v>249.29749999999999</v>
      </c>
      <c r="I262" s="9">
        <f t="shared" si="17"/>
        <v>32</v>
      </c>
      <c r="J262" s="12">
        <f>DATE(2025, MATCH(E262, {"January","February","March","April","May","June","July","August","September","October","November","December"},0),1)</f>
        <v>45870</v>
      </c>
      <c r="K262" s="13">
        <f t="shared" si="18"/>
        <v>8863.68</v>
      </c>
      <c r="L262" s="13">
        <v>345.34979982208102</v>
      </c>
      <c r="M262" s="14">
        <f t="shared" si="19"/>
        <v>8.0186813527231754E-2</v>
      </c>
    </row>
    <row r="263" spans="1:13" ht="15.5" x14ac:dyDescent="0.35">
      <c r="A263" s="8" t="s">
        <v>58</v>
      </c>
      <c r="B263" s="9" t="s">
        <v>23</v>
      </c>
      <c r="C263" s="9" t="s">
        <v>24</v>
      </c>
      <c r="D263" s="10">
        <v>127.61</v>
      </c>
      <c r="E263" s="9" t="s">
        <v>42</v>
      </c>
      <c r="F263" s="9" t="s">
        <v>36</v>
      </c>
      <c r="G263" s="9" t="str">
        <f t="shared" si="15"/>
        <v>Low Averg</v>
      </c>
      <c r="H263" s="11">
        <f t="shared" si="16"/>
        <v>121.60903225806452</v>
      </c>
      <c r="I263" s="9">
        <f t="shared" si="17"/>
        <v>31</v>
      </c>
      <c r="J263" s="12">
        <f>DATE(2025, MATCH(E263, {"January","February","March","April","May","June","July","August","September","October","November","December"},0),1)</f>
        <v>45658</v>
      </c>
      <c r="K263" s="13">
        <f t="shared" si="18"/>
        <v>3955.91</v>
      </c>
      <c r="L263" s="13">
        <v>345.53884383040503</v>
      </c>
      <c r="M263" s="14">
        <f t="shared" si="19"/>
        <v>1.7366984491274259E-2</v>
      </c>
    </row>
    <row r="264" spans="1:13" ht="15.5" x14ac:dyDescent="0.35">
      <c r="A264" s="8" t="s">
        <v>53</v>
      </c>
      <c r="B264" s="9" t="s">
        <v>54</v>
      </c>
      <c r="C264" s="9" t="s">
        <v>24</v>
      </c>
      <c r="D264" s="10">
        <v>779.72</v>
      </c>
      <c r="E264" s="9" t="s">
        <v>39</v>
      </c>
      <c r="F264" s="9" t="s">
        <v>40</v>
      </c>
      <c r="G264" s="9" t="str">
        <f t="shared" ref="G264:G327" si="20">IF(D264&gt;AVERAGE(D:D),"Above Averg","Low Averg")</f>
        <v>Above Averg</v>
      </c>
      <c r="H264" s="11">
        <f t="shared" ref="H264:H327" si="21">AVERAGEIF(A:A,A264,D:D)</f>
        <v>810.77454545454566</v>
      </c>
      <c r="I264" s="9">
        <f t="shared" ref="I264:I327" si="22">COUNTIF(A:A,A264)</f>
        <v>33</v>
      </c>
      <c r="J264" s="12">
        <f>DATE(2025, MATCH(E264, {"January","February","March","April","May","June","July","August","September","October","November","December"},0),1)</f>
        <v>45992</v>
      </c>
      <c r="K264" s="13">
        <f t="shared" ref="K264:K327" si="23">1*(D264*I264)</f>
        <v>25730.760000000002</v>
      </c>
      <c r="L264" s="13">
        <v>345.64105794397602</v>
      </c>
      <c r="M264" s="14">
        <f t="shared" ref="M264:M327" si="24">(D264-H264)/L264</f>
        <v>-8.9846228452347743E-2</v>
      </c>
    </row>
    <row r="265" spans="1:13" ht="15.5" x14ac:dyDescent="0.35">
      <c r="A265" s="8" t="s">
        <v>82</v>
      </c>
      <c r="B265" s="9" t="s">
        <v>14</v>
      </c>
      <c r="C265" s="9" t="s">
        <v>20</v>
      </c>
      <c r="D265" s="10">
        <v>942.3</v>
      </c>
      <c r="E265" s="9" t="s">
        <v>25</v>
      </c>
      <c r="F265" s="9" t="s">
        <v>40</v>
      </c>
      <c r="G265" s="9" t="str">
        <f t="shared" si="20"/>
        <v>Above Averg</v>
      </c>
      <c r="H265" s="11">
        <f t="shared" si="21"/>
        <v>905.6025925925926</v>
      </c>
      <c r="I265" s="9">
        <f t="shared" si="22"/>
        <v>27</v>
      </c>
      <c r="J265" s="12">
        <f>DATE(2025, MATCH(E265, {"January","February","March","April","May","June","July","August","September","October","November","December"},0),1)</f>
        <v>45931</v>
      </c>
      <c r="K265" s="13">
        <f t="shared" si="23"/>
        <v>25442.1</v>
      </c>
      <c r="L265" s="13">
        <v>345.56089107487998</v>
      </c>
      <c r="M265" s="14">
        <f t="shared" si="24"/>
        <v>0.1061966453821169</v>
      </c>
    </row>
    <row r="266" spans="1:13" ht="15.5" x14ac:dyDescent="0.35">
      <c r="A266" s="8" t="s">
        <v>47</v>
      </c>
      <c r="B266" s="9" t="s">
        <v>19</v>
      </c>
      <c r="C266" s="9" t="s">
        <v>45</v>
      </c>
      <c r="D266" s="10">
        <v>663.02</v>
      </c>
      <c r="E266" s="9" t="s">
        <v>39</v>
      </c>
      <c r="F266" s="9" t="s">
        <v>17</v>
      </c>
      <c r="G266" s="9" t="str">
        <f t="shared" si="20"/>
        <v>Above Averg</v>
      </c>
      <c r="H266" s="11">
        <f t="shared" si="21"/>
        <v>673.04079999999988</v>
      </c>
      <c r="I266" s="9">
        <f t="shared" si="22"/>
        <v>25</v>
      </c>
      <c r="J266" s="12">
        <f>DATE(2025, MATCH(E266, {"January","February","March","April","May","June","July","August","September","October","November","December"},0),1)</f>
        <v>45992</v>
      </c>
      <c r="K266" s="13">
        <f t="shared" si="23"/>
        <v>16575.5</v>
      </c>
      <c r="L266" s="13">
        <v>345.20571170614397</v>
      </c>
      <c r="M266" s="14">
        <f t="shared" si="24"/>
        <v>-2.9028488406153869E-2</v>
      </c>
    </row>
    <row r="267" spans="1:13" ht="15.5" x14ac:dyDescent="0.35">
      <c r="A267" s="8" t="s">
        <v>27</v>
      </c>
      <c r="B267" s="9" t="s">
        <v>28</v>
      </c>
      <c r="C267" s="9" t="s">
        <v>45</v>
      </c>
      <c r="D267" s="10">
        <v>124.32</v>
      </c>
      <c r="E267" s="9" t="s">
        <v>63</v>
      </c>
      <c r="F267" s="9" t="s">
        <v>30</v>
      </c>
      <c r="G267" s="9" t="str">
        <f t="shared" si="20"/>
        <v>Low Averg</v>
      </c>
      <c r="H267" s="11">
        <f t="shared" si="21"/>
        <v>113.26108695652174</v>
      </c>
      <c r="I267" s="9">
        <f t="shared" si="22"/>
        <v>46</v>
      </c>
      <c r="J267" s="12">
        <f>DATE(2025, MATCH(E267, {"January","February","March","April","May","June","July","August","September","October","November","December"},0),1)</f>
        <v>45717</v>
      </c>
      <c r="K267" s="13">
        <f t="shared" si="23"/>
        <v>5718.7199999999993</v>
      </c>
      <c r="L267" s="13">
        <v>345.26418988351003</v>
      </c>
      <c r="M267" s="14">
        <f t="shared" si="24"/>
        <v>3.203029264983856E-2</v>
      </c>
    </row>
    <row r="268" spans="1:13" ht="15.5" x14ac:dyDescent="0.35">
      <c r="A268" s="8" t="s">
        <v>79</v>
      </c>
      <c r="B268" s="9" t="s">
        <v>32</v>
      </c>
      <c r="C268" s="9" t="s">
        <v>24</v>
      </c>
      <c r="D268" s="10">
        <v>74.489999999999995</v>
      </c>
      <c r="E268" s="9" t="s">
        <v>46</v>
      </c>
      <c r="F268" s="9" t="s">
        <v>26</v>
      </c>
      <c r="G268" s="9" t="str">
        <f t="shared" si="20"/>
        <v>Low Averg</v>
      </c>
      <c r="H268" s="11">
        <f t="shared" si="21"/>
        <v>90.269599999999997</v>
      </c>
      <c r="I268" s="9">
        <f t="shared" si="22"/>
        <v>25</v>
      </c>
      <c r="J268" s="12">
        <f>DATE(2025, MATCH(E268, {"January","February","March","April","May","June","July","August","September","October","November","December"},0),1)</f>
        <v>45870</v>
      </c>
      <c r="K268" s="13">
        <f t="shared" si="23"/>
        <v>1862.2499999999998</v>
      </c>
      <c r="L268" s="13">
        <v>345.36488720615699</v>
      </c>
      <c r="M268" s="14">
        <f t="shared" si="24"/>
        <v>-4.568964762935139E-2</v>
      </c>
    </row>
    <row r="269" spans="1:13" ht="15.5" x14ac:dyDescent="0.35">
      <c r="A269" s="8" t="s">
        <v>37</v>
      </c>
      <c r="B269" s="9" t="s">
        <v>38</v>
      </c>
      <c r="C269" s="9" t="s">
        <v>15</v>
      </c>
      <c r="D269" s="10">
        <v>972.32</v>
      </c>
      <c r="E269" s="9" t="s">
        <v>72</v>
      </c>
      <c r="F269" s="9" t="s">
        <v>17</v>
      </c>
      <c r="G269" s="9" t="str">
        <f t="shared" si="20"/>
        <v>Above Averg</v>
      </c>
      <c r="H269" s="11">
        <f t="shared" si="21"/>
        <v>1024.1451428571424</v>
      </c>
      <c r="I269" s="9">
        <f t="shared" si="22"/>
        <v>35</v>
      </c>
      <c r="J269" s="12">
        <f>DATE(2025, MATCH(E269, {"January","February","March","April","May","June","July","August","September","October","November","December"},0),1)</f>
        <v>45901</v>
      </c>
      <c r="K269" s="13">
        <f t="shared" si="23"/>
        <v>34031.200000000004</v>
      </c>
      <c r="L269" s="13">
        <v>345.41870958161797</v>
      </c>
      <c r="M269" s="14">
        <f t="shared" si="24"/>
        <v>-0.15003571439403107</v>
      </c>
    </row>
    <row r="270" spans="1:13" ht="15.5" x14ac:dyDescent="0.35">
      <c r="A270" s="8" t="s">
        <v>64</v>
      </c>
      <c r="B270" s="9" t="s">
        <v>60</v>
      </c>
      <c r="C270" s="9" t="s">
        <v>43</v>
      </c>
      <c r="D270" s="10">
        <v>235.78</v>
      </c>
      <c r="E270" s="9" t="s">
        <v>42</v>
      </c>
      <c r="F270" s="9" t="s">
        <v>30</v>
      </c>
      <c r="G270" s="9" t="str">
        <f t="shared" si="20"/>
        <v>Low Averg</v>
      </c>
      <c r="H270" s="11">
        <f t="shared" si="21"/>
        <v>249.29749999999999</v>
      </c>
      <c r="I270" s="9">
        <f t="shared" si="22"/>
        <v>32</v>
      </c>
      <c r="J270" s="12">
        <f>DATE(2025, MATCH(E270, {"January","February","March","April","May","June","July","August","September","October","November","December"},0),1)</f>
        <v>45658</v>
      </c>
      <c r="K270" s="13">
        <f t="shared" si="23"/>
        <v>7544.96</v>
      </c>
      <c r="L270" s="13">
        <v>344.99979905938198</v>
      </c>
      <c r="M270" s="14">
        <f t="shared" si="24"/>
        <v>-3.9181182240843354E-2</v>
      </c>
    </row>
    <row r="271" spans="1:13" ht="15.5" x14ac:dyDescent="0.35">
      <c r="A271" s="8" t="s">
        <v>75</v>
      </c>
      <c r="B271" s="9" t="s">
        <v>28</v>
      </c>
      <c r="C271" s="9" t="s">
        <v>69</v>
      </c>
      <c r="D271" s="10">
        <v>115.34</v>
      </c>
      <c r="E271" s="9" t="s">
        <v>16</v>
      </c>
      <c r="F271" s="9" t="s">
        <v>26</v>
      </c>
      <c r="G271" s="9" t="str">
        <f t="shared" si="20"/>
        <v>Low Averg</v>
      </c>
      <c r="H271" s="11">
        <f t="shared" si="21"/>
        <v>120.53625</v>
      </c>
      <c r="I271" s="9">
        <f t="shared" si="22"/>
        <v>24</v>
      </c>
      <c r="J271" s="12">
        <f>DATE(2025, MATCH(E271, {"January","February","March","April","May","June","July","August","September","October","November","December"},0),1)</f>
        <v>45809</v>
      </c>
      <c r="K271" s="13">
        <f t="shared" si="23"/>
        <v>2768.16</v>
      </c>
      <c r="L271" s="13">
        <v>345.17445243064998</v>
      </c>
      <c r="M271" s="14">
        <f t="shared" si="24"/>
        <v>-1.5053982018104269E-2</v>
      </c>
    </row>
    <row r="272" spans="1:13" ht="15.5" x14ac:dyDescent="0.35">
      <c r="A272" s="8" t="s">
        <v>76</v>
      </c>
      <c r="B272" s="9" t="s">
        <v>60</v>
      </c>
      <c r="C272" s="9" t="s">
        <v>69</v>
      </c>
      <c r="D272" s="10">
        <v>311.04000000000002</v>
      </c>
      <c r="E272" s="9" t="s">
        <v>16</v>
      </c>
      <c r="F272" s="9" t="s">
        <v>40</v>
      </c>
      <c r="G272" s="9" t="str">
        <f t="shared" si="20"/>
        <v>Low Averg</v>
      </c>
      <c r="H272" s="11">
        <f t="shared" si="21"/>
        <v>304.90820512820511</v>
      </c>
      <c r="I272" s="9">
        <f t="shared" si="22"/>
        <v>39</v>
      </c>
      <c r="J272" s="12">
        <f>DATE(2025, MATCH(E272, {"January","February","March","April","May","June","July","August","September","October","November","December"},0),1)</f>
        <v>45809</v>
      </c>
      <c r="K272" s="13">
        <f t="shared" si="23"/>
        <v>12130.560000000001</v>
      </c>
      <c r="L272" s="13">
        <v>345.26764036946997</v>
      </c>
      <c r="M272" s="14">
        <f t="shared" si="24"/>
        <v>1.7759541164162652E-2</v>
      </c>
    </row>
    <row r="273" spans="1:13" ht="15.5" x14ac:dyDescent="0.35">
      <c r="A273" s="8" t="s">
        <v>37</v>
      </c>
      <c r="B273" s="9" t="s">
        <v>38</v>
      </c>
      <c r="C273" s="9" t="s">
        <v>45</v>
      </c>
      <c r="D273" s="10">
        <v>1009.06</v>
      </c>
      <c r="E273" s="9" t="s">
        <v>46</v>
      </c>
      <c r="F273" s="9" t="s">
        <v>40</v>
      </c>
      <c r="G273" s="9" t="str">
        <f t="shared" si="20"/>
        <v>Above Averg</v>
      </c>
      <c r="H273" s="11">
        <f t="shared" si="21"/>
        <v>1024.1451428571424</v>
      </c>
      <c r="I273" s="9">
        <f t="shared" si="22"/>
        <v>35</v>
      </c>
      <c r="J273" s="12">
        <f>DATE(2025, MATCH(E273, {"January","February","March","April","May","June","July","August","September","October","November","December"},0),1)</f>
        <v>45870</v>
      </c>
      <c r="K273" s="13">
        <f t="shared" si="23"/>
        <v>35317.1</v>
      </c>
      <c r="L273" s="13">
        <v>345.46827095610502</v>
      </c>
      <c r="M273" s="14">
        <f t="shared" si="24"/>
        <v>-4.3665783880509276E-2</v>
      </c>
    </row>
    <row r="274" spans="1:13" ht="15.5" x14ac:dyDescent="0.35">
      <c r="A274" s="8" t="s">
        <v>18</v>
      </c>
      <c r="B274" s="9" t="s">
        <v>19</v>
      </c>
      <c r="C274" s="9" t="s">
        <v>34</v>
      </c>
      <c r="D274" s="10">
        <v>1027.18</v>
      </c>
      <c r="E274" s="9" t="s">
        <v>16</v>
      </c>
      <c r="F274" s="9" t="s">
        <v>40</v>
      </c>
      <c r="G274" s="9" t="str">
        <f t="shared" si="20"/>
        <v>Above Averg</v>
      </c>
      <c r="H274" s="11">
        <f t="shared" si="21"/>
        <v>920.12567567567555</v>
      </c>
      <c r="I274" s="9">
        <f t="shared" si="22"/>
        <v>37</v>
      </c>
      <c r="J274" s="12">
        <f>DATE(2025, MATCH(E274, {"January","February","March","April","May","June","July","August","September","October","November","December"},0),1)</f>
        <v>45809</v>
      </c>
      <c r="K274" s="13">
        <f t="shared" si="23"/>
        <v>38005.660000000003</v>
      </c>
      <c r="L274" s="13">
        <v>344.96781958794003</v>
      </c>
      <c r="M274" s="14">
        <f t="shared" si="24"/>
        <v>0.3103313359843235</v>
      </c>
    </row>
    <row r="275" spans="1:13" ht="15.5" x14ac:dyDescent="0.35">
      <c r="A275" s="8" t="s">
        <v>22</v>
      </c>
      <c r="B275" s="9" t="s">
        <v>23</v>
      </c>
      <c r="C275" s="9" t="s">
        <v>34</v>
      </c>
      <c r="D275" s="10">
        <v>223.75</v>
      </c>
      <c r="E275" s="9" t="s">
        <v>42</v>
      </c>
      <c r="F275" s="9" t="s">
        <v>17</v>
      </c>
      <c r="G275" s="9" t="str">
        <f t="shared" si="20"/>
        <v>Low Averg</v>
      </c>
      <c r="H275" s="11">
        <f t="shared" si="21"/>
        <v>257.40029411764709</v>
      </c>
      <c r="I275" s="9">
        <f t="shared" si="22"/>
        <v>34</v>
      </c>
      <c r="J275" s="12">
        <f>DATE(2025, MATCH(E275, {"January","February","March","April","May","June","July","August","September","October","November","December"},0),1)</f>
        <v>45658</v>
      </c>
      <c r="K275" s="13">
        <f t="shared" si="23"/>
        <v>7607.5</v>
      </c>
      <c r="L275" s="13">
        <v>344.42273710922302</v>
      </c>
      <c r="M275" s="14">
        <f t="shared" si="24"/>
        <v>-9.7700559492899977E-2</v>
      </c>
    </row>
    <row r="276" spans="1:13" ht="15.5" x14ac:dyDescent="0.35">
      <c r="A276" s="8" t="s">
        <v>64</v>
      </c>
      <c r="B276" s="9" t="s">
        <v>60</v>
      </c>
      <c r="C276" s="9" t="s">
        <v>45</v>
      </c>
      <c r="D276" s="10">
        <v>218.55</v>
      </c>
      <c r="E276" s="9" t="s">
        <v>46</v>
      </c>
      <c r="F276" s="9" t="s">
        <v>36</v>
      </c>
      <c r="G276" s="9" t="str">
        <f t="shared" si="20"/>
        <v>Low Averg</v>
      </c>
      <c r="H276" s="11">
        <f t="shared" si="21"/>
        <v>249.29749999999999</v>
      </c>
      <c r="I276" s="9">
        <f t="shared" si="22"/>
        <v>32</v>
      </c>
      <c r="J276" s="12">
        <f>DATE(2025, MATCH(E276, {"January","February","March","April","May","June","July","August","September","October","November","December"},0),1)</f>
        <v>45870</v>
      </c>
      <c r="K276" s="13">
        <f t="shared" si="23"/>
        <v>6993.6</v>
      </c>
      <c r="L276" s="13">
        <v>344.59262774221202</v>
      </c>
      <c r="M276" s="14">
        <f t="shared" si="24"/>
        <v>-8.9228548508013997E-2</v>
      </c>
    </row>
    <row r="277" spans="1:13" ht="15.5" x14ac:dyDescent="0.35">
      <c r="A277" s="8" t="s">
        <v>83</v>
      </c>
      <c r="B277" s="9" t="s">
        <v>23</v>
      </c>
      <c r="C277" s="9" t="s">
        <v>34</v>
      </c>
      <c r="D277" s="10">
        <v>124.76</v>
      </c>
      <c r="E277" s="9" t="s">
        <v>62</v>
      </c>
      <c r="F277" s="9" t="s">
        <v>36</v>
      </c>
      <c r="G277" s="9" t="str">
        <f t="shared" si="20"/>
        <v>Low Averg</v>
      </c>
      <c r="H277" s="11">
        <f t="shared" si="21"/>
        <v>132.90272727272728</v>
      </c>
      <c r="I277" s="9">
        <f t="shared" si="22"/>
        <v>22</v>
      </c>
      <c r="J277" s="12">
        <f>DATE(2025, MATCH(E277, {"January","February","March","April","May","June","July","August","September","October","November","December"},0),1)</f>
        <v>45689</v>
      </c>
      <c r="K277" s="13">
        <f t="shared" si="23"/>
        <v>2744.7200000000003</v>
      </c>
      <c r="L277" s="13">
        <v>344.76004643551198</v>
      </c>
      <c r="M277" s="14">
        <f t="shared" si="24"/>
        <v>-2.3618535143254727E-2</v>
      </c>
    </row>
    <row r="278" spans="1:13" ht="15.5" x14ac:dyDescent="0.35">
      <c r="A278" s="8" t="s">
        <v>81</v>
      </c>
      <c r="B278" s="9" t="s">
        <v>28</v>
      </c>
      <c r="C278" s="9" t="s">
        <v>34</v>
      </c>
      <c r="D278" s="10">
        <v>132.44999999999999</v>
      </c>
      <c r="E278" s="9" t="s">
        <v>16</v>
      </c>
      <c r="F278" s="9" t="s">
        <v>30</v>
      </c>
      <c r="G278" s="9" t="str">
        <f t="shared" si="20"/>
        <v>Low Averg</v>
      </c>
      <c r="H278" s="11">
        <f t="shared" si="21"/>
        <v>140.29840000000002</v>
      </c>
      <c r="I278" s="9">
        <f t="shared" si="22"/>
        <v>25</v>
      </c>
      <c r="J278" s="12">
        <f>DATE(2025, MATCH(E278, {"January","February","March","April","May","June","July","August","September","October","November","December"},0),1)</f>
        <v>45809</v>
      </c>
      <c r="K278" s="13">
        <f t="shared" si="23"/>
        <v>3311.2499999999995</v>
      </c>
      <c r="L278" s="13">
        <v>344.86250151630401</v>
      </c>
      <c r="M278" s="14">
        <f t="shared" si="24"/>
        <v>-2.2758055646792258E-2</v>
      </c>
    </row>
    <row r="279" spans="1:13" ht="15.5" x14ac:dyDescent="0.35">
      <c r="A279" s="8" t="s">
        <v>56</v>
      </c>
      <c r="B279" s="9" t="s">
        <v>19</v>
      </c>
      <c r="C279" s="9" t="s">
        <v>49</v>
      </c>
      <c r="D279" s="10">
        <v>486.69</v>
      </c>
      <c r="E279" s="9" t="s">
        <v>55</v>
      </c>
      <c r="F279" s="9" t="s">
        <v>40</v>
      </c>
      <c r="G279" s="9" t="str">
        <f t="shared" si="20"/>
        <v>Above Averg</v>
      </c>
      <c r="H279" s="11">
        <f t="shared" si="21"/>
        <v>533.4588235294118</v>
      </c>
      <c r="I279" s="9">
        <f t="shared" si="22"/>
        <v>34</v>
      </c>
      <c r="J279" s="12">
        <f>DATE(2025, MATCH(E279, {"January","February","March","April","May","June","July","August","September","October","November","December"},0),1)</f>
        <v>45962</v>
      </c>
      <c r="K279" s="13">
        <f t="shared" si="23"/>
        <v>16547.46</v>
      </c>
      <c r="L279" s="13">
        <v>344.97143762443199</v>
      </c>
      <c r="M279" s="14">
        <f t="shared" si="24"/>
        <v>-0.13557303135434853</v>
      </c>
    </row>
    <row r="280" spans="1:13" ht="15.5" x14ac:dyDescent="0.35">
      <c r="A280" s="8" t="s">
        <v>68</v>
      </c>
      <c r="B280" s="9" t="s">
        <v>28</v>
      </c>
      <c r="C280" s="9" t="s">
        <v>43</v>
      </c>
      <c r="D280" s="10">
        <v>93.81</v>
      </c>
      <c r="E280" s="9" t="s">
        <v>25</v>
      </c>
      <c r="F280" s="9" t="s">
        <v>30</v>
      </c>
      <c r="G280" s="9" t="str">
        <f t="shared" si="20"/>
        <v>Low Averg</v>
      </c>
      <c r="H280" s="11">
        <f t="shared" si="21"/>
        <v>102.25285714285715</v>
      </c>
      <c r="I280" s="9">
        <f t="shared" si="22"/>
        <v>28</v>
      </c>
      <c r="J280" s="12">
        <f>DATE(2025, MATCH(E280, {"January","February","March","April","May","June","July","August","September","October","November","December"},0),1)</f>
        <v>45931</v>
      </c>
      <c r="K280" s="13">
        <f t="shared" si="23"/>
        <v>2626.6800000000003</v>
      </c>
      <c r="L280" s="13">
        <v>345.15635990120899</v>
      </c>
      <c r="M280" s="14">
        <f t="shared" si="24"/>
        <v>-2.4460963562350911E-2</v>
      </c>
    </row>
    <row r="281" spans="1:13" ht="15.5" x14ac:dyDescent="0.35">
      <c r="A281" s="8" t="s">
        <v>13</v>
      </c>
      <c r="B281" s="9" t="s">
        <v>14</v>
      </c>
      <c r="C281" s="9" t="s">
        <v>69</v>
      </c>
      <c r="D281" s="10">
        <v>190.34</v>
      </c>
      <c r="E281" s="9" t="s">
        <v>63</v>
      </c>
      <c r="F281" s="9" t="s">
        <v>26</v>
      </c>
      <c r="G281" s="9" t="str">
        <f t="shared" si="20"/>
        <v>Low Averg</v>
      </c>
      <c r="H281" s="11">
        <f t="shared" si="21"/>
        <v>206.78702702702708</v>
      </c>
      <c r="I281" s="9">
        <f t="shared" si="22"/>
        <v>37</v>
      </c>
      <c r="J281" s="12">
        <f>DATE(2025, MATCH(E281, {"January","February","March","April","May","June","July","August","September","October","November","December"},0),1)</f>
        <v>45717</v>
      </c>
      <c r="K281" s="13">
        <f t="shared" si="23"/>
        <v>7042.58</v>
      </c>
      <c r="L281" s="13">
        <v>345.23077255719397</v>
      </c>
      <c r="M281" s="14">
        <f t="shared" si="24"/>
        <v>-4.7640674975757892E-2</v>
      </c>
    </row>
    <row r="282" spans="1:13" ht="15.5" x14ac:dyDescent="0.35">
      <c r="A282" s="8" t="s">
        <v>13</v>
      </c>
      <c r="B282" s="9" t="s">
        <v>14</v>
      </c>
      <c r="C282" s="9" t="s">
        <v>29</v>
      </c>
      <c r="D282" s="10">
        <v>214.39</v>
      </c>
      <c r="E282" s="9" t="s">
        <v>39</v>
      </c>
      <c r="F282" s="9" t="s">
        <v>30</v>
      </c>
      <c r="G282" s="9" t="str">
        <f t="shared" si="20"/>
        <v>Low Averg</v>
      </c>
      <c r="H282" s="11">
        <f t="shared" si="21"/>
        <v>206.78702702702708</v>
      </c>
      <c r="I282" s="9">
        <f t="shared" si="22"/>
        <v>37</v>
      </c>
      <c r="J282" s="12">
        <f>DATE(2025, MATCH(E282, {"January","February","March","April","May","June","July","August","September","October","November","December"},0),1)</f>
        <v>45992</v>
      </c>
      <c r="K282" s="13">
        <f t="shared" si="23"/>
        <v>7932.4299999999994</v>
      </c>
      <c r="L282" s="13">
        <v>345.382653193007</v>
      </c>
      <c r="M282" s="14">
        <f t="shared" si="24"/>
        <v>2.201318712067513E-2</v>
      </c>
    </row>
    <row r="283" spans="1:13" ht="15.5" x14ac:dyDescent="0.35">
      <c r="A283" s="8" t="s">
        <v>13</v>
      </c>
      <c r="B283" s="9" t="s">
        <v>14</v>
      </c>
      <c r="C283" s="9" t="s">
        <v>49</v>
      </c>
      <c r="D283" s="10">
        <v>220.74</v>
      </c>
      <c r="E283" s="9" t="s">
        <v>35</v>
      </c>
      <c r="F283" s="9" t="s">
        <v>26</v>
      </c>
      <c r="G283" s="9" t="str">
        <f t="shared" si="20"/>
        <v>Low Averg</v>
      </c>
      <c r="H283" s="11">
        <f t="shared" si="21"/>
        <v>206.78702702702708</v>
      </c>
      <c r="I283" s="9">
        <f t="shared" si="22"/>
        <v>37</v>
      </c>
      <c r="J283" s="12">
        <f>DATE(2025, MATCH(E283, {"January","February","March","April","May","June","July","August","September","October","November","December"},0),1)</f>
        <v>45778</v>
      </c>
      <c r="K283" s="13">
        <f t="shared" si="23"/>
        <v>8167.38</v>
      </c>
      <c r="L283" s="13">
        <v>345.54896973623602</v>
      </c>
      <c r="M283" s="14">
        <f t="shared" si="24"/>
        <v>4.0379147950067668E-2</v>
      </c>
    </row>
    <row r="284" spans="1:13" ht="15.5" x14ac:dyDescent="0.35">
      <c r="A284" s="8" t="s">
        <v>70</v>
      </c>
      <c r="B284" s="9" t="s">
        <v>71</v>
      </c>
      <c r="C284" s="9" t="s">
        <v>34</v>
      </c>
      <c r="D284" s="10">
        <v>870.47</v>
      </c>
      <c r="E284" s="9" t="s">
        <v>21</v>
      </c>
      <c r="F284" s="9" t="s">
        <v>17</v>
      </c>
      <c r="G284" s="9" t="str">
        <f t="shared" si="20"/>
        <v>Above Averg</v>
      </c>
      <c r="H284" s="11">
        <f t="shared" si="21"/>
        <v>911.5772916666665</v>
      </c>
      <c r="I284" s="9">
        <f t="shared" si="22"/>
        <v>48</v>
      </c>
      <c r="J284" s="12">
        <f>DATE(2025, MATCH(E284, {"January","February","March","April","May","June","July","August","September","October","November","December"},0),1)</f>
        <v>45748</v>
      </c>
      <c r="K284" s="13">
        <f t="shared" si="23"/>
        <v>41782.559999999998</v>
      </c>
      <c r="L284" s="13">
        <v>345.71894110670797</v>
      </c>
      <c r="M284" s="14">
        <f t="shared" si="24"/>
        <v>-0.11890378795872364</v>
      </c>
    </row>
    <row r="285" spans="1:13" ht="15.5" x14ac:dyDescent="0.35">
      <c r="A285" s="8" t="s">
        <v>73</v>
      </c>
      <c r="B285" s="9" t="s">
        <v>54</v>
      </c>
      <c r="C285" s="9" t="s">
        <v>69</v>
      </c>
      <c r="D285" s="10">
        <v>39.549999999999997</v>
      </c>
      <c r="E285" s="9" t="s">
        <v>35</v>
      </c>
      <c r="F285" s="9" t="s">
        <v>17</v>
      </c>
      <c r="G285" s="9" t="str">
        <f t="shared" si="20"/>
        <v>Low Averg</v>
      </c>
      <c r="H285" s="11">
        <f t="shared" si="21"/>
        <v>40.881379310344826</v>
      </c>
      <c r="I285" s="9">
        <f t="shared" si="22"/>
        <v>29</v>
      </c>
      <c r="J285" s="12">
        <f>DATE(2025, MATCH(E285, {"January","February","March","April","May","June","July","August","September","October","November","December"},0),1)</f>
        <v>45778</v>
      </c>
      <c r="K285" s="13">
        <f t="shared" si="23"/>
        <v>1146.9499999999998</v>
      </c>
      <c r="L285" s="13">
        <v>345.49059824562801</v>
      </c>
      <c r="M285" s="14">
        <f t="shared" si="24"/>
        <v>-3.8535905668792736E-3</v>
      </c>
    </row>
    <row r="286" spans="1:13" ht="15.5" x14ac:dyDescent="0.35">
      <c r="A286" s="8" t="s">
        <v>59</v>
      </c>
      <c r="B286" s="9" t="s">
        <v>60</v>
      </c>
      <c r="C286" s="9" t="s">
        <v>61</v>
      </c>
      <c r="D286" s="10">
        <v>192.02</v>
      </c>
      <c r="E286" s="9" t="s">
        <v>72</v>
      </c>
      <c r="F286" s="9" t="s">
        <v>26</v>
      </c>
      <c r="G286" s="9" t="str">
        <f t="shared" si="20"/>
        <v>Low Averg</v>
      </c>
      <c r="H286" s="11">
        <f t="shared" si="21"/>
        <v>203.25225806451613</v>
      </c>
      <c r="I286" s="9">
        <f t="shared" si="22"/>
        <v>31</v>
      </c>
      <c r="J286" s="12">
        <f>DATE(2025, MATCH(E286, {"January","February","March","April","May","June","July","August","September","October","November","December"},0),1)</f>
        <v>45901</v>
      </c>
      <c r="K286" s="13">
        <f t="shared" si="23"/>
        <v>5952.62</v>
      </c>
      <c r="L286" s="13">
        <v>345.50722512565397</v>
      </c>
      <c r="M286" s="14">
        <f t="shared" si="24"/>
        <v>-3.2509473746695668E-2</v>
      </c>
    </row>
    <row r="287" spans="1:13" ht="15.5" x14ac:dyDescent="0.35">
      <c r="A287" s="8" t="s">
        <v>31</v>
      </c>
      <c r="B287" s="9" t="s">
        <v>32</v>
      </c>
      <c r="C287" s="9" t="s">
        <v>34</v>
      </c>
      <c r="D287" s="10">
        <v>121.13</v>
      </c>
      <c r="E287" s="9" t="s">
        <v>57</v>
      </c>
      <c r="F287" s="9" t="s">
        <v>36</v>
      </c>
      <c r="G287" s="9" t="str">
        <f t="shared" si="20"/>
        <v>Low Averg</v>
      </c>
      <c r="H287" s="11">
        <f t="shared" si="21"/>
        <v>123.43305555555558</v>
      </c>
      <c r="I287" s="9">
        <f t="shared" si="22"/>
        <v>36</v>
      </c>
      <c r="J287" s="12">
        <f>DATE(2025, MATCH(E287, {"January","February","March","April","May","June","July","August","September","October","November","December"},0),1)</f>
        <v>45839</v>
      </c>
      <c r="K287" s="13">
        <f t="shared" si="23"/>
        <v>4360.68</v>
      </c>
      <c r="L287" s="13">
        <v>345.66106692705898</v>
      </c>
      <c r="M287" s="14">
        <f t="shared" si="24"/>
        <v>-6.6627566015167571E-3</v>
      </c>
    </row>
    <row r="288" spans="1:13" ht="15.5" x14ac:dyDescent="0.35">
      <c r="A288" s="8" t="s">
        <v>41</v>
      </c>
      <c r="B288" s="9" t="s">
        <v>32</v>
      </c>
      <c r="C288" s="9" t="s">
        <v>29</v>
      </c>
      <c r="D288" s="10">
        <v>76.150000000000006</v>
      </c>
      <c r="E288" s="9" t="s">
        <v>25</v>
      </c>
      <c r="F288" s="9" t="s">
        <v>30</v>
      </c>
      <c r="G288" s="9" t="str">
        <f t="shared" si="20"/>
        <v>Low Averg</v>
      </c>
      <c r="H288" s="11">
        <f t="shared" si="21"/>
        <v>70.278611111111118</v>
      </c>
      <c r="I288" s="9">
        <f t="shared" si="22"/>
        <v>36</v>
      </c>
      <c r="J288" s="12">
        <f>DATE(2025, MATCH(E288, {"January","February","March","April","May","June","July","August","September","October","November","December"},0),1)</f>
        <v>45931</v>
      </c>
      <c r="K288" s="13">
        <f t="shared" si="23"/>
        <v>2741.4</v>
      </c>
      <c r="L288" s="13">
        <v>345.76120487950601</v>
      </c>
      <c r="M288" s="14">
        <f t="shared" si="24"/>
        <v>1.6981051679684545E-2</v>
      </c>
    </row>
    <row r="289" spans="1:13" ht="15.5" x14ac:dyDescent="0.35">
      <c r="A289" s="8" t="s">
        <v>41</v>
      </c>
      <c r="B289" s="9" t="s">
        <v>32</v>
      </c>
      <c r="C289" s="9" t="s">
        <v>61</v>
      </c>
      <c r="D289" s="10">
        <v>63.76</v>
      </c>
      <c r="E289" s="9" t="s">
        <v>62</v>
      </c>
      <c r="F289" s="9" t="s">
        <v>36</v>
      </c>
      <c r="G289" s="9" t="str">
        <f t="shared" si="20"/>
        <v>Low Averg</v>
      </c>
      <c r="H289" s="11">
        <f t="shared" si="21"/>
        <v>70.278611111111118</v>
      </c>
      <c r="I289" s="9">
        <f t="shared" si="22"/>
        <v>36</v>
      </c>
      <c r="J289" s="12">
        <f>DATE(2025, MATCH(E289, {"January","February","March","April","May","June","July","August","September","October","November","December"},0),1)</f>
        <v>45689</v>
      </c>
      <c r="K289" s="13">
        <f t="shared" si="23"/>
        <v>2295.36</v>
      </c>
      <c r="L289" s="13">
        <v>345.81779731025102</v>
      </c>
      <c r="M289" s="14">
        <f t="shared" si="24"/>
        <v>-1.8849842783721558E-2</v>
      </c>
    </row>
    <row r="290" spans="1:13" ht="15.5" x14ac:dyDescent="0.35">
      <c r="A290" s="8" t="s">
        <v>47</v>
      </c>
      <c r="B290" s="9" t="s">
        <v>19</v>
      </c>
      <c r="C290" s="9" t="s">
        <v>49</v>
      </c>
      <c r="D290" s="10">
        <v>705.93</v>
      </c>
      <c r="E290" s="9" t="s">
        <v>72</v>
      </c>
      <c r="F290" s="9" t="s">
        <v>40</v>
      </c>
      <c r="G290" s="9" t="str">
        <f t="shared" si="20"/>
        <v>Above Averg</v>
      </c>
      <c r="H290" s="11">
        <f t="shared" si="21"/>
        <v>673.04079999999988</v>
      </c>
      <c r="I290" s="9">
        <f t="shared" si="22"/>
        <v>25</v>
      </c>
      <c r="J290" s="12">
        <f>DATE(2025, MATCH(E290, {"January","February","March","April","May","June","July","August","September","October","November","December"},0),1)</f>
        <v>45901</v>
      </c>
      <c r="K290" s="13">
        <f t="shared" si="23"/>
        <v>17648.25</v>
      </c>
      <c r="L290" s="13">
        <v>345.86087177715598</v>
      </c>
      <c r="M290" s="14">
        <f t="shared" si="24"/>
        <v>9.5093728963914548E-2</v>
      </c>
    </row>
    <row r="291" spans="1:13" ht="15.5" x14ac:dyDescent="0.35">
      <c r="A291" s="8" t="s">
        <v>13</v>
      </c>
      <c r="B291" s="9" t="s">
        <v>14</v>
      </c>
      <c r="C291" s="9" t="s">
        <v>43</v>
      </c>
      <c r="D291" s="10">
        <v>207.01</v>
      </c>
      <c r="E291" s="9" t="s">
        <v>39</v>
      </c>
      <c r="F291" s="9" t="s">
        <v>26</v>
      </c>
      <c r="G291" s="9" t="str">
        <f t="shared" si="20"/>
        <v>Low Averg</v>
      </c>
      <c r="H291" s="11">
        <f t="shared" si="21"/>
        <v>206.78702702702708</v>
      </c>
      <c r="I291" s="9">
        <f t="shared" si="22"/>
        <v>37</v>
      </c>
      <c r="J291" s="12">
        <f>DATE(2025, MATCH(E291, {"January","February","March","April","May","June","July","August","September","October","November","December"},0),1)</f>
        <v>45992</v>
      </c>
      <c r="K291" s="13">
        <f t="shared" si="23"/>
        <v>7659.37</v>
      </c>
      <c r="L291" s="13">
        <v>345.87567586014899</v>
      </c>
      <c r="M291" s="14">
        <f t="shared" si="24"/>
        <v>6.4466219666475821E-4</v>
      </c>
    </row>
    <row r="292" spans="1:13" ht="15.5" x14ac:dyDescent="0.35">
      <c r="A292" s="8" t="s">
        <v>76</v>
      </c>
      <c r="B292" s="9" t="s">
        <v>60</v>
      </c>
      <c r="C292" s="9" t="s">
        <v>15</v>
      </c>
      <c r="D292" s="10">
        <v>279.47000000000003</v>
      </c>
      <c r="E292" s="9" t="s">
        <v>21</v>
      </c>
      <c r="F292" s="9" t="s">
        <v>26</v>
      </c>
      <c r="G292" s="9" t="str">
        <f t="shared" si="20"/>
        <v>Low Averg</v>
      </c>
      <c r="H292" s="11">
        <f t="shared" si="21"/>
        <v>304.90820512820511</v>
      </c>
      <c r="I292" s="9">
        <f t="shared" si="22"/>
        <v>39</v>
      </c>
      <c r="J292" s="12">
        <f>DATE(2025, MATCH(E292, {"January","February","March","April","May","June","July","August","September","October","November","December"},0),1)</f>
        <v>45748</v>
      </c>
      <c r="K292" s="13">
        <f t="shared" si="23"/>
        <v>10899.330000000002</v>
      </c>
      <c r="L292" s="13">
        <v>346.03939089316498</v>
      </c>
      <c r="M292" s="14">
        <f t="shared" si="24"/>
        <v>-7.3512454933371413E-2</v>
      </c>
    </row>
    <row r="293" spans="1:13" ht="15.5" x14ac:dyDescent="0.35">
      <c r="A293" s="8" t="s">
        <v>82</v>
      </c>
      <c r="B293" s="9" t="s">
        <v>14</v>
      </c>
      <c r="C293" s="9" t="s">
        <v>69</v>
      </c>
      <c r="D293" s="10">
        <v>879.59</v>
      </c>
      <c r="E293" s="9" t="s">
        <v>57</v>
      </c>
      <c r="F293" s="9" t="s">
        <v>36</v>
      </c>
      <c r="G293" s="9" t="str">
        <f t="shared" si="20"/>
        <v>Above Averg</v>
      </c>
      <c r="H293" s="11">
        <f t="shared" si="21"/>
        <v>905.6025925925926</v>
      </c>
      <c r="I293" s="9">
        <f t="shared" si="22"/>
        <v>27</v>
      </c>
      <c r="J293" s="12">
        <f>DATE(2025, MATCH(E293, {"January","February","March","April","May","June","July","August","September","October","November","December"},0),1)</f>
        <v>45839</v>
      </c>
      <c r="K293" s="13">
        <f t="shared" si="23"/>
        <v>23748.93</v>
      </c>
      <c r="L293" s="13">
        <v>346.23655224241497</v>
      </c>
      <c r="M293" s="14">
        <f t="shared" si="24"/>
        <v>-7.5129539108799936E-2</v>
      </c>
    </row>
    <row r="294" spans="1:13" ht="15.5" x14ac:dyDescent="0.35">
      <c r="A294" s="8" t="s">
        <v>48</v>
      </c>
      <c r="B294" s="9" t="s">
        <v>19</v>
      </c>
      <c r="C294" s="9" t="s">
        <v>61</v>
      </c>
      <c r="D294" s="10">
        <v>1134.31</v>
      </c>
      <c r="E294" s="9" t="s">
        <v>42</v>
      </c>
      <c r="F294" s="9" t="s">
        <v>17</v>
      </c>
      <c r="G294" s="9" t="str">
        <f t="shared" si="20"/>
        <v>Above Averg</v>
      </c>
      <c r="H294" s="11">
        <f t="shared" si="21"/>
        <v>1235.856</v>
      </c>
      <c r="I294" s="9">
        <f t="shared" si="22"/>
        <v>25</v>
      </c>
      <c r="J294" s="12">
        <f>DATE(2025, MATCH(E294, {"January","February","March","April","May","June","July","August","September","October","November","December"},0),1)</f>
        <v>45658</v>
      </c>
      <c r="K294" s="13">
        <f t="shared" si="23"/>
        <v>28357.75</v>
      </c>
      <c r="L294" s="13">
        <v>345.99205926441601</v>
      </c>
      <c r="M294" s="14">
        <f t="shared" si="24"/>
        <v>-0.29349228481106843</v>
      </c>
    </row>
    <row r="295" spans="1:13" ht="15.5" x14ac:dyDescent="0.35">
      <c r="A295" s="8" t="s">
        <v>82</v>
      </c>
      <c r="B295" s="9" t="s">
        <v>14</v>
      </c>
      <c r="C295" s="9" t="s">
        <v>24</v>
      </c>
      <c r="D295" s="10">
        <v>893.74</v>
      </c>
      <c r="E295" s="9" t="s">
        <v>21</v>
      </c>
      <c r="F295" s="9" t="s">
        <v>26</v>
      </c>
      <c r="G295" s="9" t="str">
        <f t="shared" si="20"/>
        <v>Above Averg</v>
      </c>
      <c r="H295" s="11">
        <f t="shared" si="21"/>
        <v>905.6025925925926</v>
      </c>
      <c r="I295" s="9">
        <f t="shared" si="22"/>
        <v>27</v>
      </c>
      <c r="J295" s="12">
        <f>DATE(2025, MATCH(E295, {"January","February","March","April","May","June","July","August","September","October","November","December"},0),1)</f>
        <v>45748</v>
      </c>
      <c r="K295" s="13">
        <f t="shared" si="23"/>
        <v>24130.98</v>
      </c>
      <c r="L295" s="13">
        <v>345.16825302322098</v>
      </c>
      <c r="M295" s="14">
        <f t="shared" si="24"/>
        <v>-3.4367565639921535E-2</v>
      </c>
    </row>
    <row r="296" spans="1:13" ht="15.5" x14ac:dyDescent="0.35">
      <c r="A296" s="8" t="s">
        <v>31</v>
      </c>
      <c r="B296" s="9" t="s">
        <v>32</v>
      </c>
      <c r="C296" s="9" t="s">
        <v>49</v>
      </c>
      <c r="D296" s="10">
        <v>132.93</v>
      </c>
      <c r="E296" s="9" t="s">
        <v>42</v>
      </c>
      <c r="F296" s="9" t="s">
        <v>17</v>
      </c>
      <c r="G296" s="9" t="str">
        <f t="shared" si="20"/>
        <v>Low Averg</v>
      </c>
      <c r="H296" s="11">
        <f t="shared" si="21"/>
        <v>123.43305555555558</v>
      </c>
      <c r="I296" s="9">
        <f t="shared" si="22"/>
        <v>36</v>
      </c>
      <c r="J296" s="12">
        <f>DATE(2025, MATCH(E296, {"January","February","March","April","May","June","July","August","September","October","November","December"},0),1)</f>
        <v>45658</v>
      </c>
      <c r="K296" s="13">
        <f t="shared" si="23"/>
        <v>4785.4800000000005</v>
      </c>
      <c r="L296" s="13">
        <v>344.89211681927202</v>
      </c>
      <c r="M296" s="14">
        <f t="shared" si="24"/>
        <v>2.7535985838206174E-2</v>
      </c>
    </row>
    <row r="297" spans="1:13" ht="15.5" x14ac:dyDescent="0.35">
      <c r="A297" s="8" t="s">
        <v>18</v>
      </c>
      <c r="B297" s="9" t="s">
        <v>19</v>
      </c>
      <c r="C297" s="9" t="s">
        <v>69</v>
      </c>
      <c r="D297" s="10">
        <v>810.27</v>
      </c>
      <c r="E297" s="9" t="s">
        <v>57</v>
      </c>
      <c r="F297" s="9" t="s">
        <v>17</v>
      </c>
      <c r="G297" s="9" t="str">
        <f t="shared" si="20"/>
        <v>Above Averg</v>
      </c>
      <c r="H297" s="11">
        <f t="shared" si="21"/>
        <v>920.12567567567555</v>
      </c>
      <c r="I297" s="9">
        <f t="shared" si="22"/>
        <v>37</v>
      </c>
      <c r="J297" s="12">
        <f>DATE(2025, MATCH(E297, {"January","February","March","April","May","June","July","August","September","October","November","December"},0),1)</f>
        <v>45839</v>
      </c>
      <c r="K297" s="13">
        <f t="shared" si="23"/>
        <v>29979.989999999998</v>
      </c>
      <c r="L297" s="13">
        <v>345.00404647481099</v>
      </c>
      <c r="M297" s="14">
        <f t="shared" si="24"/>
        <v>-0.31841851363240814</v>
      </c>
    </row>
    <row r="298" spans="1:13" ht="15.5" x14ac:dyDescent="0.35">
      <c r="A298" s="8" t="s">
        <v>53</v>
      </c>
      <c r="B298" s="9" t="s">
        <v>54</v>
      </c>
      <c r="C298" s="9" t="s">
        <v>15</v>
      </c>
      <c r="D298" s="10">
        <v>726.49</v>
      </c>
      <c r="E298" s="9" t="s">
        <v>63</v>
      </c>
      <c r="F298" s="9" t="s">
        <v>36</v>
      </c>
      <c r="G298" s="9" t="str">
        <f t="shared" si="20"/>
        <v>Above Averg</v>
      </c>
      <c r="H298" s="11">
        <f t="shared" si="21"/>
        <v>810.77454545454566</v>
      </c>
      <c r="I298" s="9">
        <f t="shared" si="22"/>
        <v>33</v>
      </c>
      <c r="J298" s="12">
        <f>DATE(2025, MATCH(E298, {"January","February","March","April","May","June","July","August","September","October","November","December"},0),1)</f>
        <v>45717</v>
      </c>
      <c r="K298" s="13">
        <f t="shared" si="23"/>
        <v>23974.170000000002</v>
      </c>
      <c r="L298" s="13">
        <v>344.87047330465202</v>
      </c>
      <c r="M298" s="14">
        <f t="shared" si="24"/>
        <v>-0.24439478580727983</v>
      </c>
    </row>
    <row r="299" spans="1:13" ht="15.5" x14ac:dyDescent="0.35">
      <c r="A299" s="8" t="s">
        <v>74</v>
      </c>
      <c r="B299" s="9" t="s">
        <v>38</v>
      </c>
      <c r="C299" s="9" t="s">
        <v>61</v>
      </c>
      <c r="D299" s="10">
        <v>394.5</v>
      </c>
      <c r="E299" s="9" t="s">
        <v>39</v>
      </c>
      <c r="F299" s="9" t="s">
        <v>36</v>
      </c>
      <c r="G299" s="9" t="str">
        <f t="shared" si="20"/>
        <v>Above Averg</v>
      </c>
      <c r="H299" s="11">
        <f t="shared" si="21"/>
        <v>368.73933333333326</v>
      </c>
      <c r="I299" s="9">
        <f t="shared" si="22"/>
        <v>30</v>
      </c>
      <c r="J299" s="12">
        <f>DATE(2025, MATCH(E299, {"January","February","March","April","May","June","July","August","September","October","November","December"},0),1)</f>
        <v>45992</v>
      </c>
      <c r="K299" s="13">
        <f t="shared" si="23"/>
        <v>11835</v>
      </c>
      <c r="L299" s="13">
        <v>344.85560109660997</v>
      </c>
      <c r="M299" s="14">
        <f t="shared" si="24"/>
        <v>7.4699864478785086E-2</v>
      </c>
    </row>
    <row r="300" spans="1:13" ht="15.5" x14ac:dyDescent="0.35">
      <c r="A300" s="8" t="s">
        <v>41</v>
      </c>
      <c r="B300" s="9" t="s">
        <v>32</v>
      </c>
      <c r="C300" s="9" t="s">
        <v>61</v>
      </c>
      <c r="D300" s="10">
        <v>74.12</v>
      </c>
      <c r="E300" s="9" t="s">
        <v>57</v>
      </c>
      <c r="F300" s="9" t="s">
        <v>17</v>
      </c>
      <c r="G300" s="9" t="str">
        <f t="shared" si="20"/>
        <v>Low Averg</v>
      </c>
      <c r="H300" s="11">
        <f t="shared" si="21"/>
        <v>70.278611111111118</v>
      </c>
      <c r="I300" s="9">
        <f t="shared" si="22"/>
        <v>36</v>
      </c>
      <c r="J300" s="12">
        <f>DATE(2025, MATCH(E300, {"January","February","March","April","May","June","July","August","September","October","November","December"},0),1)</f>
        <v>45839</v>
      </c>
      <c r="K300" s="13">
        <f t="shared" si="23"/>
        <v>2668.32</v>
      </c>
      <c r="L300" s="13">
        <v>345.068084165095</v>
      </c>
      <c r="M300" s="14">
        <f t="shared" si="24"/>
        <v>1.113226364641421E-2</v>
      </c>
    </row>
    <row r="301" spans="1:13" ht="15.5" x14ac:dyDescent="0.35">
      <c r="A301" s="8" t="s">
        <v>13</v>
      </c>
      <c r="B301" s="9" t="s">
        <v>14</v>
      </c>
      <c r="C301" s="9" t="s">
        <v>69</v>
      </c>
      <c r="D301" s="10">
        <v>191.01</v>
      </c>
      <c r="E301" s="9" t="s">
        <v>16</v>
      </c>
      <c r="F301" s="9" t="s">
        <v>40</v>
      </c>
      <c r="G301" s="9" t="str">
        <f t="shared" si="20"/>
        <v>Low Averg</v>
      </c>
      <c r="H301" s="11">
        <f t="shared" si="21"/>
        <v>206.78702702702708</v>
      </c>
      <c r="I301" s="9">
        <f t="shared" si="22"/>
        <v>37</v>
      </c>
      <c r="J301" s="12">
        <f>DATE(2025, MATCH(E301, {"January","February","March","April","May","June","July","August","September","October","November","December"},0),1)</f>
        <v>45809</v>
      </c>
      <c r="K301" s="13">
        <f t="shared" si="23"/>
        <v>7067.37</v>
      </c>
      <c r="L301" s="13">
        <v>345.12503674144199</v>
      </c>
      <c r="M301" s="14">
        <f t="shared" si="24"/>
        <v>-4.5713945229788687E-2</v>
      </c>
    </row>
    <row r="302" spans="1:13" ht="15.5" x14ac:dyDescent="0.35">
      <c r="A302" s="8" t="s">
        <v>13</v>
      </c>
      <c r="B302" s="9" t="s">
        <v>14</v>
      </c>
      <c r="C302" s="9" t="s">
        <v>69</v>
      </c>
      <c r="D302" s="10">
        <v>187.93</v>
      </c>
      <c r="E302" s="9" t="s">
        <v>46</v>
      </c>
      <c r="F302" s="9" t="s">
        <v>26</v>
      </c>
      <c r="G302" s="9" t="str">
        <f t="shared" si="20"/>
        <v>Low Averg</v>
      </c>
      <c r="H302" s="11">
        <f t="shared" si="21"/>
        <v>206.78702702702708</v>
      </c>
      <c r="I302" s="9">
        <f t="shared" si="22"/>
        <v>37</v>
      </c>
      <c r="J302" s="12">
        <f>DATE(2025, MATCH(E302, {"January","February","March","April","May","June","July","August","September","October","November","December"},0),1)</f>
        <v>45870</v>
      </c>
      <c r="K302" s="13">
        <f t="shared" si="23"/>
        <v>6953.41</v>
      </c>
      <c r="L302" s="13">
        <v>345.281687030032</v>
      </c>
      <c r="M302" s="14">
        <f t="shared" si="24"/>
        <v>-5.461345833086978E-2</v>
      </c>
    </row>
    <row r="303" spans="1:13" ht="15.5" x14ac:dyDescent="0.35">
      <c r="A303" s="8" t="s">
        <v>81</v>
      </c>
      <c r="B303" s="9" t="s">
        <v>28</v>
      </c>
      <c r="C303" s="9" t="s">
        <v>69</v>
      </c>
      <c r="D303" s="10">
        <v>148.99</v>
      </c>
      <c r="E303" s="9" t="s">
        <v>35</v>
      </c>
      <c r="F303" s="9" t="s">
        <v>26</v>
      </c>
      <c r="G303" s="9" t="str">
        <f t="shared" si="20"/>
        <v>Low Averg</v>
      </c>
      <c r="H303" s="11">
        <f t="shared" si="21"/>
        <v>140.29840000000002</v>
      </c>
      <c r="I303" s="9">
        <f t="shared" si="22"/>
        <v>25</v>
      </c>
      <c r="J303" s="12">
        <f>DATE(2025, MATCH(E303, {"January","February","March","April","May","June","July","August","September","October","November","December"},0),1)</f>
        <v>45778</v>
      </c>
      <c r="K303" s="13">
        <f t="shared" si="23"/>
        <v>3724.75</v>
      </c>
      <c r="L303" s="13">
        <v>345.436506231544</v>
      </c>
      <c r="M303" s="14">
        <f t="shared" si="24"/>
        <v>2.5161208625049222E-2</v>
      </c>
    </row>
    <row r="304" spans="1:13" ht="15.5" x14ac:dyDescent="0.35">
      <c r="A304" s="8" t="s">
        <v>70</v>
      </c>
      <c r="B304" s="9" t="s">
        <v>71</v>
      </c>
      <c r="C304" s="9" t="s">
        <v>61</v>
      </c>
      <c r="D304" s="10">
        <v>894.52</v>
      </c>
      <c r="E304" s="9" t="s">
        <v>16</v>
      </c>
      <c r="F304" s="9" t="s">
        <v>26</v>
      </c>
      <c r="G304" s="9" t="str">
        <f t="shared" si="20"/>
        <v>Above Averg</v>
      </c>
      <c r="H304" s="11">
        <f t="shared" si="21"/>
        <v>911.5772916666665</v>
      </c>
      <c r="I304" s="9">
        <f t="shared" si="22"/>
        <v>48</v>
      </c>
      <c r="J304" s="12">
        <f>DATE(2025, MATCH(E304, {"January","February","March","April","May","June","July","August","September","October","November","December"},0),1)</f>
        <v>45809</v>
      </c>
      <c r="K304" s="13">
        <f t="shared" si="23"/>
        <v>42936.959999999999</v>
      </c>
      <c r="L304" s="13">
        <v>345.56312435620401</v>
      </c>
      <c r="M304" s="14">
        <f t="shared" si="24"/>
        <v>-4.936085613430205E-2</v>
      </c>
    </row>
    <row r="305" spans="1:13" ht="15.5" x14ac:dyDescent="0.35">
      <c r="A305" s="8" t="s">
        <v>48</v>
      </c>
      <c r="B305" s="9" t="s">
        <v>19</v>
      </c>
      <c r="C305" s="9" t="s">
        <v>15</v>
      </c>
      <c r="D305" s="10">
        <v>1099.82</v>
      </c>
      <c r="E305" s="9" t="s">
        <v>57</v>
      </c>
      <c r="F305" s="9" t="s">
        <v>36</v>
      </c>
      <c r="G305" s="9" t="str">
        <f t="shared" si="20"/>
        <v>Above Averg</v>
      </c>
      <c r="H305" s="11">
        <f t="shared" si="21"/>
        <v>1235.856</v>
      </c>
      <c r="I305" s="9">
        <f t="shared" si="22"/>
        <v>25</v>
      </c>
      <c r="J305" s="12">
        <f>DATE(2025, MATCH(E305, {"January","February","March","April","May","June","July","August","September","October","November","December"},0),1)</f>
        <v>45839</v>
      </c>
      <c r="K305" s="13">
        <f t="shared" si="23"/>
        <v>27495.5</v>
      </c>
      <c r="L305" s="13">
        <v>345.28269535964301</v>
      </c>
      <c r="M305" s="14">
        <f t="shared" si="24"/>
        <v>-0.3939844128542449</v>
      </c>
    </row>
    <row r="306" spans="1:13" ht="15.5" x14ac:dyDescent="0.35">
      <c r="A306" s="8" t="s">
        <v>50</v>
      </c>
      <c r="B306" s="9" t="s">
        <v>32</v>
      </c>
      <c r="C306" s="9" t="s">
        <v>43</v>
      </c>
      <c r="D306" s="10">
        <v>89.35</v>
      </c>
      <c r="E306" s="9" t="s">
        <v>39</v>
      </c>
      <c r="F306" s="9" t="s">
        <v>40</v>
      </c>
      <c r="G306" s="9" t="str">
        <f t="shared" si="20"/>
        <v>Low Averg</v>
      </c>
      <c r="H306" s="11">
        <f t="shared" si="21"/>
        <v>81.934666666666672</v>
      </c>
      <c r="I306" s="9">
        <f t="shared" si="22"/>
        <v>30</v>
      </c>
      <c r="J306" s="12">
        <f>DATE(2025, MATCH(E306, {"January","February","March","April","May","June","July","August","September","October","November","December"},0),1)</f>
        <v>45992</v>
      </c>
      <c r="K306" s="13">
        <f t="shared" si="23"/>
        <v>2680.5</v>
      </c>
      <c r="L306" s="13">
        <v>344.53326246508698</v>
      </c>
      <c r="M306" s="14">
        <f t="shared" si="24"/>
        <v>2.152283724444385E-2</v>
      </c>
    </row>
    <row r="307" spans="1:13" ht="15.5" x14ac:dyDescent="0.35">
      <c r="A307" s="8" t="s">
        <v>31</v>
      </c>
      <c r="B307" s="9" t="s">
        <v>32</v>
      </c>
      <c r="C307" s="9" t="s">
        <v>34</v>
      </c>
      <c r="D307" s="10">
        <v>112.78</v>
      </c>
      <c r="E307" s="9" t="s">
        <v>57</v>
      </c>
      <c r="F307" s="9" t="s">
        <v>40</v>
      </c>
      <c r="G307" s="9" t="str">
        <f t="shared" si="20"/>
        <v>Low Averg</v>
      </c>
      <c r="H307" s="11">
        <f t="shared" si="21"/>
        <v>123.43305555555558</v>
      </c>
      <c r="I307" s="9">
        <f t="shared" si="22"/>
        <v>36</v>
      </c>
      <c r="J307" s="12">
        <f>DATE(2025, MATCH(E307, {"January","February","March","April","May","June","July","August","September","October","November","December"},0),1)</f>
        <v>45839</v>
      </c>
      <c r="K307" s="13">
        <f t="shared" si="23"/>
        <v>4060.08</v>
      </c>
      <c r="L307" s="13">
        <v>344.606461967553</v>
      </c>
      <c r="M307" s="14">
        <f t="shared" si="24"/>
        <v>-3.0913684829736707E-2</v>
      </c>
    </row>
    <row r="308" spans="1:13" ht="15.5" x14ac:dyDescent="0.35">
      <c r="A308" s="8" t="s">
        <v>75</v>
      </c>
      <c r="B308" s="9" t="s">
        <v>28</v>
      </c>
      <c r="C308" s="9" t="s">
        <v>43</v>
      </c>
      <c r="D308" s="10">
        <v>114.06</v>
      </c>
      <c r="E308" s="9" t="s">
        <v>72</v>
      </c>
      <c r="F308" s="9" t="s">
        <v>40</v>
      </c>
      <c r="G308" s="9" t="str">
        <f t="shared" si="20"/>
        <v>Low Averg</v>
      </c>
      <c r="H308" s="11">
        <f t="shared" si="21"/>
        <v>120.53625</v>
      </c>
      <c r="I308" s="9">
        <f t="shared" si="22"/>
        <v>24</v>
      </c>
      <c r="J308" s="12">
        <f>DATE(2025, MATCH(E308, {"January","February","March","April","May","June","July","August","September","October","November","December"},0),1)</f>
        <v>45901</v>
      </c>
      <c r="K308" s="13">
        <f t="shared" si="23"/>
        <v>2737.44</v>
      </c>
      <c r="L308" s="13">
        <v>344.70233291154699</v>
      </c>
      <c r="M308" s="14">
        <f t="shared" si="24"/>
        <v>-1.878794943247989E-2</v>
      </c>
    </row>
    <row r="309" spans="1:13" ht="15.5" x14ac:dyDescent="0.35">
      <c r="A309" s="8" t="s">
        <v>51</v>
      </c>
      <c r="B309" s="9" t="s">
        <v>28</v>
      </c>
      <c r="C309" s="9" t="s">
        <v>45</v>
      </c>
      <c r="D309" s="10">
        <v>117.5</v>
      </c>
      <c r="E309" s="9" t="s">
        <v>57</v>
      </c>
      <c r="F309" s="9" t="s">
        <v>17</v>
      </c>
      <c r="G309" s="9" t="str">
        <f t="shared" si="20"/>
        <v>Low Averg</v>
      </c>
      <c r="H309" s="11">
        <f t="shared" si="21"/>
        <v>122.0377142857143</v>
      </c>
      <c r="I309" s="9">
        <f t="shared" si="22"/>
        <v>35</v>
      </c>
      <c r="J309" s="12">
        <f>DATE(2025, MATCH(E309, {"January","February","March","April","May","June","July","August","September","October","November","December"},0),1)</f>
        <v>45839</v>
      </c>
      <c r="K309" s="13">
        <f t="shared" si="23"/>
        <v>4112.5</v>
      </c>
      <c r="L309" s="13">
        <v>344.79931133391602</v>
      </c>
      <c r="M309" s="14">
        <f t="shared" si="24"/>
        <v>-1.3160450547767528E-2</v>
      </c>
    </row>
    <row r="310" spans="1:13" ht="15.5" x14ac:dyDescent="0.35">
      <c r="A310" s="8" t="s">
        <v>64</v>
      </c>
      <c r="B310" s="9" t="s">
        <v>60</v>
      </c>
      <c r="C310" s="9" t="s">
        <v>20</v>
      </c>
      <c r="D310" s="10">
        <v>264.43</v>
      </c>
      <c r="E310" s="9" t="s">
        <v>35</v>
      </c>
      <c r="F310" s="9" t="s">
        <v>30</v>
      </c>
      <c r="G310" s="9" t="str">
        <f t="shared" si="20"/>
        <v>Low Averg</v>
      </c>
      <c r="H310" s="11">
        <f t="shared" si="21"/>
        <v>249.29749999999999</v>
      </c>
      <c r="I310" s="9">
        <f t="shared" si="22"/>
        <v>32</v>
      </c>
      <c r="J310" s="12">
        <f>DATE(2025, MATCH(E310, {"January","February","March","April","May","June","July","August","September","October","November","December"},0),1)</f>
        <v>45778</v>
      </c>
      <c r="K310" s="13">
        <f t="shared" si="23"/>
        <v>8461.76</v>
      </c>
      <c r="L310" s="13">
        <v>344.89939361692302</v>
      </c>
      <c r="M310" s="14">
        <f t="shared" si="24"/>
        <v>4.387511338105618E-2</v>
      </c>
    </row>
    <row r="311" spans="1:13" ht="15.5" x14ac:dyDescent="0.35">
      <c r="A311" s="8" t="s">
        <v>80</v>
      </c>
      <c r="B311" s="9" t="s">
        <v>19</v>
      </c>
      <c r="C311" s="9" t="s">
        <v>43</v>
      </c>
      <c r="D311" s="10">
        <v>781.32</v>
      </c>
      <c r="E311" s="9" t="s">
        <v>35</v>
      </c>
      <c r="F311" s="9" t="s">
        <v>30</v>
      </c>
      <c r="G311" s="9" t="str">
        <f t="shared" si="20"/>
        <v>Above Averg</v>
      </c>
      <c r="H311" s="11">
        <f t="shared" si="21"/>
        <v>720.27689655172423</v>
      </c>
      <c r="I311" s="9">
        <f t="shared" si="22"/>
        <v>29</v>
      </c>
      <c r="J311" s="12">
        <f>DATE(2025, MATCH(E311, {"January","February","March","April","May","June","July","August","September","October","November","December"},0),1)</f>
        <v>45778</v>
      </c>
      <c r="K311" s="13">
        <f t="shared" si="23"/>
        <v>22658.280000000002</v>
      </c>
      <c r="L311" s="13">
        <v>345.09551040116401</v>
      </c>
      <c r="M311" s="14">
        <f t="shared" si="24"/>
        <v>0.17688756187327645</v>
      </c>
    </row>
    <row r="312" spans="1:13" ht="15.5" x14ac:dyDescent="0.35">
      <c r="A312" s="8" t="s">
        <v>81</v>
      </c>
      <c r="B312" s="9" t="s">
        <v>28</v>
      </c>
      <c r="C312" s="9" t="s">
        <v>61</v>
      </c>
      <c r="D312" s="10">
        <v>133.96</v>
      </c>
      <c r="E312" s="9" t="s">
        <v>25</v>
      </c>
      <c r="F312" s="9" t="s">
        <v>26</v>
      </c>
      <c r="G312" s="9" t="str">
        <f t="shared" si="20"/>
        <v>Low Averg</v>
      </c>
      <c r="H312" s="11">
        <f t="shared" si="21"/>
        <v>140.29840000000002</v>
      </c>
      <c r="I312" s="9">
        <f t="shared" si="22"/>
        <v>25</v>
      </c>
      <c r="J312" s="12">
        <f>DATE(2025, MATCH(E312, {"January","February","March","April","May","June","July","August","September","October","November","December"},0),1)</f>
        <v>45931</v>
      </c>
      <c r="K312" s="13">
        <f t="shared" si="23"/>
        <v>3349</v>
      </c>
      <c r="L312" s="13">
        <v>345.00459864750098</v>
      </c>
      <c r="M312" s="14">
        <f t="shared" si="24"/>
        <v>-1.8371929026013055E-2</v>
      </c>
    </row>
    <row r="313" spans="1:13" ht="15.5" x14ac:dyDescent="0.35">
      <c r="A313" s="8" t="s">
        <v>81</v>
      </c>
      <c r="B313" s="9" t="s">
        <v>28</v>
      </c>
      <c r="C313" s="9" t="s">
        <v>15</v>
      </c>
      <c r="D313" s="10">
        <v>122.63</v>
      </c>
      <c r="E313" s="9" t="s">
        <v>62</v>
      </c>
      <c r="F313" s="9" t="s">
        <v>17</v>
      </c>
      <c r="G313" s="9" t="str">
        <f t="shared" si="20"/>
        <v>Low Averg</v>
      </c>
      <c r="H313" s="11">
        <f t="shared" si="21"/>
        <v>140.29840000000002</v>
      </c>
      <c r="I313" s="9">
        <f t="shared" si="22"/>
        <v>25</v>
      </c>
      <c r="J313" s="12">
        <f>DATE(2025, MATCH(E313, {"January","February","March","April","May","June","July","August","September","October","November","December"},0),1)</f>
        <v>45689</v>
      </c>
      <c r="K313" s="13">
        <f t="shared" si="23"/>
        <v>3065.75</v>
      </c>
      <c r="L313" s="13">
        <v>345.12001033208998</v>
      </c>
      <c r="M313" s="14">
        <f t="shared" si="24"/>
        <v>-5.1194945152553434E-2</v>
      </c>
    </row>
    <row r="314" spans="1:13" ht="15.5" x14ac:dyDescent="0.35">
      <c r="A314" s="8" t="s">
        <v>81</v>
      </c>
      <c r="B314" s="9" t="s">
        <v>28</v>
      </c>
      <c r="C314" s="9" t="s">
        <v>29</v>
      </c>
      <c r="D314" s="10">
        <v>154.13999999999999</v>
      </c>
      <c r="E314" s="9" t="s">
        <v>16</v>
      </c>
      <c r="F314" s="9" t="s">
        <v>36</v>
      </c>
      <c r="G314" s="9" t="str">
        <f t="shared" si="20"/>
        <v>Low Averg</v>
      </c>
      <c r="H314" s="11">
        <f t="shared" si="21"/>
        <v>140.29840000000002</v>
      </c>
      <c r="I314" s="9">
        <f t="shared" si="22"/>
        <v>25</v>
      </c>
      <c r="J314" s="12">
        <f>DATE(2025, MATCH(E314, {"January","February","March","April","May","June","July","August","September","October","November","December"},0),1)</f>
        <v>45809</v>
      </c>
      <c r="K314" s="13">
        <f t="shared" si="23"/>
        <v>3853.4999999999995</v>
      </c>
      <c r="L314" s="13">
        <v>345.22538954613498</v>
      </c>
      <c r="M314" s="14">
        <f t="shared" si="24"/>
        <v>4.0094385926242017E-2</v>
      </c>
    </row>
    <row r="315" spans="1:13" ht="15.5" x14ac:dyDescent="0.35">
      <c r="A315" s="8" t="s">
        <v>51</v>
      </c>
      <c r="B315" s="9" t="s">
        <v>28</v>
      </c>
      <c r="C315" s="9" t="s">
        <v>29</v>
      </c>
      <c r="D315" s="10">
        <v>119.37</v>
      </c>
      <c r="E315" s="9" t="s">
        <v>72</v>
      </c>
      <c r="F315" s="9" t="s">
        <v>26</v>
      </c>
      <c r="G315" s="9" t="str">
        <f t="shared" si="20"/>
        <v>Low Averg</v>
      </c>
      <c r="H315" s="11">
        <f t="shared" si="21"/>
        <v>122.0377142857143</v>
      </c>
      <c r="I315" s="9">
        <f t="shared" si="22"/>
        <v>35</v>
      </c>
      <c r="J315" s="12">
        <f>DATE(2025, MATCH(E315, {"January","February","March","April","May","June","July","August","September","October","November","December"},0),1)</f>
        <v>45901</v>
      </c>
      <c r="K315" s="13">
        <f t="shared" si="23"/>
        <v>4177.95</v>
      </c>
      <c r="L315" s="13">
        <v>345.357507054888</v>
      </c>
      <c r="M315" s="14">
        <f t="shared" si="24"/>
        <v>-7.7245006441696209E-3</v>
      </c>
    </row>
    <row r="316" spans="1:13" ht="15.5" x14ac:dyDescent="0.35">
      <c r="A316" s="8" t="s">
        <v>52</v>
      </c>
      <c r="B316" s="9" t="s">
        <v>32</v>
      </c>
      <c r="C316" s="9" t="s">
        <v>29</v>
      </c>
      <c r="D316" s="10">
        <v>66.86</v>
      </c>
      <c r="E316" s="9" t="s">
        <v>62</v>
      </c>
      <c r="F316" s="9" t="s">
        <v>40</v>
      </c>
      <c r="G316" s="9" t="str">
        <f t="shared" si="20"/>
        <v>Low Averg</v>
      </c>
      <c r="H316" s="11">
        <f t="shared" si="21"/>
        <v>62.182121212121217</v>
      </c>
      <c r="I316" s="9">
        <f t="shared" si="22"/>
        <v>33</v>
      </c>
      <c r="J316" s="12">
        <f>DATE(2025, MATCH(E316, {"January","February","March","April","May","June","July","August","September","October","November","December"},0),1)</f>
        <v>45689</v>
      </c>
      <c r="K316" s="13">
        <f t="shared" si="23"/>
        <v>2206.38</v>
      </c>
      <c r="L316" s="13">
        <v>345.45986338751698</v>
      </c>
      <c r="M316" s="14">
        <f t="shared" si="24"/>
        <v>1.354101961949602E-2</v>
      </c>
    </row>
    <row r="317" spans="1:13" ht="15.5" x14ac:dyDescent="0.35">
      <c r="A317" s="8" t="s">
        <v>37</v>
      </c>
      <c r="B317" s="9" t="s">
        <v>38</v>
      </c>
      <c r="C317" s="9" t="s">
        <v>20</v>
      </c>
      <c r="D317" s="10">
        <v>994.02</v>
      </c>
      <c r="E317" s="9" t="s">
        <v>21</v>
      </c>
      <c r="F317" s="9" t="s">
        <v>30</v>
      </c>
      <c r="G317" s="9" t="str">
        <f t="shared" si="20"/>
        <v>Above Averg</v>
      </c>
      <c r="H317" s="11">
        <f t="shared" si="21"/>
        <v>1024.1451428571424</v>
      </c>
      <c r="I317" s="9">
        <f t="shared" si="22"/>
        <v>35</v>
      </c>
      <c r="J317" s="12">
        <f>DATE(2025, MATCH(E317, {"January","February","March","April","May","June","July","August","September","October","November","December"},0),1)</f>
        <v>45748</v>
      </c>
      <c r="K317" s="13">
        <f t="shared" si="23"/>
        <v>34790.699999999997</v>
      </c>
      <c r="L317" s="13">
        <v>345.50859325110201</v>
      </c>
      <c r="M317" s="14">
        <f t="shared" si="24"/>
        <v>-8.719071955251978E-2</v>
      </c>
    </row>
    <row r="318" spans="1:13" ht="15.5" x14ac:dyDescent="0.35">
      <c r="A318" s="8" t="s">
        <v>76</v>
      </c>
      <c r="B318" s="9" t="s">
        <v>60</v>
      </c>
      <c r="C318" s="9" t="s">
        <v>20</v>
      </c>
      <c r="D318" s="10">
        <v>289.77</v>
      </c>
      <c r="E318" s="9" t="s">
        <v>46</v>
      </c>
      <c r="F318" s="9" t="s">
        <v>30</v>
      </c>
      <c r="G318" s="9" t="str">
        <f t="shared" si="20"/>
        <v>Low Averg</v>
      </c>
      <c r="H318" s="11">
        <f t="shared" si="21"/>
        <v>304.90820512820511</v>
      </c>
      <c r="I318" s="9">
        <f t="shared" si="22"/>
        <v>39</v>
      </c>
      <c r="J318" s="12">
        <f>DATE(2025, MATCH(E318, {"January","February","March","April","May","June","July","August","September","October","November","December"},0),1)</f>
        <v>45870</v>
      </c>
      <c r="K318" s="13">
        <f t="shared" si="23"/>
        <v>11301.029999999999</v>
      </c>
      <c r="L318" s="13">
        <v>345.01571007435399</v>
      </c>
      <c r="M318" s="14">
        <f t="shared" si="24"/>
        <v>-4.3876857447861461E-2</v>
      </c>
    </row>
    <row r="319" spans="1:13" ht="15.5" x14ac:dyDescent="0.35">
      <c r="A319" s="8" t="s">
        <v>37</v>
      </c>
      <c r="B319" s="9" t="s">
        <v>38</v>
      </c>
      <c r="C319" s="9" t="s">
        <v>34</v>
      </c>
      <c r="D319" s="10">
        <v>901.3</v>
      </c>
      <c r="E319" s="9" t="s">
        <v>25</v>
      </c>
      <c r="F319" s="9" t="s">
        <v>26</v>
      </c>
      <c r="G319" s="9" t="str">
        <f t="shared" si="20"/>
        <v>Above Averg</v>
      </c>
      <c r="H319" s="11">
        <f t="shared" si="21"/>
        <v>1024.1451428571424</v>
      </c>
      <c r="I319" s="9">
        <f t="shared" si="22"/>
        <v>35</v>
      </c>
      <c r="J319" s="12">
        <f>DATE(2025, MATCH(E319, {"January","February","March","April","May","June","July","August","September","October","November","December"},0),1)</f>
        <v>45931</v>
      </c>
      <c r="K319" s="13">
        <f t="shared" si="23"/>
        <v>31545.5</v>
      </c>
      <c r="L319" s="13">
        <v>345.22247578162899</v>
      </c>
      <c r="M319" s="14">
        <f t="shared" si="24"/>
        <v>-0.35584340961290245</v>
      </c>
    </row>
    <row r="320" spans="1:13" ht="15.5" x14ac:dyDescent="0.35">
      <c r="A320" s="8" t="s">
        <v>66</v>
      </c>
      <c r="B320" s="9" t="s">
        <v>32</v>
      </c>
      <c r="C320" s="9" t="s">
        <v>69</v>
      </c>
      <c r="D320" s="10">
        <v>145.62</v>
      </c>
      <c r="E320" s="9" t="s">
        <v>62</v>
      </c>
      <c r="F320" s="9" t="s">
        <v>30</v>
      </c>
      <c r="G320" s="9" t="str">
        <f t="shared" si="20"/>
        <v>Low Averg</v>
      </c>
      <c r="H320" s="11">
        <f t="shared" si="21"/>
        <v>141.74161290322584</v>
      </c>
      <c r="I320" s="9">
        <f t="shared" si="22"/>
        <v>31</v>
      </c>
      <c r="J320" s="12">
        <f>DATE(2025, MATCH(E320, {"January","February","March","April","May","June","July","August","September","October","November","December"},0),1)</f>
        <v>45689</v>
      </c>
      <c r="K320" s="13">
        <f t="shared" si="23"/>
        <v>4514.22</v>
      </c>
      <c r="L320" s="13">
        <v>344.923295042289</v>
      </c>
      <c r="M320" s="14">
        <f t="shared" si="24"/>
        <v>1.1244201689244143E-2</v>
      </c>
    </row>
    <row r="321" spans="1:13" ht="15.5" x14ac:dyDescent="0.35">
      <c r="A321" s="8" t="s">
        <v>75</v>
      </c>
      <c r="B321" s="9" t="s">
        <v>28</v>
      </c>
      <c r="C321" s="9" t="s">
        <v>49</v>
      </c>
      <c r="D321" s="10">
        <v>114.37</v>
      </c>
      <c r="E321" s="9" t="s">
        <v>57</v>
      </c>
      <c r="F321" s="9" t="s">
        <v>40</v>
      </c>
      <c r="G321" s="9" t="str">
        <f t="shared" si="20"/>
        <v>Low Averg</v>
      </c>
      <c r="H321" s="11">
        <f t="shared" si="21"/>
        <v>120.53625</v>
      </c>
      <c r="I321" s="9">
        <f t="shared" si="22"/>
        <v>24</v>
      </c>
      <c r="J321" s="12">
        <f>DATE(2025, MATCH(E321, {"January","February","March","April","May","June","July","August","September","October","November","December"},0),1)</f>
        <v>45839</v>
      </c>
      <c r="K321" s="13">
        <f t="shared" si="23"/>
        <v>2744.88</v>
      </c>
      <c r="L321" s="13">
        <v>345.04952700643298</v>
      </c>
      <c r="M321" s="14">
        <f t="shared" si="24"/>
        <v>-1.7870622960990262E-2</v>
      </c>
    </row>
    <row r="322" spans="1:13" ht="15.5" x14ac:dyDescent="0.35">
      <c r="A322" s="8" t="s">
        <v>50</v>
      </c>
      <c r="B322" s="9" t="s">
        <v>32</v>
      </c>
      <c r="C322" s="9" t="s">
        <v>29</v>
      </c>
      <c r="D322" s="10">
        <v>89.36</v>
      </c>
      <c r="E322" s="9" t="s">
        <v>62</v>
      </c>
      <c r="F322" s="9" t="s">
        <v>17</v>
      </c>
      <c r="G322" s="9" t="str">
        <f t="shared" si="20"/>
        <v>Low Averg</v>
      </c>
      <c r="H322" s="11">
        <f t="shared" si="21"/>
        <v>81.934666666666672</v>
      </c>
      <c r="I322" s="9">
        <f t="shared" si="22"/>
        <v>30</v>
      </c>
      <c r="J322" s="12">
        <f>DATE(2025, MATCH(E322, {"January","February","March","April","May","June","July","August","September","October","November","December"},0),1)</f>
        <v>45689</v>
      </c>
      <c r="K322" s="13">
        <f t="shared" si="23"/>
        <v>2680.8</v>
      </c>
      <c r="L322" s="13">
        <v>345.14802148051399</v>
      </c>
      <c r="M322" s="14">
        <f t="shared" si="24"/>
        <v>2.1513475005542047E-2</v>
      </c>
    </row>
    <row r="323" spans="1:13" ht="15.5" x14ac:dyDescent="0.35">
      <c r="A323" s="8" t="s">
        <v>59</v>
      </c>
      <c r="B323" s="9" t="s">
        <v>60</v>
      </c>
      <c r="C323" s="9" t="s">
        <v>15</v>
      </c>
      <c r="D323" s="10">
        <v>211.62</v>
      </c>
      <c r="E323" s="9" t="s">
        <v>62</v>
      </c>
      <c r="F323" s="9" t="s">
        <v>36</v>
      </c>
      <c r="G323" s="9" t="str">
        <f t="shared" si="20"/>
        <v>Low Averg</v>
      </c>
      <c r="H323" s="11">
        <f t="shared" si="21"/>
        <v>203.25225806451613</v>
      </c>
      <c r="I323" s="9">
        <f t="shared" si="22"/>
        <v>31</v>
      </c>
      <c r="J323" s="12">
        <f>DATE(2025, MATCH(E323, {"January","February","March","April","May","June","July","August","September","October","November","December"},0),1)</f>
        <v>45689</v>
      </c>
      <c r="K323" s="13">
        <f t="shared" si="23"/>
        <v>6560.22</v>
      </c>
      <c r="L323" s="13">
        <v>345.22154398704498</v>
      </c>
      <c r="M323" s="14">
        <f t="shared" si="24"/>
        <v>2.4238759374177098E-2</v>
      </c>
    </row>
    <row r="324" spans="1:13" ht="15.5" x14ac:dyDescent="0.35">
      <c r="A324" s="8" t="s">
        <v>44</v>
      </c>
      <c r="B324" s="9" t="s">
        <v>23</v>
      </c>
      <c r="C324" s="9" t="s">
        <v>49</v>
      </c>
      <c r="D324" s="10">
        <v>227.21</v>
      </c>
      <c r="E324" s="9" t="s">
        <v>63</v>
      </c>
      <c r="F324" s="9" t="s">
        <v>17</v>
      </c>
      <c r="G324" s="9" t="str">
        <f t="shared" si="20"/>
        <v>Low Averg</v>
      </c>
      <c r="H324" s="11">
        <f t="shared" si="21"/>
        <v>206.14838709677423</v>
      </c>
      <c r="I324" s="9">
        <f t="shared" si="22"/>
        <v>31</v>
      </c>
      <c r="J324" s="12">
        <f>DATE(2025, MATCH(E324, {"January","February","March","April","May","June","July","August","September","October","November","December"},0),1)</f>
        <v>45717</v>
      </c>
      <c r="K324" s="13">
        <f t="shared" si="23"/>
        <v>7043.51</v>
      </c>
      <c r="L324" s="13">
        <v>345.394782978487</v>
      </c>
      <c r="M324" s="14">
        <f t="shared" si="24"/>
        <v>6.0978375879341545E-2</v>
      </c>
    </row>
    <row r="325" spans="1:13" ht="15.5" x14ac:dyDescent="0.35">
      <c r="A325" s="8" t="s">
        <v>65</v>
      </c>
      <c r="B325" s="9" t="s">
        <v>23</v>
      </c>
      <c r="C325" s="9" t="s">
        <v>69</v>
      </c>
      <c r="D325" s="10">
        <v>150.37</v>
      </c>
      <c r="E325" s="9" t="s">
        <v>46</v>
      </c>
      <c r="F325" s="9" t="s">
        <v>30</v>
      </c>
      <c r="G325" s="9" t="str">
        <f t="shared" si="20"/>
        <v>Low Averg</v>
      </c>
      <c r="H325" s="11">
        <f t="shared" si="21"/>
        <v>151.26457142857143</v>
      </c>
      <c r="I325" s="9">
        <f t="shared" si="22"/>
        <v>35</v>
      </c>
      <c r="J325" s="12">
        <f>DATE(2025, MATCH(E325, {"January","February","March","April","May","June","July","August","September","October","November","December"},0),1)</f>
        <v>45870</v>
      </c>
      <c r="K325" s="13">
        <f t="shared" si="23"/>
        <v>5262.95</v>
      </c>
      <c r="L325" s="13">
        <v>345.577036795693</v>
      </c>
      <c r="M325" s="14">
        <f t="shared" si="24"/>
        <v>-2.5886309948895707E-3</v>
      </c>
    </row>
    <row r="326" spans="1:13" ht="15.5" x14ac:dyDescent="0.35">
      <c r="A326" s="8" t="s">
        <v>33</v>
      </c>
      <c r="B326" s="9" t="s">
        <v>19</v>
      </c>
      <c r="C326" s="9" t="s">
        <v>20</v>
      </c>
      <c r="D326" s="10">
        <v>1111.79</v>
      </c>
      <c r="E326" s="9" t="s">
        <v>21</v>
      </c>
      <c r="F326" s="9" t="s">
        <v>30</v>
      </c>
      <c r="G326" s="9" t="str">
        <f t="shared" si="20"/>
        <v>Above Averg</v>
      </c>
      <c r="H326" s="11">
        <f t="shared" si="21"/>
        <v>1113.4854166666667</v>
      </c>
      <c r="I326" s="9">
        <f t="shared" si="22"/>
        <v>24</v>
      </c>
      <c r="J326" s="12">
        <f>DATE(2025, MATCH(E326, {"January","February","March","April","May","June","July","August","September","October","November","December"},0),1)</f>
        <v>45748</v>
      </c>
      <c r="K326" s="13">
        <f t="shared" si="23"/>
        <v>26682.959999999999</v>
      </c>
      <c r="L326" s="13">
        <v>345.707476159718</v>
      </c>
      <c r="M326" s="14">
        <f t="shared" si="24"/>
        <v>-4.9041943943480115E-3</v>
      </c>
    </row>
    <row r="327" spans="1:13" ht="15.5" x14ac:dyDescent="0.35">
      <c r="A327" s="8" t="s">
        <v>77</v>
      </c>
      <c r="B327" s="9" t="s">
        <v>14</v>
      </c>
      <c r="C327" s="9" t="s">
        <v>69</v>
      </c>
      <c r="D327" s="10">
        <v>215.47</v>
      </c>
      <c r="E327" s="9" t="s">
        <v>63</v>
      </c>
      <c r="F327" s="9" t="s">
        <v>17</v>
      </c>
      <c r="G327" s="9" t="str">
        <f t="shared" si="20"/>
        <v>Low Averg</v>
      </c>
      <c r="H327" s="11">
        <f t="shared" si="21"/>
        <v>226.49633333333335</v>
      </c>
      <c r="I327" s="9">
        <f t="shared" si="22"/>
        <v>30</v>
      </c>
      <c r="J327" s="12">
        <f>DATE(2025, MATCH(E327, {"January","February","March","April","May","June","July","August","September","October","November","December"},0),1)</f>
        <v>45717</v>
      </c>
      <c r="K327" s="13">
        <f t="shared" si="23"/>
        <v>6464.1</v>
      </c>
      <c r="L327" s="13">
        <v>344.91170747272798</v>
      </c>
      <c r="M327" s="14">
        <f t="shared" si="24"/>
        <v>-3.1968567881115496E-2</v>
      </c>
    </row>
    <row r="328" spans="1:13" ht="15.5" x14ac:dyDescent="0.35">
      <c r="A328" s="8" t="s">
        <v>44</v>
      </c>
      <c r="B328" s="9" t="s">
        <v>23</v>
      </c>
      <c r="C328" s="9" t="s">
        <v>34</v>
      </c>
      <c r="D328" s="10">
        <v>205.45</v>
      </c>
      <c r="E328" s="9" t="s">
        <v>72</v>
      </c>
      <c r="F328" s="9" t="s">
        <v>26</v>
      </c>
      <c r="G328" s="9" t="str">
        <f t="shared" ref="G328:G391" si="25">IF(D328&gt;AVERAGE(D:D),"Above Averg","Low Averg")</f>
        <v>Low Averg</v>
      </c>
      <c r="H328" s="11">
        <f t="shared" ref="H328:H391" si="26">AVERAGEIF(A:A,A328,D:D)</f>
        <v>206.14838709677423</v>
      </c>
      <c r="I328" s="9">
        <f t="shared" ref="I328:I391" si="27">COUNTIF(A:A,A328)</f>
        <v>31</v>
      </c>
      <c r="J328" s="12">
        <f>DATE(2025, MATCH(E328, {"January","February","March","April","May","June","July","August","September","October","November","December"},0),1)</f>
        <v>45901</v>
      </c>
      <c r="K328" s="13">
        <f t="shared" ref="K328:K391" si="28">1*(D328*I328)</f>
        <v>6368.95</v>
      </c>
      <c r="L328" s="13">
        <v>345.08801531706399</v>
      </c>
      <c r="M328" s="14">
        <f t="shared" ref="M328:M391" si="29">(D328-H328)/L328</f>
        <v>-2.0237941214289006E-3</v>
      </c>
    </row>
    <row r="329" spans="1:13" ht="15.5" x14ac:dyDescent="0.35">
      <c r="A329" s="8" t="s">
        <v>44</v>
      </c>
      <c r="B329" s="9" t="s">
        <v>23</v>
      </c>
      <c r="C329" s="9" t="s">
        <v>69</v>
      </c>
      <c r="D329" s="10">
        <v>224.46</v>
      </c>
      <c r="E329" s="9" t="s">
        <v>39</v>
      </c>
      <c r="F329" s="9" t="s">
        <v>26</v>
      </c>
      <c r="G329" s="9" t="str">
        <f t="shared" si="25"/>
        <v>Low Averg</v>
      </c>
      <c r="H329" s="11">
        <f t="shared" si="26"/>
        <v>206.14838709677423</v>
      </c>
      <c r="I329" s="9">
        <f t="shared" si="27"/>
        <v>31</v>
      </c>
      <c r="J329" s="12">
        <f>DATE(2025, MATCH(E329, {"January","February","March","April","May","June","July","August","September","October","November","December"},0),1)</f>
        <v>45992</v>
      </c>
      <c r="K329" s="13">
        <f t="shared" si="28"/>
        <v>6958.26</v>
      </c>
      <c r="L329" s="13">
        <v>345.25856952239502</v>
      </c>
      <c r="M329" s="14">
        <f t="shared" si="29"/>
        <v>5.3037388553618524E-2</v>
      </c>
    </row>
    <row r="330" spans="1:13" ht="15.5" x14ac:dyDescent="0.35">
      <c r="A330" s="8" t="s">
        <v>56</v>
      </c>
      <c r="B330" s="9" t="s">
        <v>19</v>
      </c>
      <c r="C330" s="9" t="s">
        <v>61</v>
      </c>
      <c r="D330" s="10">
        <v>535.13</v>
      </c>
      <c r="E330" s="9" t="s">
        <v>46</v>
      </c>
      <c r="F330" s="9" t="s">
        <v>17</v>
      </c>
      <c r="G330" s="9" t="str">
        <f t="shared" si="25"/>
        <v>Above Averg</v>
      </c>
      <c r="H330" s="11">
        <f t="shared" si="26"/>
        <v>533.4588235294118</v>
      </c>
      <c r="I330" s="9">
        <f t="shared" si="27"/>
        <v>34</v>
      </c>
      <c r="J330" s="12">
        <f>DATE(2025, MATCH(E330, {"January","February","March","April","May","June","July","August","September","October","November","December"},0),1)</f>
        <v>45870</v>
      </c>
      <c r="K330" s="13">
        <f t="shared" si="28"/>
        <v>18194.419999999998</v>
      </c>
      <c r="L330" s="13">
        <v>345.44043670827</v>
      </c>
      <c r="M330" s="14">
        <f t="shared" si="29"/>
        <v>4.8378136807403606E-3</v>
      </c>
    </row>
    <row r="331" spans="1:13" ht="15.5" x14ac:dyDescent="0.35">
      <c r="A331" s="8" t="s">
        <v>47</v>
      </c>
      <c r="B331" s="9" t="s">
        <v>19</v>
      </c>
      <c r="C331" s="9" t="s">
        <v>15</v>
      </c>
      <c r="D331" s="10">
        <v>712.38</v>
      </c>
      <c r="E331" s="9" t="s">
        <v>55</v>
      </c>
      <c r="F331" s="9" t="s">
        <v>17</v>
      </c>
      <c r="G331" s="9" t="str">
        <f t="shared" si="25"/>
        <v>Above Averg</v>
      </c>
      <c r="H331" s="11">
        <f t="shared" si="26"/>
        <v>673.04079999999988</v>
      </c>
      <c r="I331" s="9">
        <f t="shared" si="27"/>
        <v>25</v>
      </c>
      <c r="J331" s="12">
        <f>DATE(2025, MATCH(E331, {"January","February","March","April","May","June","July","August","September","October","November","December"},0),1)</f>
        <v>45962</v>
      </c>
      <c r="K331" s="13">
        <f t="shared" si="28"/>
        <v>17809.5</v>
      </c>
      <c r="L331" s="13">
        <v>345.61298057992798</v>
      </c>
      <c r="M331" s="14">
        <f t="shared" si="29"/>
        <v>0.11382442850957203</v>
      </c>
    </row>
    <row r="332" spans="1:13" ht="15.5" x14ac:dyDescent="0.35">
      <c r="A332" s="8" t="s">
        <v>56</v>
      </c>
      <c r="B332" s="9" t="s">
        <v>19</v>
      </c>
      <c r="C332" s="9" t="s">
        <v>69</v>
      </c>
      <c r="D332" s="10">
        <v>568.64</v>
      </c>
      <c r="E332" s="9" t="s">
        <v>62</v>
      </c>
      <c r="F332" s="9" t="s">
        <v>17</v>
      </c>
      <c r="G332" s="9" t="str">
        <f t="shared" si="25"/>
        <v>Above Averg</v>
      </c>
      <c r="H332" s="11">
        <f t="shared" si="26"/>
        <v>533.4588235294118</v>
      </c>
      <c r="I332" s="9">
        <f t="shared" si="27"/>
        <v>34</v>
      </c>
      <c r="J332" s="12">
        <f>DATE(2025, MATCH(E332, {"January","February","March","April","May","June","July","August","September","October","November","December"},0),1)</f>
        <v>45689</v>
      </c>
      <c r="K332" s="13">
        <f t="shared" si="28"/>
        <v>19333.759999999998</v>
      </c>
      <c r="L332" s="13">
        <v>345.61852930140202</v>
      </c>
      <c r="M332" s="14">
        <f t="shared" si="29"/>
        <v>0.10179192805923866</v>
      </c>
    </row>
    <row r="333" spans="1:13" ht="15.5" x14ac:dyDescent="0.35">
      <c r="A333" s="8" t="s">
        <v>70</v>
      </c>
      <c r="B333" s="9" t="s">
        <v>71</v>
      </c>
      <c r="C333" s="9" t="s">
        <v>43</v>
      </c>
      <c r="D333" s="10">
        <v>829.6</v>
      </c>
      <c r="E333" s="9" t="s">
        <v>42</v>
      </c>
      <c r="F333" s="9" t="s">
        <v>36</v>
      </c>
      <c r="G333" s="9" t="str">
        <f t="shared" si="25"/>
        <v>Above Averg</v>
      </c>
      <c r="H333" s="11">
        <f t="shared" si="26"/>
        <v>911.5772916666665</v>
      </c>
      <c r="I333" s="9">
        <f t="shared" si="27"/>
        <v>48</v>
      </c>
      <c r="J333" s="12">
        <f>DATE(2025, MATCH(E333, {"January","February","March","April","May","June","July","August","September","October","November","December"},0),1)</f>
        <v>45658</v>
      </c>
      <c r="K333" s="13">
        <f t="shared" si="28"/>
        <v>39820.800000000003</v>
      </c>
      <c r="L333" s="13">
        <v>345.76856760286699</v>
      </c>
      <c r="M333" s="14">
        <f t="shared" si="29"/>
        <v>-0.23708717144243607</v>
      </c>
    </row>
    <row r="334" spans="1:13" ht="15.5" x14ac:dyDescent="0.35">
      <c r="A334" s="8" t="s">
        <v>37</v>
      </c>
      <c r="B334" s="9" t="s">
        <v>38</v>
      </c>
      <c r="C334" s="9" t="s">
        <v>20</v>
      </c>
      <c r="D334" s="10">
        <v>927.99</v>
      </c>
      <c r="E334" s="9" t="s">
        <v>57</v>
      </c>
      <c r="F334" s="9" t="s">
        <v>40</v>
      </c>
      <c r="G334" s="9" t="str">
        <f t="shared" si="25"/>
        <v>Above Averg</v>
      </c>
      <c r="H334" s="11">
        <f t="shared" si="26"/>
        <v>1024.1451428571424</v>
      </c>
      <c r="I334" s="9">
        <f t="shared" si="27"/>
        <v>35</v>
      </c>
      <c r="J334" s="12">
        <f>DATE(2025, MATCH(E334, {"January","February","March","April","May","June","July","August","September","October","November","December"},0),1)</f>
        <v>45839</v>
      </c>
      <c r="K334" s="13">
        <f t="shared" si="28"/>
        <v>32479.65</v>
      </c>
      <c r="L334" s="13">
        <v>345.59758141627702</v>
      </c>
      <c r="M334" s="14">
        <f t="shared" si="29"/>
        <v>-0.27822863361223077</v>
      </c>
    </row>
    <row r="335" spans="1:13" ht="15.5" x14ac:dyDescent="0.35">
      <c r="A335" s="8" t="s">
        <v>37</v>
      </c>
      <c r="B335" s="9" t="s">
        <v>38</v>
      </c>
      <c r="C335" s="9" t="s">
        <v>20</v>
      </c>
      <c r="D335" s="10">
        <v>1018.59</v>
      </c>
      <c r="E335" s="9" t="s">
        <v>35</v>
      </c>
      <c r="F335" s="9" t="s">
        <v>40</v>
      </c>
      <c r="G335" s="9" t="str">
        <f t="shared" si="25"/>
        <v>Above Averg</v>
      </c>
      <c r="H335" s="11">
        <f t="shared" si="26"/>
        <v>1024.1451428571424</v>
      </c>
      <c r="I335" s="9">
        <f t="shared" si="27"/>
        <v>35</v>
      </c>
      <c r="J335" s="12">
        <f>DATE(2025, MATCH(E335, {"January","February","March","April","May","June","July","August","September","October","November","December"},0),1)</f>
        <v>45778</v>
      </c>
      <c r="K335" s="13">
        <f t="shared" si="28"/>
        <v>35650.65</v>
      </c>
      <c r="L335" s="13">
        <v>345.23703449518803</v>
      </c>
      <c r="M335" s="14">
        <f t="shared" si="29"/>
        <v>-1.6090808059642983E-2</v>
      </c>
    </row>
    <row r="336" spans="1:13" ht="15.5" x14ac:dyDescent="0.35">
      <c r="A336" s="8" t="s">
        <v>47</v>
      </c>
      <c r="B336" s="9" t="s">
        <v>19</v>
      </c>
      <c r="C336" s="9" t="s">
        <v>61</v>
      </c>
      <c r="D336" s="10">
        <v>631.91</v>
      </c>
      <c r="E336" s="9" t="s">
        <v>21</v>
      </c>
      <c r="F336" s="9" t="s">
        <v>36</v>
      </c>
      <c r="G336" s="9" t="str">
        <f t="shared" si="25"/>
        <v>Above Averg</v>
      </c>
      <c r="H336" s="11">
        <f t="shared" si="26"/>
        <v>673.04079999999988</v>
      </c>
      <c r="I336" s="9">
        <f t="shared" si="27"/>
        <v>25</v>
      </c>
      <c r="J336" s="12">
        <f>DATE(2025, MATCH(E336, {"January","February","March","April","May","June","July","August","September","October","November","December"},0),1)</f>
        <v>45748</v>
      </c>
      <c r="K336" s="13">
        <f t="shared" si="28"/>
        <v>15797.75</v>
      </c>
      <c r="L336" s="13">
        <v>344.66752956246103</v>
      </c>
      <c r="M336" s="14">
        <f t="shared" si="29"/>
        <v>-0.11933471090883871</v>
      </c>
    </row>
    <row r="337" spans="1:13" ht="15.5" x14ac:dyDescent="0.35">
      <c r="A337" s="8" t="s">
        <v>51</v>
      </c>
      <c r="B337" s="9" t="s">
        <v>28</v>
      </c>
      <c r="C337" s="9" t="s">
        <v>69</v>
      </c>
      <c r="D337" s="10">
        <v>114.77</v>
      </c>
      <c r="E337" s="9" t="s">
        <v>55</v>
      </c>
      <c r="F337" s="9" t="s">
        <v>26</v>
      </c>
      <c r="G337" s="9" t="str">
        <f t="shared" si="25"/>
        <v>Low Averg</v>
      </c>
      <c r="H337" s="11">
        <f t="shared" si="26"/>
        <v>122.0377142857143</v>
      </c>
      <c r="I337" s="9">
        <f t="shared" si="27"/>
        <v>35</v>
      </c>
      <c r="J337" s="12">
        <f>DATE(2025, MATCH(E337, {"January","February","March","April","May","June","July","August","September","October","November","December"},0),1)</f>
        <v>45962</v>
      </c>
      <c r="K337" s="13">
        <f t="shared" si="28"/>
        <v>4016.95</v>
      </c>
      <c r="L337" s="13">
        <v>344.76040093025603</v>
      </c>
      <c r="M337" s="14">
        <f t="shared" si="29"/>
        <v>-2.1080478692170165E-2</v>
      </c>
    </row>
    <row r="338" spans="1:13" ht="15.5" x14ac:dyDescent="0.35">
      <c r="A338" s="8" t="s">
        <v>82</v>
      </c>
      <c r="B338" s="9" t="s">
        <v>14</v>
      </c>
      <c r="C338" s="9" t="s">
        <v>61</v>
      </c>
      <c r="D338" s="10">
        <v>830.6</v>
      </c>
      <c r="E338" s="9" t="s">
        <v>21</v>
      </c>
      <c r="F338" s="9" t="s">
        <v>26</v>
      </c>
      <c r="G338" s="9" t="str">
        <f t="shared" si="25"/>
        <v>Above Averg</v>
      </c>
      <c r="H338" s="11">
        <f t="shared" si="26"/>
        <v>905.6025925925926</v>
      </c>
      <c r="I338" s="9">
        <f t="shared" si="27"/>
        <v>27</v>
      </c>
      <c r="J338" s="12">
        <f>DATE(2025, MATCH(E338, {"January","February","March","April","May","June","July","August","September","October","November","December"},0),1)</f>
        <v>45748</v>
      </c>
      <c r="K338" s="13">
        <f t="shared" si="28"/>
        <v>22426.2</v>
      </c>
      <c r="L338" s="13">
        <v>344.86333717818002</v>
      </c>
      <c r="M338" s="14">
        <f t="shared" si="29"/>
        <v>-0.21748497015164328</v>
      </c>
    </row>
    <row r="339" spans="1:13" ht="15.5" x14ac:dyDescent="0.35">
      <c r="A339" s="8" t="s">
        <v>81</v>
      </c>
      <c r="B339" s="9" t="s">
        <v>28</v>
      </c>
      <c r="C339" s="9" t="s">
        <v>69</v>
      </c>
      <c r="D339" s="10">
        <v>143.72</v>
      </c>
      <c r="E339" s="9" t="s">
        <v>21</v>
      </c>
      <c r="F339" s="9" t="s">
        <v>30</v>
      </c>
      <c r="G339" s="9" t="str">
        <f t="shared" si="25"/>
        <v>Low Averg</v>
      </c>
      <c r="H339" s="11">
        <f t="shared" si="26"/>
        <v>140.29840000000002</v>
      </c>
      <c r="I339" s="9">
        <f t="shared" si="27"/>
        <v>25</v>
      </c>
      <c r="J339" s="12">
        <f>DATE(2025, MATCH(E339, {"January","February","March","April","May","June","July","August","September","October","November","December"},0),1)</f>
        <v>45748</v>
      </c>
      <c r="K339" s="13">
        <f t="shared" si="28"/>
        <v>3593</v>
      </c>
      <c r="L339" s="13">
        <v>344.684081549594</v>
      </c>
      <c r="M339" s="14">
        <f t="shared" si="29"/>
        <v>9.926771159890874E-3</v>
      </c>
    </row>
    <row r="340" spans="1:13" ht="15.5" x14ac:dyDescent="0.35">
      <c r="A340" s="8" t="s">
        <v>27</v>
      </c>
      <c r="B340" s="9" t="s">
        <v>28</v>
      </c>
      <c r="C340" s="9" t="s">
        <v>20</v>
      </c>
      <c r="D340" s="10">
        <v>119.94</v>
      </c>
      <c r="E340" s="9" t="s">
        <v>21</v>
      </c>
      <c r="F340" s="9" t="s">
        <v>40</v>
      </c>
      <c r="G340" s="9" t="str">
        <f t="shared" si="25"/>
        <v>Low Averg</v>
      </c>
      <c r="H340" s="11">
        <f t="shared" si="26"/>
        <v>113.26108695652174</v>
      </c>
      <c r="I340" s="9">
        <f t="shared" si="27"/>
        <v>46</v>
      </c>
      <c r="J340" s="12">
        <f>DATE(2025, MATCH(E340, {"January","February","March","April","May","June","July","August","September","October","November","December"},0),1)</f>
        <v>45748</v>
      </c>
      <c r="K340" s="13">
        <f t="shared" si="28"/>
        <v>5517.24</v>
      </c>
      <c r="L340" s="13">
        <v>344.81362334426802</v>
      </c>
      <c r="M340" s="14">
        <f t="shared" si="29"/>
        <v>1.9369632147074177E-2</v>
      </c>
    </row>
    <row r="341" spans="1:13" ht="15.5" x14ac:dyDescent="0.35">
      <c r="A341" s="8" t="s">
        <v>77</v>
      </c>
      <c r="B341" s="9" t="s">
        <v>14</v>
      </c>
      <c r="C341" s="9" t="s">
        <v>43</v>
      </c>
      <c r="D341" s="10">
        <v>230.35</v>
      </c>
      <c r="E341" s="9" t="s">
        <v>39</v>
      </c>
      <c r="F341" s="9" t="s">
        <v>17</v>
      </c>
      <c r="G341" s="9" t="str">
        <f t="shared" si="25"/>
        <v>Low Averg</v>
      </c>
      <c r="H341" s="11">
        <f t="shared" si="26"/>
        <v>226.49633333333335</v>
      </c>
      <c r="I341" s="9">
        <f t="shared" si="27"/>
        <v>30</v>
      </c>
      <c r="J341" s="12">
        <f>DATE(2025, MATCH(E341, {"January","February","March","April","May","June","July","August","September","October","November","December"},0),1)</f>
        <v>45992</v>
      </c>
      <c r="K341" s="13">
        <f t="shared" si="28"/>
        <v>6910.5</v>
      </c>
      <c r="L341" s="13">
        <v>344.92191023614799</v>
      </c>
      <c r="M341" s="14">
        <f t="shared" si="29"/>
        <v>1.117257719008995E-2</v>
      </c>
    </row>
    <row r="342" spans="1:13" ht="15.5" x14ac:dyDescent="0.35">
      <c r="A342" s="8" t="s">
        <v>51</v>
      </c>
      <c r="B342" s="9" t="s">
        <v>28</v>
      </c>
      <c r="C342" s="9" t="s">
        <v>69</v>
      </c>
      <c r="D342" s="10">
        <v>117.46</v>
      </c>
      <c r="E342" s="9" t="s">
        <v>62</v>
      </c>
      <c r="F342" s="9" t="s">
        <v>26</v>
      </c>
      <c r="G342" s="9" t="str">
        <f t="shared" si="25"/>
        <v>Low Averg</v>
      </c>
      <c r="H342" s="11">
        <f t="shared" si="26"/>
        <v>122.0377142857143</v>
      </c>
      <c r="I342" s="9">
        <f t="shared" si="27"/>
        <v>35</v>
      </c>
      <c r="J342" s="12">
        <f>DATE(2025, MATCH(E342, {"January","February","March","April","May","June","July","August","September","October","November","December"},0),1)</f>
        <v>45689</v>
      </c>
      <c r="K342" s="13">
        <f t="shared" si="28"/>
        <v>4111.0999999999995</v>
      </c>
      <c r="L342" s="13">
        <v>345.11110337388902</v>
      </c>
      <c r="M342" s="14">
        <f t="shared" si="29"/>
        <v>-1.326446538799092E-2</v>
      </c>
    </row>
    <row r="343" spans="1:13" ht="15.5" x14ac:dyDescent="0.35">
      <c r="A343" s="8" t="s">
        <v>52</v>
      </c>
      <c r="B343" s="9" t="s">
        <v>32</v>
      </c>
      <c r="C343" s="9" t="s">
        <v>43</v>
      </c>
      <c r="D343" s="10">
        <v>62.84</v>
      </c>
      <c r="E343" s="9" t="s">
        <v>63</v>
      </c>
      <c r="F343" s="9" t="s">
        <v>30</v>
      </c>
      <c r="G343" s="9" t="str">
        <f t="shared" si="25"/>
        <v>Low Averg</v>
      </c>
      <c r="H343" s="11">
        <f t="shared" si="26"/>
        <v>62.182121212121217</v>
      </c>
      <c r="I343" s="9">
        <f t="shared" si="27"/>
        <v>33</v>
      </c>
      <c r="J343" s="12">
        <f>DATE(2025, MATCH(E343, {"January","February","March","April","May","June","July","August","September","October","November","December"},0),1)</f>
        <v>45717</v>
      </c>
      <c r="K343" s="13">
        <f t="shared" si="28"/>
        <v>2073.7200000000003</v>
      </c>
      <c r="L343" s="13">
        <v>345.21714021328899</v>
      </c>
      <c r="M343" s="14">
        <f t="shared" si="29"/>
        <v>1.9056956079073087E-3</v>
      </c>
    </row>
    <row r="344" spans="1:13" ht="15.5" x14ac:dyDescent="0.35">
      <c r="A344" s="8" t="s">
        <v>27</v>
      </c>
      <c r="B344" s="9" t="s">
        <v>28</v>
      </c>
      <c r="C344" s="9" t="s">
        <v>61</v>
      </c>
      <c r="D344" s="10">
        <v>101.76</v>
      </c>
      <c r="E344" s="9" t="s">
        <v>42</v>
      </c>
      <c r="F344" s="9" t="s">
        <v>36</v>
      </c>
      <c r="G344" s="9" t="str">
        <f t="shared" si="25"/>
        <v>Low Averg</v>
      </c>
      <c r="H344" s="11">
        <f t="shared" si="26"/>
        <v>113.26108695652174</v>
      </c>
      <c r="I344" s="9">
        <f t="shared" si="27"/>
        <v>46</v>
      </c>
      <c r="J344" s="12">
        <f>DATE(2025, MATCH(E344, {"January","February","March","April","May","June","July","August","September","October","November","December"},0),1)</f>
        <v>45658</v>
      </c>
      <c r="K344" s="13">
        <f t="shared" si="28"/>
        <v>4680.96</v>
      </c>
      <c r="L344" s="13">
        <v>345.26522745480202</v>
      </c>
      <c r="M344" s="14">
        <f t="shared" si="29"/>
        <v>-3.3310875356040062E-2</v>
      </c>
    </row>
    <row r="345" spans="1:13" ht="15.5" x14ac:dyDescent="0.35">
      <c r="A345" s="8" t="s">
        <v>76</v>
      </c>
      <c r="B345" s="9" t="s">
        <v>60</v>
      </c>
      <c r="C345" s="9" t="s">
        <v>49</v>
      </c>
      <c r="D345" s="10">
        <v>326.83999999999997</v>
      </c>
      <c r="E345" s="9" t="s">
        <v>39</v>
      </c>
      <c r="F345" s="9" t="s">
        <v>30</v>
      </c>
      <c r="G345" s="9" t="str">
        <f t="shared" si="25"/>
        <v>Low Averg</v>
      </c>
      <c r="H345" s="11">
        <f t="shared" si="26"/>
        <v>304.90820512820511</v>
      </c>
      <c r="I345" s="9">
        <f t="shared" si="27"/>
        <v>39</v>
      </c>
      <c r="J345" s="12">
        <f>DATE(2025, MATCH(E345, {"January","February","March","April","May","June","July","August","September","October","November","December"},0),1)</f>
        <v>45992</v>
      </c>
      <c r="K345" s="13">
        <f t="shared" si="28"/>
        <v>12746.759999999998</v>
      </c>
      <c r="L345" s="13">
        <v>345.35548175410099</v>
      </c>
      <c r="M345" s="14">
        <f t="shared" si="29"/>
        <v>6.3504985530852751E-2</v>
      </c>
    </row>
    <row r="346" spans="1:13" ht="15.5" x14ac:dyDescent="0.35">
      <c r="A346" s="8" t="s">
        <v>47</v>
      </c>
      <c r="B346" s="9" t="s">
        <v>19</v>
      </c>
      <c r="C346" s="9" t="s">
        <v>29</v>
      </c>
      <c r="D346" s="10">
        <v>764.14</v>
      </c>
      <c r="E346" s="9" t="s">
        <v>55</v>
      </c>
      <c r="F346" s="9" t="s">
        <v>40</v>
      </c>
      <c r="G346" s="9" t="str">
        <f t="shared" si="25"/>
        <v>Above Averg</v>
      </c>
      <c r="H346" s="11">
        <f t="shared" si="26"/>
        <v>673.04079999999988</v>
      </c>
      <c r="I346" s="9">
        <f t="shared" si="27"/>
        <v>25</v>
      </c>
      <c r="J346" s="12">
        <f>DATE(2025, MATCH(E346, {"January","February","March","April","May","June","July","August","September","October","November","December"},0),1)</f>
        <v>45962</v>
      </c>
      <c r="K346" s="13">
        <f t="shared" si="28"/>
        <v>19103.5</v>
      </c>
      <c r="L346" s="13">
        <v>345.57881498371398</v>
      </c>
      <c r="M346" s="14">
        <f t="shared" si="29"/>
        <v>0.2636133815213566</v>
      </c>
    </row>
    <row r="347" spans="1:13" ht="15.5" x14ac:dyDescent="0.35">
      <c r="A347" s="8" t="s">
        <v>59</v>
      </c>
      <c r="B347" s="9" t="s">
        <v>60</v>
      </c>
      <c r="C347" s="9" t="s">
        <v>20</v>
      </c>
      <c r="D347" s="10">
        <v>191.77</v>
      </c>
      <c r="E347" s="9" t="s">
        <v>25</v>
      </c>
      <c r="F347" s="9" t="s">
        <v>30</v>
      </c>
      <c r="G347" s="9" t="str">
        <f t="shared" si="25"/>
        <v>Low Averg</v>
      </c>
      <c r="H347" s="11">
        <f t="shared" si="26"/>
        <v>203.25225806451613</v>
      </c>
      <c r="I347" s="9">
        <f t="shared" si="27"/>
        <v>31</v>
      </c>
      <c r="J347" s="12">
        <f>DATE(2025, MATCH(E347, {"January","February","March","April","May","June","July","August","September","October","November","December"},0),1)</f>
        <v>45931</v>
      </c>
      <c r="K347" s="13">
        <f t="shared" si="28"/>
        <v>5944.87</v>
      </c>
      <c r="L347" s="13">
        <v>345.50970564953701</v>
      </c>
      <c r="M347" s="14">
        <f t="shared" si="29"/>
        <v>-3.3232809026102976E-2</v>
      </c>
    </row>
    <row r="348" spans="1:13" ht="15.5" x14ac:dyDescent="0.35">
      <c r="A348" s="8" t="s">
        <v>70</v>
      </c>
      <c r="B348" s="9" t="s">
        <v>71</v>
      </c>
      <c r="C348" s="9" t="s">
        <v>34</v>
      </c>
      <c r="D348" s="10">
        <v>966.79</v>
      </c>
      <c r="E348" s="9" t="s">
        <v>39</v>
      </c>
      <c r="F348" s="9" t="s">
        <v>30</v>
      </c>
      <c r="G348" s="9" t="str">
        <f t="shared" si="25"/>
        <v>Above Averg</v>
      </c>
      <c r="H348" s="11">
        <f t="shared" si="26"/>
        <v>911.5772916666665</v>
      </c>
      <c r="I348" s="9">
        <f t="shared" si="27"/>
        <v>48</v>
      </c>
      <c r="J348" s="12">
        <f>DATE(2025, MATCH(E348, {"January","February","March","April","May","June","July","August","September","October","November","December"},0),1)</f>
        <v>45992</v>
      </c>
      <c r="K348" s="13">
        <f t="shared" si="28"/>
        <v>46405.919999999998</v>
      </c>
      <c r="L348" s="13">
        <v>345.67712797883098</v>
      </c>
      <c r="M348" s="14">
        <f t="shared" si="29"/>
        <v>0.15972334836314264</v>
      </c>
    </row>
    <row r="349" spans="1:13" ht="15.5" x14ac:dyDescent="0.35">
      <c r="A349" s="8" t="s">
        <v>31</v>
      </c>
      <c r="B349" s="9" t="s">
        <v>32</v>
      </c>
      <c r="C349" s="9" t="s">
        <v>49</v>
      </c>
      <c r="D349" s="10">
        <v>129.35</v>
      </c>
      <c r="E349" s="9" t="s">
        <v>63</v>
      </c>
      <c r="F349" s="9" t="s">
        <v>26</v>
      </c>
      <c r="G349" s="9" t="str">
        <f t="shared" si="25"/>
        <v>Low Averg</v>
      </c>
      <c r="H349" s="11">
        <f t="shared" si="26"/>
        <v>123.43305555555558</v>
      </c>
      <c r="I349" s="9">
        <f t="shared" si="27"/>
        <v>36</v>
      </c>
      <c r="J349" s="12">
        <f>DATE(2025, MATCH(E349, {"January","February","March","April","May","June","July","August","September","October","November","December"},0),1)</f>
        <v>45717</v>
      </c>
      <c r="K349" s="13">
        <f t="shared" si="28"/>
        <v>4656.5999999999995</v>
      </c>
      <c r="L349" s="13">
        <v>345.22317506883701</v>
      </c>
      <c r="M349" s="14">
        <f t="shared" si="29"/>
        <v>1.7139476349652891E-2</v>
      </c>
    </row>
    <row r="350" spans="1:13" ht="15.5" x14ac:dyDescent="0.35">
      <c r="A350" s="8" t="s">
        <v>75</v>
      </c>
      <c r="B350" s="9" t="s">
        <v>28</v>
      </c>
      <c r="C350" s="9" t="s">
        <v>49</v>
      </c>
      <c r="D350" s="10">
        <v>117.65</v>
      </c>
      <c r="E350" s="9" t="s">
        <v>35</v>
      </c>
      <c r="F350" s="9" t="s">
        <v>26</v>
      </c>
      <c r="G350" s="9" t="str">
        <f t="shared" si="25"/>
        <v>Low Averg</v>
      </c>
      <c r="H350" s="11">
        <f t="shared" si="26"/>
        <v>120.53625</v>
      </c>
      <c r="I350" s="9">
        <f t="shared" si="27"/>
        <v>24</v>
      </c>
      <c r="J350" s="12">
        <f>DATE(2025, MATCH(E350, {"January","February","March","April","May","June","July","August","September","October","November","December"},0),1)</f>
        <v>45778</v>
      </c>
      <c r="K350" s="13">
        <f t="shared" si="28"/>
        <v>2823.6000000000004</v>
      </c>
      <c r="L350" s="13">
        <v>345.34141385956002</v>
      </c>
      <c r="M350" s="14">
        <f t="shared" si="29"/>
        <v>-8.3576712324857187E-3</v>
      </c>
    </row>
    <row r="351" spans="1:13" ht="15.5" x14ac:dyDescent="0.35">
      <c r="A351" s="8" t="s">
        <v>27</v>
      </c>
      <c r="B351" s="9" t="s">
        <v>28</v>
      </c>
      <c r="C351" s="9" t="s">
        <v>29</v>
      </c>
      <c r="D351" s="10">
        <v>127.43</v>
      </c>
      <c r="E351" s="9" t="s">
        <v>62</v>
      </c>
      <c r="F351" s="9" t="s">
        <v>26</v>
      </c>
      <c r="G351" s="9" t="str">
        <f t="shared" si="25"/>
        <v>Low Averg</v>
      </c>
      <c r="H351" s="11">
        <f t="shared" si="26"/>
        <v>113.26108695652174</v>
      </c>
      <c r="I351" s="9">
        <f t="shared" si="27"/>
        <v>46</v>
      </c>
      <c r="J351" s="12">
        <f>DATE(2025, MATCH(E351, {"January","February","March","April","May","June","July","August","September","October","November","December"},0),1)</f>
        <v>45689</v>
      </c>
      <c r="K351" s="13">
        <f t="shared" si="28"/>
        <v>5861.7800000000007</v>
      </c>
      <c r="L351" s="13">
        <v>345.44862066644703</v>
      </c>
      <c r="M351" s="14">
        <f t="shared" si="29"/>
        <v>4.1015978052375175E-2</v>
      </c>
    </row>
    <row r="352" spans="1:13" ht="15.5" x14ac:dyDescent="0.35">
      <c r="A352" s="8" t="s">
        <v>68</v>
      </c>
      <c r="B352" s="9" t="s">
        <v>28</v>
      </c>
      <c r="C352" s="9" t="s">
        <v>69</v>
      </c>
      <c r="D352" s="10">
        <v>112.42</v>
      </c>
      <c r="E352" s="9" t="s">
        <v>63</v>
      </c>
      <c r="F352" s="9" t="s">
        <v>30</v>
      </c>
      <c r="G352" s="9" t="str">
        <f t="shared" si="25"/>
        <v>Low Averg</v>
      </c>
      <c r="H352" s="11">
        <f t="shared" si="26"/>
        <v>102.25285714285715</v>
      </c>
      <c r="I352" s="9">
        <f t="shared" si="27"/>
        <v>28</v>
      </c>
      <c r="J352" s="12">
        <f>DATE(2025, MATCH(E352, {"January","February","March","April","May","June","July","August","September","October","November","December"},0),1)</f>
        <v>45717</v>
      </c>
      <c r="K352" s="13">
        <f t="shared" si="28"/>
        <v>3147.76</v>
      </c>
      <c r="L352" s="13">
        <v>345.56502170405997</v>
      </c>
      <c r="M352" s="14">
        <f t="shared" si="29"/>
        <v>2.9421793927540317E-2</v>
      </c>
    </row>
    <row r="353" spans="1:13" ht="15.5" x14ac:dyDescent="0.35">
      <c r="A353" s="8" t="s">
        <v>27</v>
      </c>
      <c r="B353" s="9" t="s">
        <v>28</v>
      </c>
      <c r="C353" s="9" t="s">
        <v>45</v>
      </c>
      <c r="D353" s="10">
        <v>119.91</v>
      </c>
      <c r="E353" s="9" t="s">
        <v>62</v>
      </c>
      <c r="F353" s="9" t="s">
        <v>17</v>
      </c>
      <c r="G353" s="9" t="str">
        <f t="shared" si="25"/>
        <v>Low Averg</v>
      </c>
      <c r="H353" s="11">
        <f t="shared" si="26"/>
        <v>113.26108695652174</v>
      </c>
      <c r="I353" s="9">
        <f t="shared" si="27"/>
        <v>46</v>
      </c>
      <c r="J353" s="12">
        <f>DATE(2025, MATCH(E353, {"January","February","March","April","May","June","July","August","September","October","November","December"},0),1)</f>
        <v>45689</v>
      </c>
      <c r="K353" s="13">
        <f t="shared" si="28"/>
        <v>5515.86</v>
      </c>
      <c r="L353" s="13">
        <v>345.666992160039</v>
      </c>
      <c r="M353" s="14">
        <f t="shared" si="29"/>
        <v>1.9235024443409701E-2</v>
      </c>
    </row>
    <row r="354" spans="1:13" ht="15.5" x14ac:dyDescent="0.35">
      <c r="A354" s="8" t="s">
        <v>53</v>
      </c>
      <c r="B354" s="9" t="s">
        <v>54</v>
      </c>
      <c r="C354" s="9" t="s">
        <v>24</v>
      </c>
      <c r="D354" s="10">
        <v>703.81</v>
      </c>
      <c r="E354" s="9" t="s">
        <v>25</v>
      </c>
      <c r="F354" s="9" t="s">
        <v>17</v>
      </c>
      <c r="G354" s="9" t="str">
        <f t="shared" si="25"/>
        <v>Above Averg</v>
      </c>
      <c r="H354" s="11">
        <f t="shared" si="26"/>
        <v>810.77454545454566</v>
      </c>
      <c r="I354" s="9">
        <f t="shared" si="27"/>
        <v>33</v>
      </c>
      <c r="J354" s="12">
        <f>DATE(2025, MATCH(E354, {"January","February","March","April","May","June","July","August","September","October","November","December"},0),1)</f>
        <v>45931</v>
      </c>
      <c r="K354" s="13">
        <f t="shared" si="28"/>
        <v>23225.73</v>
      </c>
      <c r="L354" s="13">
        <v>345.77617801929603</v>
      </c>
      <c r="M354" s="14">
        <f t="shared" si="29"/>
        <v>-0.30934619633795757</v>
      </c>
    </row>
    <row r="355" spans="1:13" ht="15.5" x14ac:dyDescent="0.35">
      <c r="A355" s="8" t="s">
        <v>74</v>
      </c>
      <c r="B355" s="9" t="s">
        <v>38</v>
      </c>
      <c r="C355" s="9" t="s">
        <v>15</v>
      </c>
      <c r="D355" s="10">
        <v>344.63</v>
      </c>
      <c r="E355" s="9" t="s">
        <v>72</v>
      </c>
      <c r="F355" s="9" t="s">
        <v>40</v>
      </c>
      <c r="G355" s="9" t="str">
        <f t="shared" si="25"/>
        <v>Low Averg</v>
      </c>
      <c r="H355" s="11">
        <f t="shared" si="26"/>
        <v>368.73933333333326</v>
      </c>
      <c r="I355" s="9">
        <f t="shared" si="27"/>
        <v>30</v>
      </c>
      <c r="J355" s="12">
        <f>DATE(2025, MATCH(E355, {"January","February","March","April","May","June","July","August","September","October","November","December"},0),1)</f>
        <v>45901</v>
      </c>
      <c r="K355" s="13">
        <f t="shared" si="28"/>
        <v>10338.9</v>
      </c>
      <c r="L355" s="13">
        <v>345.79198042878602</v>
      </c>
      <c r="M355" s="14">
        <f t="shared" si="29"/>
        <v>-6.9722071933066287E-2</v>
      </c>
    </row>
    <row r="356" spans="1:13" ht="15.5" x14ac:dyDescent="0.35">
      <c r="A356" s="8" t="s">
        <v>27</v>
      </c>
      <c r="B356" s="9" t="s">
        <v>28</v>
      </c>
      <c r="C356" s="9" t="s">
        <v>49</v>
      </c>
      <c r="D356" s="10">
        <v>103.92</v>
      </c>
      <c r="E356" s="9" t="s">
        <v>57</v>
      </c>
      <c r="F356" s="9" t="s">
        <v>36</v>
      </c>
      <c r="G356" s="9" t="str">
        <f t="shared" si="25"/>
        <v>Low Averg</v>
      </c>
      <c r="H356" s="11">
        <f t="shared" si="26"/>
        <v>113.26108695652174</v>
      </c>
      <c r="I356" s="9">
        <f t="shared" si="27"/>
        <v>46</v>
      </c>
      <c r="J356" s="12">
        <f>DATE(2025, MATCH(E356, {"January","February","March","April","May","June","July","August","September","October","November","December"},0),1)</f>
        <v>45839</v>
      </c>
      <c r="K356" s="13">
        <f t="shared" si="28"/>
        <v>4780.32</v>
      </c>
      <c r="L356" s="13">
        <v>346.02089382118601</v>
      </c>
      <c r="M356" s="14">
        <f t="shared" si="29"/>
        <v>-2.6995730961116324E-2</v>
      </c>
    </row>
    <row r="357" spans="1:13" ht="15.5" x14ac:dyDescent="0.35">
      <c r="A357" s="8" t="s">
        <v>77</v>
      </c>
      <c r="B357" s="9" t="s">
        <v>14</v>
      </c>
      <c r="C357" s="9" t="s">
        <v>29</v>
      </c>
      <c r="D357" s="10">
        <v>254.88</v>
      </c>
      <c r="E357" s="9" t="s">
        <v>63</v>
      </c>
      <c r="F357" s="9" t="s">
        <v>17</v>
      </c>
      <c r="G357" s="9" t="str">
        <f t="shared" si="25"/>
        <v>Low Averg</v>
      </c>
      <c r="H357" s="11">
        <f t="shared" si="26"/>
        <v>226.49633333333335</v>
      </c>
      <c r="I357" s="9">
        <f t="shared" si="27"/>
        <v>30</v>
      </c>
      <c r="J357" s="12">
        <f>DATE(2025, MATCH(E357, {"January","February","March","April","May","June","July","August","September","October","November","December"},0),1)</f>
        <v>45717</v>
      </c>
      <c r="K357" s="13">
        <f t="shared" si="28"/>
        <v>7646.4</v>
      </c>
      <c r="L357" s="13">
        <v>346.115035185046</v>
      </c>
      <c r="M357" s="14">
        <f t="shared" si="29"/>
        <v>8.2006453870146601E-2</v>
      </c>
    </row>
    <row r="358" spans="1:13" ht="15.5" x14ac:dyDescent="0.35">
      <c r="A358" s="8" t="s">
        <v>65</v>
      </c>
      <c r="B358" s="9" t="s">
        <v>23</v>
      </c>
      <c r="C358" s="9" t="s">
        <v>61</v>
      </c>
      <c r="D358" s="10">
        <v>163.4</v>
      </c>
      <c r="E358" s="9" t="s">
        <v>63</v>
      </c>
      <c r="F358" s="9" t="s">
        <v>40</v>
      </c>
      <c r="G358" s="9" t="str">
        <f t="shared" si="25"/>
        <v>Low Averg</v>
      </c>
      <c r="H358" s="11">
        <f t="shared" si="26"/>
        <v>151.26457142857143</v>
      </c>
      <c r="I358" s="9">
        <f t="shared" si="27"/>
        <v>35</v>
      </c>
      <c r="J358" s="12">
        <f>DATE(2025, MATCH(E358, {"January","February","March","April","May","June","July","August","September","October","November","December"},0),1)</f>
        <v>45717</v>
      </c>
      <c r="K358" s="13">
        <f t="shared" si="28"/>
        <v>5719</v>
      </c>
      <c r="L358" s="13">
        <v>346.320299649444</v>
      </c>
      <c r="M358" s="14">
        <f t="shared" si="29"/>
        <v>3.504105472221071E-2</v>
      </c>
    </row>
    <row r="359" spans="1:13" ht="15.5" x14ac:dyDescent="0.35">
      <c r="A359" s="8" t="s">
        <v>48</v>
      </c>
      <c r="B359" s="9" t="s">
        <v>19</v>
      </c>
      <c r="C359" s="9" t="s">
        <v>24</v>
      </c>
      <c r="D359" s="10">
        <v>1267.76</v>
      </c>
      <c r="E359" s="9" t="s">
        <v>62</v>
      </c>
      <c r="F359" s="9" t="s">
        <v>17</v>
      </c>
      <c r="G359" s="9" t="str">
        <f t="shared" si="25"/>
        <v>Above Averg</v>
      </c>
      <c r="H359" s="11">
        <f t="shared" si="26"/>
        <v>1235.856</v>
      </c>
      <c r="I359" s="9">
        <f t="shared" si="27"/>
        <v>25</v>
      </c>
      <c r="J359" s="12">
        <f>DATE(2025, MATCH(E359, {"January","February","March","April","May","June","July","August","September","October","November","December"},0),1)</f>
        <v>45689</v>
      </c>
      <c r="K359" s="13">
        <f t="shared" si="28"/>
        <v>31694</v>
      </c>
      <c r="L359" s="13">
        <v>346.46891055158301</v>
      </c>
      <c r="M359" s="14">
        <f t="shared" si="29"/>
        <v>9.2083298178784398E-2</v>
      </c>
    </row>
    <row r="360" spans="1:13" ht="15.5" x14ac:dyDescent="0.35">
      <c r="A360" s="8" t="s">
        <v>41</v>
      </c>
      <c r="B360" s="9" t="s">
        <v>32</v>
      </c>
      <c r="C360" s="9" t="s">
        <v>34</v>
      </c>
      <c r="D360" s="10">
        <v>67.650000000000006</v>
      </c>
      <c r="E360" s="9" t="s">
        <v>72</v>
      </c>
      <c r="F360" s="9" t="s">
        <v>17</v>
      </c>
      <c r="G360" s="9" t="str">
        <f t="shared" si="25"/>
        <v>Low Averg</v>
      </c>
      <c r="H360" s="11">
        <f t="shared" si="26"/>
        <v>70.278611111111118</v>
      </c>
      <c r="I360" s="9">
        <f t="shared" si="27"/>
        <v>36</v>
      </c>
      <c r="J360" s="12">
        <f>DATE(2025, MATCH(E360, {"January","February","March","April","May","June","July","August","September","October","November","December"},0),1)</f>
        <v>45901</v>
      </c>
      <c r="K360" s="13">
        <f t="shared" si="28"/>
        <v>2435.4</v>
      </c>
      <c r="L360" s="13">
        <v>345.14165223378899</v>
      </c>
      <c r="M360" s="14">
        <f t="shared" si="29"/>
        <v>-7.6160356018999623E-3</v>
      </c>
    </row>
    <row r="361" spans="1:13" ht="15.5" x14ac:dyDescent="0.35">
      <c r="A361" s="8" t="s">
        <v>77</v>
      </c>
      <c r="B361" s="9" t="s">
        <v>14</v>
      </c>
      <c r="C361" s="9" t="s">
        <v>69</v>
      </c>
      <c r="D361" s="10">
        <v>252.74</v>
      </c>
      <c r="E361" s="9" t="s">
        <v>35</v>
      </c>
      <c r="F361" s="9" t="s">
        <v>17</v>
      </c>
      <c r="G361" s="9" t="str">
        <f t="shared" si="25"/>
        <v>Low Averg</v>
      </c>
      <c r="H361" s="11">
        <f t="shared" si="26"/>
        <v>226.49633333333335</v>
      </c>
      <c r="I361" s="9">
        <f t="shared" si="27"/>
        <v>30</v>
      </c>
      <c r="J361" s="12">
        <f>DATE(2025, MATCH(E361, {"January","February","March","April","May","June","July","August","September","October","November","December"},0),1)</f>
        <v>45778</v>
      </c>
      <c r="K361" s="13">
        <f t="shared" si="28"/>
        <v>7582.2000000000007</v>
      </c>
      <c r="L361" s="13">
        <v>345.19577225505299</v>
      </c>
      <c r="M361" s="14">
        <f t="shared" si="29"/>
        <v>7.6025457945864225E-2</v>
      </c>
    </row>
    <row r="362" spans="1:13" ht="15.5" x14ac:dyDescent="0.35">
      <c r="A362" s="8" t="s">
        <v>67</v>
      </c>
      <c r="B362" s="9" t="s">
        <v>23</v>
      </c>
      <c r="C362" s="9" t="s">
        <v>69</v>
      </c>
      <c r="D362" s="10">
        <v>242.61</v>
      </c>
      <c r="E362" s="9" t="s">
        <v>72</v>
      </c>
      <c r="F362" s="9" t="s">
        <v>36</v>
      </c>
      <c r="G362" s="9" t="str">
        <f t="shared" si="25"/>
        <v>Low Averg</v>
      </c>
      <c r="H362" s="11">
        <f t="shared" si="26"/>
        <v>226.566129032258</v>
      </c>
      <c r="I362" s="9">
        <f t="shared" si="27"/>
        <v>31</v>
      </c>
      <c r="J362" s="12">
        <f>DATE(2025, MATCH(E362, {"January","February","March","April","May","June","July","August","September","October","November","December"},0),1)</f>
        <v>45901</v>
      </c>
      <c r="K362" s="13">
        <f t="shared" si="28"/>
        <v>7520.9100000000008</v>
      </c>
      <c r="L362" s="13">
        <v>345.40064929713702</v>
      </c>
      <c r="M362" s="14">
        <f t="shared" si="29"/>
        <v>4.6450031290879205E-2</v>
      </c>
    </row>
    <row r="363" spans="1:13" ht="15.5" x14ac:dyDescent="0.35">
      <c r="A363" s="8" t="s">
        <v>64</v>
      </c>
      <c r="B363" s="9" t="s">
        <v>60</v>
      </c>
      <c r="C363" s="9" t="s">
        <v>29</v>
      </c>
      <c r="D363" s="10">
        <v>283.63</v>
      </c>
      <c r="E363" s="9" t="s">
        <v>21</v>
      </c>
      <c r="F363" s="9" t="s">
        <v>30</v>
      </c>
      <c r="G363" s="9" t="str">
        <f t="shared" si="25"/>
        <v>Low Averg</v>
      </c>
      <c r="H363" s="11">
        <f t="shared" si="26"/>
        <v>249.29749999999999</v>
      </c>
      <c r="I363" s="9">
        <f t="shared" si="27"/>
        <v>32</v>
      </c>
      <c r="J363" s="12">
        <f>DATE(2025, MATCH(E363, {"January","February","March","April","May","June","July","August","September","October","November","December"},0),1)</f>
        <v>45748</v>
      </c>
      <c r="K363" s="13">
        <f t="shared" si="28"/>
        <v>9076.16</v>
      </c>
      <c r="L363" s="13">
        <v>345.60105423963802</v>
      </c>
      <c r="M363" s="14">
        <f t="shared" si="29"/>
        <v>9.9341421499814148E-2</v>
      </c>
    </row>
    <row r="364" spans="1:13" ht="15.5" x14ac:dyDescent="0.35">
      <c r="A364" s="8" t="s">
        <v>67</v>
      </c>
      <c r="B364" s="9" t="s">
        <v>23</v>
      </c>
      <c r="C364" s="9" t="s">
        <v>15</v>
      </c>
      <c r="D364" s="10">
        <v>204.46</v>
      </c>
      <c r="E364" s="9" t="s">
        <v>39</v>
      </c>
      <c r="F364" s="9" t="s">
        <v>40</v>
      </c>
      <c r="G364" s="9" t="str">
        <f t="shared" si="25"/>
        <v>Low Averg</v>
      </c>
      <c r="H364" s="11">
        <f t="shared" si="26"/>
        <v>226.566129032258</v>
      </c>
      <c r="I364" s="9">
        <f t="shared" si="27"/>
        <v>31</v>
      </c>
      <c r="J364" s="12">
        <f>DATE(2025, MATCH(E364, {"January","February","March","April","May","June","July","August","September","October","November","December"},0),1)</f>
        <v>45992</v>
      </c>
      <c r="K364" s="13">
        <f t="shared" si="28"/>
        <v>6338.26</v>
      </c>
      <c r="L364" s="13">
        <v>345.81892458796699</v>
      </c>
      <c r="M364" s="14">
        <f t="shared" si="29"/>
        <v>-6.3924000280195181E-2</v>
      </c>
    </row>
    <row r="365" spans="1:13" ht="15.5" x14ac:dyDescent="0.35">
      <c r="A365" s="8" t="s">
        <v>76</v>
      </c>
      <c r="B365" s="9" t="s">
        <v>60</v>
      </c>
      <c r="C365" s="9" t="s">
        <v>69</v>
      </c>
      <c r="D365" s="10">
        <v>300.31</v>
      </c>
      <c r="E365" s="9" t="s">
        <v>39</v>
      </c>
      <c r="F365" s="9" t="s">
        <v>30</v>
      </c>
      <c r="G365" s="9" t="str">
        <f t="shared" si="25"/>
        <v>Low Averg</v>
      </c>
      <c r="H365" s="11">
        <f t="shared" si="26"/>
        <v>304.90820512820511</v>
      </c>
      <c r="I365" s="9">
        <f t="shared" si="27"/>
        <v>39</v>
      </c>
      <c r="J365" s="12">
        <f>DATE(2025, MATCH(E365, {"January","February","March","April","May","June","July","August","September","October","November","December"},0),1)</f>
        <v>45992</v>
      </c>
      <c r="K365" s="13">
        <f t="shared" si="28"/>
        <v>11712.09</v>
      </c>
      <c r="L365" s="13">
        <v>345.99819741420998</v>
      </c>
      <c r="M365" s="14">
        <f t="shared" si="29"/>
        <v>-1.3289679433504073E-2</v>
      </c>
    </row>
    <row r="366" spans="1:13" ht="15.5" x14ac:dyDescent="0.35">
      <c r="A366" s="8" t="s">
        <v>33</v>
      </c>
      <c r="B366" s="9" t="s">
        <v>19</v>
      </c>
      <c r="C366" s="9" t="s">
        <v>24</v>
      </c>
      <c r="D366" s="10">
        <v>1130.31</v>
      </c>
      <c r="E366" s="9" t="s">
        <v>57</v>
      </c>
      <c r="F366" s="9" t="s">
        <v>17</v>
      </c>
      <c r="G366" s="9" t="str">
        <f t="shared" si="25"/>
        <v>Above Averg</v>
      </c>
      <c r="H366" s="11">
        <f t="shared" si="26"/>
        <v>1113.4854166666667</v>
      </c>
      <c r="I366" s="9">
        <f t="shared" si="27"/>
        <v>24</v>
      </c>
      <c r="J366" s="12">
        <f>DATE(2025, MATCH(E366, {"January","February","March","April","May","June","July","August","September","October","November","December"},0),1)</f>
        <v>45839</v>
      </c>
      <c r="K366" s="13">
        <f t="shared" si="28"/>
        <v>27127.439999999999</v>
      </c>
      <c r="L366" s="13">
        <v>346.22194426021599</v>
      </c>
      <c r="M366" s="14">
        <f t="shared" si="29"/>
        <v>4.8594791902295341E-2</v>
      </c>
    </row>
    <row r="367" spans="1:13" ht="15.5" x14ac:dyDescent="0.35">
      <c r="A367" s="8" t="s">
        <v>27</v>
      </c>
      <c r="B367" s="9" t="s">
        <v>28</v>
      </c>
      <c r="C367" s="9" t="s">
        <v>69</v>
      </c>
      <c r="D367" s="10">
        <v>111.93</v>
      </c>
      <c r="E367" s="9" t="s">
        <v>46</v>
      </c>
      <c r="F367" s="9" t="s">
        <v>36</v>
      </c>
      <c r="G367" s="9" t="str">
        <f t="shared" si="25"/>
        <v>Low Averg</v>
      </c>
      <c r="H367" s="11">
        <f t="shared" si="26"/>
        <v>113.26108695652174</v>
      </c>
      <c r="I367" s="9">
        <f t="shared" si="27"/>
        <v>46</v>
      </c>
      <c r="J367" s="12">
        <f>DATE(2025, MATCH(E367, {"January","February","March","April","May","June","July","August","September","October","November","December"},0),1)</f>
        <v>45870</v>
      </c>
      <c r="K367" s="13">
        <f t="shared" si="28"/>
        <v>5148.7800000000007</v>
      </c>
      <c r="L367" s="13">
        <v>345.32711286826702</v>
      </c>
      <c r="M367" s="14">
        <f t="shared" si="29"/>
        <v>-3.8545683409153685E-3</v>
      </c>
    </row>
    <row r="368" spans="1:13" ht="15.5" x14ac:dyDescent="0.35">
      <c r="A368" s="8" t="s">
        <v>37</v>
      </c>
      <c r="B368" s="9" t="s">
        <v>38</v>
      </c>
      <c r="C368" s="9" t="s">
        <v>45</v>
      </c>
      <c r="D368" s="10">
        <v>914.23</v>
      </c>
      <c r="E368" s="9" t="s">
        <v>62</v>
      </c>
      <c r="F368" s="9" t="s">
        <v>17</v>
      </c>
      <c r="G368" s="9" t="str">
        <f t="shared" si="25"/>
        <v>Above Averg</v>
      </c>
      <c r="H368" s="11">
        <f t="shared" si="26"/>
        <v>1024.1451428571424</v>
      </c>
      <c r="I368" s="9">
        <f t="shared" si="27"/>
        <v>35</v>
      </c>
      <c r="J368" s="12">
        <f>DATE(2025, MATCH(E368, {"January","February","March","April","May","June","July","August","September","October","November","December"},0),1)</f>
        <v>45689</v>
      </c>
      <c r="K368" s="13">
        <f t="shared" si="28"/>
        <v>31998.05</v>
      </c>
      <c r="L368" s="13">
        <v>345.43041397865301</v>
      </c>
      <c r="M368" s="14">
        <f t="shared" si="29"/>
        <v>-0.31819764099849929</v>
      </c>
    </row>
    <row r="369" spans="1:13" ht="15.5" x14ac:dyDescent="0.35">
      <c r="A369" s="8" t="s">
        <v>76</v>
      </c>
      <c r="B369" s="9" t="s">
        <v>60</v>
      </c>
      <c r="C369" s="9" t="s">
        <v>45</v>
      </c>
      <c r="D369" s="10">
        <v>353.03</v>
      </c>
      <c r="E369" s="9" t="s">
        <v>16</v>
      </c>
      <c r="F369" s="9" t="s">
        <v>36</v>
      </c>
      <c r="G369" s="9" t="str">
        <f t="shared" si="25"/>
        <v>Low Averg</v>
      </c>
      <c r="H369" s="11">
        <f t="shared" si="26"/>
        <v>304.90820512820511</v>
      </c>
      <c r="I369" s="9">
        <f t="shared" si="27"/>
        <v>39</v>
      </c>
      <c r="J369" s="12">
        <f>DATE(2025, MATCH(E369, {"January","February","March","April","May","June","July","August","September","October","November","December"},0),1)</f>
        <v>45809</v>
      </c>
      <c r="K369" s="13">
        <f t="shared" si="28"/>
        <v>13768.169999999998</v>
      </c>
      <c r="L369" s="13">
        <v>345.08259707996399</v>
      </c>
      <c r="M369" s="14">
        <f t="shared" si="29"/>
        <v>0.13945007739884338</v>
      </c>
    </row>
    <row r="370" spans="1:13" ht="15.5" x14ac:dyDescent="0.35">
      <c r="A370" s="8" t="s">
        <v>18</v>
      </c>
      <c r="B370" s="9" t="s">
        <v>19</v>
      </c>
      <c r="C370" s="9" t="s">
        <v>15</v>
      </c>
      <c r="D370" s="10">
        <v>858.41</v>
      </c>
      <c r="E370" s="9" t="s">
        <v>21</v>
      </c>
      <c r="F370" s="9" t="s">
        <v>30</v>
      </c>
      <c r="G370" s="9" t="str">
        <f t="shared" si="25"/>
        <v>Above Averg</v>
      </c>
      <c r="H370" s="11">
        <f t="shared" si="26"/>
        <v>920.12567567567555</v>
      </c>
      <c r="I370" s="9">
        <f t="shared" si="27"/>
        <v>37</v>
      </c>
      <c r="J370" s="12">
        <f>DATE(2025, MATCH(E370, {"January","February","March","April","May","June","July","August","September","October","November","December"},0),1)</f>
        <v>45748</v>
      </c>
      <c r="K370" s="13">
        <f t="shared" si="28"/>
        <v>31761.17</v>
      </c>
      <c r="L370" s="13">
        <v>345.31611124899598</v>
      </c>
      <c r="M370" s="14">
        <f t="shared" si="29"/>
        <v>-0.17872225959122556</v>
      </c>
    </row>
    <row r="371" spans="1:13" ht="15.5" x14ac:dyDescent="0.35">
      <c r="A371" s="8" t="s">
        <v>83</v>
      </c>
      <c r="B371" s="9" t="s">
        <v>23</v>
      </c>
      <c r="C371" s="9" t="s">
        <v>24</v>
      </c>
      <c r="D371" s="10">
        <v>133.22999999999999</v>
      </c>
      <c r="E371" s="9" t="s">
        <v>63</v>
      </c>
      <c r="F371" s="9" t="s">
        <v>17</v>
      </c>
      <c r="G371" s="9" t="str">
        <f t="shared" si="25"/>
        <v>Low Averg</v>
      </c>
      <c r="H371" s="11">
        <f t="shared" si="26"/>
        <v>132.90272727272728</v>
      </c>
      <c r="I371" s="9">
        <f t="shared" si="27"/>
        <v>22</v>
      </c>
      <c r="J371" s="12">
        <f>DATE(2025, MATCH(E371, {"January","February","March","April","May","June","July","August","September","October","November","December"},0),1)</f>
        <v>45717</v>
      </c>
      <c r="K371" s="13">
        <f t="shared" si="28"/>
        <v>2931.06</v>
      </c>
      <c r="L371" s="13">
        <v>345.07934559413599</v>
      </c>
      <c r="M371" s="14">
        <f t="shared" si="29"/>
        <v>9.4839848125142395E-4</v>
      </c>
    </row>
    <row r="372" spans="1:13" ht="15.5" x14ac:dyDescent="0.35">
      <c r="A372" s="8" t="s">
        <v>13</v>
      </c>
      <c r="B372" s="9" t="s">
        <v>14</v>
      </c>
      <c r="C372" s="9" t="s">
        <v>69</v>
      </c>
      <c r="D372" s="10">
        <v>214.29</v>
      </c>
      <c r="E372" s="9" t="s">
        <v>63</v>
      </c>
      <c r="F372" s="9" t="s">
        <v>26</v>
      </c>
      <c r="G372" s="9" t="str">
        <f t="shared" si="25"/>
        <v>Low Averg</v>
      </c>
      <c r="H372" s="11">
        <f t="shared" si="26"/>
        <v>206.78702702702708</v>
      </c>
      <c r="I372" s="9">
        <f t="shared" si="27"/>
        <v>37</v>
      </c>
      <c r="J372" s="12">
        <f>DATE(2025, MATCH(E372, {"January","February","March","April","May","June","July","August","September","October","November","December"},0),1)</f>
        <v>45717</v>
      </c>
      <c r="K372" s="13">
        <f t="shared" si="28"/>
        <v>7928.73</v>
      </c>
      <c r="L372" s="13">
        <v>345.20467574990499</v>
      </c>
      <c r="M372" s="14">
        <f t="shared" si="29"/>
        <v>2.173485326255746E-2</v>
      </c>
    </row>
    <row r="373" spans="1:13" ht="15.5" x14ac:dyDescent="0.35">
      <c r="A373" s="8" t="s">
        <v>18</v>
      </c>
      <c r="B373" s="9" t="s">
        <v>19</v>
      </c>
      <c r="C373" s="9" t="s">
        <v>49</v>
      </c>
      <c r="D373" s="10">
        <v>936.02</v>
      </c>
      <c r="E373" s="9" t="s">
        <v>39</v>
      </c>
      <c r="F373" s="9" t="s">
        <v>40</v>
      </c>
      <c r="G373" s="9" t="str">
        <f t="shared" si="25"/>
        <v>Above Averg</v>
      </c>
      <c r="H373" s="11">
        <f t="shared" si="26"/>
        <v>920.12567567567555</v>
      </c>
      <c r="I373" s="9">
        <f t="shared" si="27"/>
        <v>37</v>
      </c>
      <c r="J373" s="12">
        <f>DATE(2025, MATCH(E373, {"January","February","March","April","May","June","July","August","September","October","November","December"},0),1)</f>
        <v>45992</v>
      </c>
      <c r="K373" s="13">
        <f t="shared" si="28"/>
        <v>34632.74</v>
      </c>
      <c r="L373" s="13">
        <v>345.39250721882598</v>
      </c>
      <c r="M373" s="14">
        <f t="shared" si="29"/>
        <v>4.6018150342371097E-2</v>
      </c>
    </row>
    <row r="374" spans="1:13" ht="15.5" x14ac:dyDescent="0.35">
      <c r="A374" s="8" t="s">
        <v>59</v>
      </c>
      <c r="B374" s="9" t="s">
        <v>60</v>
      </c>
      <c r="C374" s="9" t="s">
        <v>61</v>
      </c>
      <c r="D374" s="10">
        <v>198</v>
      </c>
      <c r="E374" s="9" t="s">
        <v>46</v>
      </c>
      <c r="F374" s="9" t="s">
        <v>26</v>
      </c>
      <c r="G374" s="9" t="str">
        <f t="shared" si="25"/>
        <v>Low Averg</v>
      </c>
      <c r="H374" s="11">
        <f t="shared" si="26"/>
        <v>203.25225806451613</v>
      </c>
      <c r="I374" s="9">
        <f t="shared" si="27"/>
        <v>31</v>
      </c>
      <c r="J374" s="12">
        <f>DATE(2025, MATCH(E374, {"January","February","March","April","May","June","July","August","September","October","November","December"},0),1)</f>
        <v>45870</v>
      </c>
      <c r="K374" s="13">
        <f t="shared" si="28"/>
        <v>6138</v>
      </c>
      <c r="L374" s="13">
        <v>344.99242549988799</v>
      </c>
      <c r="M374" s="14">
        <f t="shared" si="29"/>
        <v>-1.522427066885801E-2</v>
      </c>
    </row>
    <row r="375" spans="1:13" ht="15.5" x14ac:dyDescent="0.35">
      <c r="A375" s="8" t="s">
        <v>56</v>
      </c>
      <c r="B375" s="9" t="s">
        <v>19</v>
      </c>
      <c r="C375" s="9" t="s">
        <v>43</v>
      </c>
      <c r="D375" s="10">
        <v>574.28</v>
      </c>
      <c r="E375" s="9" t="s">
        <v>55</v>
      </c>
      <c r="F375" s="9" t="s">
        <v>17</v>
      </c>
      <c r="G375" s="9" t="str">
        <f t="shared" si="25"/>
        <v>Above Averg</v>
      </c>
      <c r="H375" s="11">
        <f t="shared" si="26"/>
        <v>533.4588235294118</v>
      </c>
      <c r="I375" s="9">
        <f t="shared" si="27"/>
        <v>34</v>
      </c>
      <c r="J375" s="12">
        <f>DATE(2025, MATCH(E375, {"January","February","March","April","May","June","July","August","September","October","November","December"},0),1)</f>
        <v>45962</v>
      </c>
      <c r="K375" s="13">
        <f t="shared" si="28"/>
        <v>19525.52</v>
      </c>
      <c r="L375" s="13">
        <v>345.17046463103298</v>
      </c>
      <c r="M375" s="14">
        <f t="shared" si="29"/>
        <v>0.11826381644276436</v>
      </c>
    </row>
    <row r="376" spans="1:13" ht="15.5" x14ac:dyDescent="0.35">
      <c r="A376" s="8" t="s">
        <v>79</v>
      </c>
      <c r="B376" s="9" t="s">
        <v>32</v>
      </c>
      <c r="C376" s="9" t="s">
        <v>43</v>
      </c>
      <c r="D376" s="10">
        <v>91.07</v>
      </c>
      <c r="E376" s="9" t="s">
        <v>63</v>
      </c>
      <c r="F376" s="9" t="s">
        <v>30</v>
      </c>
      <c r="G376" s="9" t="str">
        <f t="shared" si="25"/>
        <v>Low Averg</v>
      </c>
      <c r="H376" s="11">
        <f t="shared" si="26"/>
        <v>90.269599999999997</v>
      </c>
      <c r="I376" s="9">
        <f t="shared" si="27"/>
        <v>25</v>
      </c>
      <c r="J376" s="12">
        <f>DATE(2025, MATCH(E376, {"January","February","March","April","May","June","July","August","September","October","November","December"},0),1)</f>
        <v>45717</v>
      </c>
      <c r="K376" s="13">
        <f t="shared" si="28"/>
        <v>2276.75</v>
      </c>
      <c r="L376" s="13">
        <v>345.32260413257097</v>
      </c>
      <c r="M376" s="14">
        <f t="shared" si="29"/>
        <v>2.3178326307672545E-3</v>
      </c>
    </row>
    <row r="377" spans="1:13" ht="15.5" x14ac:dyDescent="0.35">
      <c r="A377" s="8" t="s">
        <v>82</v>
      </c>
      <c r="B377" s="9" t="s">
        <v>14</v>
      </c>
      <c r="C377" s="9" t="s">
        <v>29</v>
      </c>
      <c r="D377" s="10">
        <v>829.85</v>
      </c>
      <c r="E377" s="9" t="s">
        <v>42</v>
      </c>
      <c r="F377" s="9" t="s">
        <v>17</v>
      </c>
      <c r="G377" s="9" t="str">
        <f t="shared" si="25"/>
        <v>Above Averg</v>
      </c>
      <c r="H377" s="11">
        <f t="shared" si="26"/>
        <v>905.6025925925926</v>
      </c>
      <c r="I377" s="9">
        <f t="shared" si="27"/>
        <v>27</v>
      </c>
      <c r="J377" s="12">
        <f>DATE(2025, MATCH(E377, {"January","February","March","April","May","June","July","August","September","October","November","December"},0),1)</f>
        <v>45658</v>
      </c>
      <c r="K377" s="13">
        <f t="shared" si="28"/>
        <v>22405.95</v>
      </c>
      <c r="L377" s="13">
        <v>345.40641371059502</v>
      </c>
      <c r="M377" s="14">
        <f t="shared" si="29"/>
        <v>-0.2193143774569955</v>
      </c>
    </row>
    <row r="378" spans="1:13" ht="15.5" x14ac:dyDescent="0.35">
      <c r="A378" s="8" t="s">
        <v>41</v>
      </c>
      <c r="B378" s="9" t="s">
        <v>32</v>
      </c>
      <c r="C378" s="9" t="s">
        <v>43</v>
      </c>
      <c r="D378" s="10">
        <v>78.66</v>
      </c>
      <c r="E378" s="9" t="s">
        <v>72</v>
      </c>
      <c r="F378" s="9" t="s">
        <v>26</v>
      </c>
      <c r="G378" s="9" t="str">
        <f t="shared" si="25"/>
        <v>Low Averg</v>
      </c>
      <c r="H378" s="11">
        <f t="shared" si="26"/>
        <v>70.278611111111118</v>
      </c>
      <c r="I378" s="9">
        <f t="shared" si="27"/>
        <v>36</v>
      </c>
      <c r="J378" s="12">
        <f>DATE(2025, MATCH(E378, {"January","February","March","April","May","June","July","August","September","October","November","December"},0),1)</f>
        <v>45901</v>
      </c>
      <c r="K378" s="13">
        <f t="shared" si="28"/>
        <v>2831.7599999999998</v>
      </c>
      <c r="L378" s="13">
        <v>345.22046327920498</v>
      </c>
      <c r="M378" s="14">
        <f t="shared" si="29"/>
        <v>2.4278366378618285E-2</v>
      </c>
    </row>
    <row r="379" spans="1:13" ht="15.5" x14ac:dyDescent="0.35">
      <c r="A379" s="8" t="s">
        <v>75</v>
      </c>
      <c r="B379" s="9" t="s">
        <v>28</v>
      </c>
      <c r="C379" s="9" t="s">
        <v>69</v>
      </c>
      <c r="D379" s="10">
        <v>135.63999999999999</v>
      </c>
      <c r="E379" s="9" t="s">
        <v>16</v>
      </c>
      <c r="F379" s="9" t="s">
        <v>17</v>
      </c>
      <c r="G379" s="9" t="str">
        <f t="shared" si="25"/>
        <v>Low Averg</v>
      </c>
      <c r="H379" s="11">
        <f t="shared" si="26"/>
        <v>120.53625</v>
      </c>
      <c r="I379" s="9">
        <f t="shared" si="27"/>
        <v>24</v>
      </c>
      <c r="J379" s="12">
        <f>DATE(2025, MATCH(E379, {"January","February","March","April","May","June","July","August","September","October","November","December"},0),1)</f>
        <v>45809</v>
      </c>
      <c r="K379" s="13">
        <f t="shared" si="28"/>
        <v>3255.3599999999997</v>
      </c>
      <c r="L379" s="13">
        <v>345.29066393870301</v>
      </c>
      <c r="M379" s="14">
        <f t="shared" si="29"/>
        <v>4.3742132578137853E-2</v>
      </c>
    </row>
    <row r="380" spans="1:13" ht="15.5" x14ac:dyDescent="0.35">
      <c r="A380" s="8" t="s">
        <v>70</v>
      </c>
      <c r="B380" s="9" t="s">
        <v>71</v>
      </c>
      <c r="C380" s="9" t="s">
        <v>29</v>
      </c>
      <c r="D380" s="10">
        <v>817.23</v>
      </c>
      <c r="E380" s="9" t="s">
        <v>42</v>
      </c>
      <c r="F380" s="9" t="s">
        <v>26</v>
      </c>
      <c r="G380" s="9" t="str">
        <f t="shared" si="25"/>
        <v>Above Averg</v>
      </c>
      <c r="H380" s="11">
        <f t="shared" si="26"/>
        <v>911.5772916666665</v>
      </c>
      <c r="I380" s="9">
        <f t="shared" si="27"/>
        <v>48</v>
      </c>
      <c r="J380" s="12">
        <f>DATE(2025, MATCH(E380, {"January","February","March","April","May","June","July","August","September","October","November","December"},0),1)</f>
        <v>45658</v>
      </c>
      <c r="K380" s="13">
        <f t="shared" si="28"/>
        <v>39227.040000000001</v>
      </c>
      <c r="L380" s="13">
        <v>345.41997047311298</v>
      </c>
      <c r="M380" s="14">
        <f t="shared" si="29"/>
        <v>-0.27313791827797734</v>
      </c>
    </row>
    <row r="381" spans="1:13" ht="15.5" x14ac:dyDescent="0.35">
      <c r="A381" s="8" t="s">
        <v>59</v>
      </c>
      <c r="B381" s="9" t="s">
        <v>60</v>
      </c>
      <c r="C381" s="9" t="s">
        <v>69</v>
      </c>
      <c r="D381" s="10">
        <v>180.23</v>
      </c>
      <c r="E381" s="9" t="s">
        <v>62</v>
      </c>
      <c r="F381" s="9" t="s">
        <v>26</v>
      </c>
      <c r="G381" s="9" t="str">
        <f t="shared" si="25"/>
        <v>Low Averg</v>
      </c>
      <c r="H381" s="11">
        <f t="shared" si="26"/>
        <v>203.25225806451613</v>
      </c>
      <c r="I381" s="9">
        <f t="shared" si="27"/>
        <v>31</v>
      </c>
      <c r="J381" s="12">
        <f>DATE(2025, MATCH(E381, {"January","February","March","April","May","June","July","August","September","October","November","December"},0),1)</f>
        <v>45689</v>
      </c>
      <c r="K381" s="13">
        <f t="shared" si="28"/>
        <v>5587.13</v>
      </c>
      <c r="L381" s="13">
        <v>345.25635884192701</v>
      </c>
      <c r="M381" s="14">
        <f t="shared" si="29"/>
        <v>-6.6681633733664855E-2</v>
      </c>
    </row>
    <row r="382" spans="1:13" ht="15.5" x14ac:dyDescent="0.35">
      <c r="A382" s="8" t="s">
        <v>80</v>
      </c>
      <c r="B382" s="9" t="s">
        <v>19</v>
      </c>
      <c r="C382" s="9" t="s">
        <v>15</v>
      </c>
      <c r="D382" s="10">
        <v>724.37</v>
      </c>
      <c r="E382" s="9" t="s">
        <v>57</v>
      </c>
      <c r="F382" s="9" t="s">
        <v>40</v>
      </c>
      <c r="G382" s="9" t="str">
        <f t="shared" si="25"/>
        <v>Above Averg</v>
      </c>
      <c r="H382" s="11">
        <f t="shared" si="26"/>
        <v>720.27689655172423</v>
      </c>
      <c r="I382" s="9">
        <f t="shared" si="27"/>
        <v>29</v>
      </c>
      <c r="J382" s="12">
        <f>DATE(2025, MATCH(E382, {"January","February","March","April","May","June","July","August","September","October","November","December"},0),1)</f>
        <v>45839</v>
      </c>
      <c r="K382" s="13">
        <f t="shared" si="28"/>
        <v>21006.73</v>
      </c>
      <c r="L382" s="13">
        <v>345.42375448733299</v>
      </c>
      <c r="M382" s="14">
        <f t="shared" si="29"/>
        <v>1.1849513518115234E-2</v>
      </c>
    </row>
    <row r="383" spans="1:13" ht="15.5" x14ac:dyDescent="0.35">
      <c r="A383" s="8" t="s">
        <v>52</v>
      </c>
      <c r="B383" s="9" t="s">
        <v>32</v>
      </c>
      <c r="C383" s="9" t="s">
        <v>15</v>
      </c>
      <c r="D383" s="10">
        <v>62.78</v>
      </c>
      <c r="E383" s="9" t="s">
        <v>57</v>
      </c>
      <c r="F383" s="9" t="s">
        <v>36</v>
      </c>
      <c r="G383" s="9" t="str">
        <f t="shared" si="25"/>
        <v>Low Averg</v>
      </c>
      <c r="H383" s="11">
        <f t="shared" si="26"/>
        <v>62.182121212121217</v>
      </c>
      <c r="I383" s="9">
        <f t="shared" si="27"/>
        <v>33</v>
      </c>
      <c r="J383" s="12">
        <f>DATE(2025, MATCH(E383, {"January","February","March","April","May","June","July","August","September","October","November","December"},0),1)</f>
        <v>45839</v>
      </c>
      <c r="K383" s="13">
        <f t="shared" si="28"/>
        <v>2071.7400000000002</v>
      </c>
      <c r="L383" s="13">
        <v>345.40869343657698</v>
      </c>
      <c r="M383" s="14">
        <f t="shared" si="29"/>
        <v>1.7309315001029788E-3</v>
      </c>
    </row>
    <row r="384" spans="1:13" ht="15.5" x14ac:dyDescent="0.35">
      <c r="A384" s="8" t="s">
        <v>78</v>
      </c>
      <c r="B384" s="9" t="s">
        <v>28</v>
      </c>
      <c r="C384" s="9" t="s">
        <v>20</v>
      </c>
      <c r="D384" s="10">
        <v>349.36</v>
      </c>
      <c r="E384" s="9" t="s">
        <v>55</v>
      </c>
      <c r="F384" s="9" t="s">
        <v>17</v>
      </c>
      <c r="G384" s="9" t="str">
        <f t="shared" si="25"/>
        <v>Low Averg</v>
      </c>
      <c r="H384" s="11">
        <f t="shared" si="26"/>
        <v>309.01727272727271</v>
      </c>
      <c r="I384" s="9">
        <f t="shared" si="27"/>
        <v>22</v>
      </c>
      <c r="J384" s="12">
        <f>DATE(2025, MATCH(E384, {"January","February","March","April","May","June","July","August","September","October","November","December"},0),1)</f>
        <v>45962</v>
      </c>
      <c r="K384" s="13">
        <f t="shared" si="28"/>
        <v>7685.92</v>
      </c>
      <c r="L384" s="13">
        <v>345.46082868118799</v>
      </c>
      <c r="M384" s="14">
        <f t="shared" si="29"/>
        <v>0.11677945492905072</v>
      </c>
    </row>
    <row r="385" spans="1:13" ht="15.5" x14ac:dyDescent="0.35">
      <c r="A385" s="8" t="s">
        <v>22</v>
      </c>
      <c r="B385" s="9" t="s">
        <v>23</v>
      </c>
      <c r="C385" s="9" t="s">
        <v>29</v>
      </c>
      <c r="D385" s="10">
        <v>261.07</v>
      </c>
      <c r="E385" s="9" t="s">
        <v>16</v>
      </c>
      <c r="F385" s="9" t="s">
        <v>26</v>
      </c>
      <c r="G385" s="9" t="str">
        <f t="shared" si="25"/>
        <v>Low Averg</v>
      </c>
      <c r="H385" s="11">
        <f t="shared" si="26"/>
        <v>257.40029411764709</v>
      </c>
      <c r="I385" s="9">
        <f t="shared" si="27"/>
        <v>34</v>
      </c>
      <c r="J385" s="12">
        <f>DATE(2025, MATCH(E385, {"January","February","March","April","May","June","July","August","September","October","November","December"},0),1)</f>
        <v>45809</v>
      </c>
      <c r="K385" s="13">
        <f t="shared" si="28"/>
        <v>8876.3799999999992</v>
      </c>
      <c r="L385" s="13">
        <v>345.69925861169401</v>
      </c>
      <c r="M385" s="14">
        <f t="shared" si="29"/>
        <v>1.0615313139779944E-2</v>
      </c>
    </row>
    <row r="386" spans="1:13" ht="15.5" x14ac:dyDescent="0.35">
      <c r="A386" s="8" t="s">
        <v>59</v>
      </c>
      <c r="B386" s="9" t="s">
        <v>60</v>
      </c>
      <c r="C386" s="9" t="s">
        <v>15</v>
      </c>
      <c r="D386" s="10">
        <v>186.42</v>
      </c>
      <c r="E386" s="9" t="s">
        <v>55</v>
      </c>
      <c r="F386" s="9" t="s">
        <v>26</v>
      </c>
      <c r="G386" s="9" t="str">
        <f t="shared" si="25"/>
        <v>Low Averg</v>
      </c>
      <c r="H386" s="11">
        <f t="shared" si="26"/>
        <v>203.25225806451613</v>
      </c>
      <c r="I386" s="9">
        <f t="shared" si="27"/>
        <v>31</v>
      </c>
      <c r="J386" s="12">
        <f>DATE(2025, MATCH(E386, {"January","February","March","April","May","June","July","August","September","October","November","December"},0),1)</f>
        <v>45962</v>
      </c>
      <c r="K386" s="13">
        <f t="shared" si="28"/>
        <v>5779.0199999999995</v>
      </c>
      <c r="L386" s="13">
        <v>345.915780960424</v>
      </c>
      <c r="M386" s="14">
        <f t="shared" si="29"/>
        <v>-4.8659988907652371E-2</v>
      </c>
    </row>
    <row r="387" spans="1:13" ht="15.5" x14ac:dyDescent="0.35">
      <c r="A387" s="8" t="s">
        <v>83</v>
      </c>
      <c r="B387" s="9" t="s">
        <v>23</v>
      </c>
      <c r="C387" s="9" t="s">
        <v>61</v>
      </c>
      <c r="D387" s="10">
        <v>132.21</v>
      </c>
      <c r="E387" s="9" t="s">
        <v>62</v>
      </c>
      <c r="F387" s="9" t="s">
        <v>26</v>
      </c>
      <c r="G387" s="9" t="str">
        <f t="shared" si="25"/>
        <v>Low Averg</v>
      </c>
      <c r="H387" s="11">
        <f t="shared" si="26"/>
        <v>132.90272727272728</v>
      </c>
      <c r="I387" s="9">
        <f t="shared" si="27"/>
        <v>22</v>
      </c>
      <c r="J387" s="12">
        <f>DATE(2025, MATCH(E387, {"January","February","March","April","May","June","July","August","September","October","November","December"},0),1)</f>
        <v>45689</v>
      </c>
      <c r="K387" s="13">
        <f t="shared" si="28"/>
        <v>2908.6200000000003</v>
      </c>
      <c r="L387" s="13">
        <v>346.08926373954603</v>
      </c>
      <c r="M387" s="14">
        <f t="shared" si="29"/>
        <v>-2.001585559870441E-3</v>
      </c>
    </row>
    <row r="388" spans="1:13" ht="15.5" x14ac:dyDescent="0.35">
      <c r="A388" s="8" t="s">
        <v>65</v>
      </c>
      <c r="B388" s="9" t="s">
        <v>23</v>
      </c>
      <c r="C388" s="9" t="s">
        <v>49</v>
      </c>
      <c r="D388" s="10">
        <v>157.44</v>
      </c>
      <c r="E388" s="9" t="s">
        <v>55</v>
      </c>
      <c r="F388" s="9" t="s">
        <v>36</v>
      </c>
      <c r="G388" s="9" t="str">
        <f t="shared" si="25"/>
        <v>Low Averg</v>
      </c>
      <c r="H388" s="11">
        <f t="shared" si="26"/>
        <v>151.26457142857143</v>
      </c>
      <c r="I388" s="9">
        <f t="shared" si="27"/>
        <v>35</v>
      </c>
      <c r="J388" s="12">
        <f>DATE(2025, MATCH(E388, {"January","February","March","April","May","June","July","August","September","October","November","December"},0),1)</f>
        <v>45962</v>
      </c>
      <c r="K388" s="13">
        <f t="shared" si="28"/>
        <v>5510.4</v>
      </c>
      <c r="L388" s="13">
        <v>346.21727340780302</v>
      </c>
      <c r="M388" s="14">
        <f t="shared" si="29"/>
        <v>1.7836858660008694E-2</v>
      </c>
    </row>
    <row r="389" spans="1:13" ht="15.5" x14ac:dyDescent="0.35">
      <c r="A389" s="8" t="s">
        <v>73</v>
      </c>
      <c r="B389" s="9" t="s">
        <v>54</v>
      </c>
      <c r="C389" s="9" t="s">
        <v>15</v>
      </c>
      <c r="D389" s="10">
        <v>36.979999999999997</v>
      </c>
      <c r="E389" s="9" t="s">
        <v>62</v>
      </c>
      <c r="F389" s="9" t="s">
        <v>30</v>
      </c>
      <c r="G389" s="9" t="str">
        <f t="shared" si="25"/>
        <v>Low Averg</v>
      </c>
      <c r="H389" s="11">
        <f t="shared" si="26"/>
        <v>40.881379310344826</v>
      </c>
      <c r="I389" s="9">
        <f t="shared" si="27"/>
        <v>29</v>
      </c>
      <c r="J389" s="12">
        <f>DATE(2025, MATCH(E389, {"January","February","March","April","May","June","July","August","September","October","November","December"},0),1)</f>
        <v>45689</v>
      </c>
      <c r="K389" s="13">
        <f t="shared" si="28"/>
        <v>1072.4199999999998</v>
      </c>
      <c r="L389" s="13">
        <v>346.368068056168</v>
      </c>
      <c r="M389" s="14">
        <f t="shared" si="29"/>
        <v>-1.1263680662711006E-2</v>
      </c>
    </row>
    <row r="390" spans="1:13" ht="15.5" x14ac:dyDescent="0.35">
      <c r="A390" s="8" t="s">
        <v>70</v>
      </c>
      <c r="B390" s="9" t="s">
        <v>71</v>
      </c>
      <c r="C390" s="9" t="s">
        <v>34</v>
      </c>
      <c r="D390" s="10">
        <v>897.31</v>
      </c>
      <c r="E390" s="9" t="s">
        <v>35</v>
      </c>
      <c r="F390" s="9" t="s">
        <v>40</v>
      </c>
      <c r="G390" s="9" t="str">
        <f t="shared" si="25"/>
        <v>Above Averg</v>
      </c>
      <c r="H390" s="11">
        <f t="shared" si="26"/>
        <v>911.5772916666665</v>
      </c>
      <c r="I390" s="9">
        <f t="shared" si="27"/>
        <v>48</v>
      </c>
      <c r="J390" s="12">
        <f>DATE(2025, MATCH(E390, {"January","February","March","April","May","June","July","August","September","October","November","December"},0),1)</f>
        <v>45778</v>
      </c>
      <c r="K390" s="13">
        <f t="shared" si="28"/>
        <v>43070.879999999997</v>
      </c>
      <c r="L390" s="13">
        <v>346.38677138824397</v>
      </c>
      <c r="M390" s="14">
        <f t="shared" si="29"/>
        <v>-4.1188904557429552E-2</v>
      </c>
    </row>
    <row r="391" spans="1:13" ht="15.5" x14ac:dyDescent="0.35">
      <c r="A391" s="8" t="s">
        <v>13</v>
      </c>
      <c r="B391" s="9" t="s">
        <v>14</v>
      </c>
      <c r="C391" s="9" t="s">
        <v>69</v>
      </c>
      <c r="D391" s="10">
        <v>188.97</v>
      </c>
      <c r="E391" s="9" t="s">
        <v>57</v>
      </c>
      <c r="F391" s="9" t="s">
        <v>30</v>
      </c>
      <c r="G391" s="9" t="str">
        <f t="shared" si="25"/>
        <v>Low Averg</v>
      </c>
      <c r="H391" s="11">
        <f t="shared" si="26"/>
        <v>206.78702702702708</v>
      </c>
      <c r="I391" s="9">
        <f t="shared" si="27"/>
        <v>37</v>
      </c>
      <c r="J391" s="12">
        <f>DATE(2025, MATCH(E391, {"January","February","March","April","May","June","July","August","September","October","November","December"},0),1)</f>
        <v>45839</v>
      </c>
      <c r="K391" s="13">
        <f t="shared" si="28"/>
        <v>6991.89</v>
      </c>
      <c r="L391" s="13">
        <v>346.06694947817402</v>
      </c>
      <c r="M391" s="14">
        <f t="shared" si="29"/>
        <v>-5.1484335773447722E-2</v>
      </c>
    </row>
    <row r="392" spans="1:13" ht="15.5" x14ac:dyDescent="0.35">
      <c r="A392" s="8" t="s">
        <v>52</v>
      </c>
      <c r="B392" s="9" t="s">
        <v>32</v>
      </c>
      <c r="C392" s="9" t="s">
        <v>29</v>
      </c>
      <c r="D392" s="10">
        <v>70.17</v>
      </c>
      <c r="E392" s="9" t="s">
        <v>63</v>
      </c>
      <c r="F392" s="9" t="s">
        <v>26</v>
      </c>
      <c r="G392" s="9" t="str">
        <f t="shared" ref="G392:G455" si="30">IF(D392&gt;AVERAGE(D:D),"Above Averg","Low Averg")</f>
        <v>Low Averg</v>
      </c>
      <c r="H392" s="11">
        <f t="shared" ref="H392:H455" si="31">AVERAGEIF(A:A,A392,D:D)</f>
        <v>62.182121212121217</v>
      </c>
      <c r="I392" s="9">
        <f t="shared" ref="I392:I455" si="32">COUNTIF(A:A,A392)</f>
        <v>33</v>
      </c>
      <c r="J392" s="12">
        <f>DATE(2025, MATCH(E392, {"January","February","March","April","May","June","July","August","September","October","November","December"},0),1)</f>
        <v>45717</v>
      </c>
      <c r="K392" s="13">
        <f t="shared" ref="K392:K455" si="33">1*(D392*I392)</f>
        <v>2315.61</v>
      </c>
      <c r="L392" s="13">
        <v>346.24320617968402</v>
      </c>
      <c r="M392" s="14">
        <f t="shared" ref="M392:M455" si="34">(D392-H392)/L392</f>
        <v>2.3070138692435307E-2</v>
      </c>
    </row>
    <row r="393" spans="1:13" ht="15.5" x14ac:dyDescent="0.35">
      <c r="A393" s="8" t="s">
        <v>65</v>
      </c>
      <c r="B393" s="9" t="s">
        <v>23</v>
      </c>
      <c r="C393" s="9" t="s">
        <v>15</v>
      </c>
      <c r="D393" s="10">
        <v>127.23</v>
      </c>
      <c r="E393" s="9" t="s">
        <v>46</v>
      </c>
      <c r="F393" s="9" t="s">
        <v>30</v>
      </c>
      <c r="G393" s="9" t="str">
        <f t="shared" si="30"/>
        <v>Low Averg</v>
      </c>
      <c r="H393" s="11">
        <f t="shared" si="31"/>
        <v>151.26457142857143</v>
      </c>
      <c r="I393" s="9">
        <f t="shared" si="32"/>
        <v>35</v>
      </c>
      <c r="J393" s="12">
        <f>DATE(2025, MATCH(E393, {"January","February","March","April","May","June","July","August","September","October","November","December"},0),1)</f>
        <v>45870</v>
      </c>
      <c r="K393" s="13">
        <f t="shared" si="33"/>
        <v>4453.05</v>
      </c>
      <c r="L393" s="13">
        <v>346.30430402492101</v>
      </c>
      <c r="M393" s="14">
        <f t="shared" si="34"/>
        <v>-6.9403039896500485E-2</v>
      </c>
    </row>
    <row r="394" spans="1:13" ht="15.5" x14ac:dyDescent="0.35">
      <c r="A394" s="8" t="s">
        <v>51</v>
      </c>
      <c r="B394" s="9" t="s">
        <v>28</v>
      </c>
      <c r="C394" s="9" t="s">
        <v>61</v>
      </c>
      <c r="D394" s="10">
        <v>129.72</v>
      </c>
      <c r="E394" s="9" t="s">
        <v>21</v>
      </c>
      <c r="F394" s="9" t="s">
        <v>40</v>
      </c>
      <c r="G394" s="9" t="str">
        <f t="shared" si="30"/>
        <v>Low Averg</v>
      </c>
      <c r="H394" s="11">
        <f t="shared" si="31"/>
        <v>122.0377142857143</v>
      </c>
      <c r="I394" s="9">
        <f t="shared" si="32"/>
        <v>35</v>
      </c>
      <c r="J394" s="12">
        <f>DATE(2025, MATCH(E394, {"January","February","March","April","May","June","July","August","September","October","November","December"},0),1)</f>
        <v>45748</v>
      </c>
      <c r="K394" s="13">
        <f t="shared" si="33"/>
        <v>4540.2</v>
      </c>
      <c r="L394" s="13">
        <v>346.42778163147102</v>
      </c>
      <c r="M394" s="14">
        <f t="shared" si="34"/>
        <v>2.217572065989238E-2</v>
      </c>
    </row>
    <row r="395" spans="1:13" ht="15.5" x14ac:dyDescent="0.35">
      <c r="A395" s="8" t="s">
        <v>70</v>
      </c>
      <c r="B395" s="9" t="s">
        <v>71</v>
      </c>
      <c r="C395" s="9" t="s">
        <v>45</v>
      </c>
      <c r="D395" s="10">
        <v>940.64</v>
      </c>
      <c r="E395" s="9" t="s">
        <v>57</v>
      </c>
      <c r="F395" s="9" t="s">
        <v>36</v>
      </c>
      <c r="G395" s="9" t="str">
        <f t="shared" si="30"/>
        <v>Above Averg</v>
      </c>
      <c r="H395" s="11">
        <f t="shared" si="31"/>
        <v>911.5772916666665</v>
      </c>
      <c r="I395" s="9">
        <f t="shared" si="32"/>
        <v>48</v>
      </c>
      <c r="J395" s="12">
        <f>DATE(2025, MATCH(E395, {"January","February","March","April","May","June","July","August","September","October","November","December"},0),1)</f>
        <v>45839</v>
      </c>
      <c r="K395" s="13">
        <f t="shared" si="33"/>
        <v>45150.720000000001</v>
      </c>
      <c r="L395" s="13">
        <v>346.55366937736301</v>
      </c>
      <c r="M395" s="14">
        <f t="shared" si="34"/>
        <v>8.3862070730773439E-2</v>
      </c>
    </row>
    <row r="396" spans="1:13" ht="15.5" x14ac:dyDescent="0.35">
      <c r="A396" s="8" t="s">
        <v>48</v>
      </c>
      <c r="B396" s="9" t="s">
        <v>19</v>
      </c>
      <c r="C396" s="9" t="s">
        <v>15</v>
      </c>
      <c r="D396" s="10">
        <v>1226.06</v>
      </c>
      <c r="E396" s="9" t="s">
        <v>46</v>
      </c>
      <c r="F396" s="9" t="s">
        <v>40</v>
      </c>
      <c r="G396" s="9" t="str">
        <f t="shared" si="30"/>
        <v>Above Averg</v>
      </c>
      <c r="H396" s="11">
        <f t="shared" si="31"/>
        <v>1235.856</v>
      </c>
      <c r="I396" s="9">
        <f t="shared" si="32"/>
        <v>25</v>
      </c>
      <c r="J396" s="12">
        <f>DATE(2025, MATCH(E396, {"January","February","March","April","May","June","July","August","September","October","November","December"},0),1)</f>
        <v>45870</v>
      </c>
      <c r="K396" s="13">
        <f t="shared" si="33"/>
        <v>30651.5</v>
      </c>
      <c r="L396" s="13">
        <v>346.13660621161699</v>
      </c>
      <c r="M396" s="14">
        <f t="shared" si="34"/>
        <v>-2.8300965064674739E-2</v>
      </c>
    </row>
    <row r="397" spans="1:13" ht="15.5" x14ac:dyDescent="0.35">
      <c r="A397" s="8" t="s">
        <v>52</v>
      </c>
      <c r="B397" s="9" t="s">
        <v>32</v>
      </c>
      <c r="C397" s="9" t="s">
        <v>20</v>
      </c>
      <c r="D397" s="10">
        <v>66.13</v>
      </c>
      <c r="E397" s="9" t="s">
        <v>46</v>
      </c>
      <c r="F397" s="9" t="s">
        <v>17</v>
      </c>
      <c r="G397" s="9" t="str">
        <f t="shared" si="30"/>
        <v>Low Averg</v>
      </c>
      <c r="H397" s="11">
        <f t="shared" si="31"/>
        <v>62.182121212121217</v>
      </c>
      <c r="I397" s="9">
        <f t="shared" si="32"/>
        <v>33</v>
      </c>
      <c r="J397" s="12">
        <f>DATE(2025, MATCH(E397, {"January","February","March","April","May","June","July","August","September","October","November","December"},0),1)</f>
        <v>45870</v>
      </c>
      <c r="K397" s="13">
        <f t="shared" si="33"/>
        <v>2182.29</v>
      </c>
      <c r="L397" s="13">
        <v>344.88400570013198</v>
      </c>
      <c r="M397" s="14">
        <f t="shared" si="34"/>
        <v>1.1446975570422249E-2</v>
      </c>
    </row>
    <row r="398" spans="1:13" ht="15.5" x14ac:dyDescent="0.35">
      <c r="A398" s="8" t="s">
        <v>47</v>
      </c>
      <c r="B398" s="9" t="s">
        <v>19</v>
      </c>
      <c r="C398" s="9" t="s">
        <v>24</v>
      </c>
      <c r="D398" s="10">
        <v>727.74</v>
      </c>
      <c r="E398" s="9" t="s">
        <v>35</v>
      </c>
      <c r="F398" s="9" t="s">
        <v>30</v>
      </c>
      <c r="G398" s="9" t="str">
        <f t="shared" si="30"/>
        <v>Above Averg</v>
      </c>
      <c r="H398" s="11">
        <f t="shared" si="31"/>
        <v>673.04079999999988</v>
      </c>
      <c r="I398" s="9">
        <f t="shared" si="32"/>
        <v>25</v>
      </c>
      <c r="J398" s="12">
        <f>DATE(2025, MATCH(E398, {"January","February","March","April","May","June","July","August","September","October","November","December"},0),1)</f>
        <v>45778</v>
      </c>
      <c r="K398" s="13">
        <f t="shared" si="33"/>
        <v>18193.5</v>
      </c>
      <c r="L398" s="13">
        <v>344.939998777673</v>
      </c>
      <c r="M398" s="14">
        <f t="shared" si="34"/>
        <v>0.15857598479107046</v>
      </c>
    </row>
    <row r="399" spans="1:13" ht="15.5" x14ac:dyDescent="0.35">
      <c r="A399" s="8" t="s">
        <v>13</v>
      </c>
      <c r="B399" s="9" t="s">
        <v>14</v>
      </c>
      <c r="C399" s="9" t="s">
        <v>15</v>
      </c>
      <c r="D399" s="10">
        <v>184.37</v>
      </c>
      <c r="E399" s="9" t="s">
        <v>72</v>
      </c>
      <c r="F399" s="9" t="s">
        <v>26</v>
      </c>
      <c r="G399" s="9" t="str">
        <f t="shared" si="30"/>
        <v>Low Averg</v>
      </c>
      <c r="H399" s="11">
        <f t="shared" si="31"/>
        <v>206.78702702702708</v>
      </c>
      <c r="I399" s="9">
        <f t="shared" si="32"/>
        <v>37</v>
      </c>
      <c r="J399" s="12">
        <f>DATE(2025, MATCH(E399, {"January","February","March","April","May","June","July","August","September","October","November","December"},0),1)</f>
        <v>45901</v>
      </c>
      <c r="K399" s="13">
        <f t="shared" si="33"/>
        <v>6821.6900000000005</v>
      </c>
      <c r="L399" s="13">
        <v>344.91964386450098</v>
      </c>
      <c r="M399" s="14">
        <f t="shared" si="34"/>
        <v>-6.4992027638279229E-2</v>
      </c>
    </row>
    <row r="400" spans="1:13" ht="15.5" x14ac:dyDescent="0.35">
      <c r="A400" s="8" t="s">
        <v>50</v>
      </c>
      <c r="B400" s="9" t="s">
        <v>32</v>
      </c>
      <c r="C400" s="9" t="s">
        <v>45</v>
      </c>
      <c r="D400" s="10">
        <v>81.510000000000005</v>
      </c>
      <c r="E400" s="9" t="s">
        <v>72</v>
      </c>
      <c r="F400" s="9" t="s">
        <v>17</v>
      </c>
      <c r="G400" s="9" t="str">
        <f t="shared" si="30"/>
        <v>Low Averg</v>
      </c>
      <c r="H400" s="11">
        <f t="shared" si="31"/>
        <v>81.934666666666672</v>
      </c>
      <c r="I400" s="9">
        <f t="shared" si="32"/>
        <v>30</v>
      </c>
      <c r="J400" s="12">
        <f>DATE(2025, MATCH(E400, {"January","February","March","April","May","June","July","August","September","October","November","December"},0),1)</f>
        <v>45901</v>
      </c>
      <c r="K400" s="13">
        <f t="shared" si="33"/>
        <v>2445.3000000000002</v>
      </c>
      <c r="L400" s="13">
        <v>345.09397458955499</v>
      </c>
      <c r="M400" s="14">
        <f t="shared" si="34"/>
        <v>-1.2305826758399752E-3</v>
      </c>
    </row>
    <row r="401" spans="1:13" ht="15.5" x14ac:dyDescent="0.35">
      <c r="A401" s="8" t="s">
        <v>65</v>
      </c>
      <c r="B401" s="9" t="s">
        <v>23</v>
      </c>
      <c r="C401" s="9" t="s">
        <v>20</v>
      </c>
      <c r="D401" s="10">
        <v>144.28</v>
      </c>
      <c r="E401" s="9" t="s">
        <v>57</v>
      </c>
      <c r="F401" s="9" t="s">
        <v>36</v>
      </c>
      <c r="G401" s="9" t="str">
        <f t="shared" si="30"/>
        <v>Low Averg</v>
      </c>
      <c r="H401" s="11">
        <f t="shared" si="31"/>
        <v>151.26457142857143</v>
      </c>
      <c r="I401" s="9">
        <f t="shared" si="32"/>
        <v>35</v>
      </c>
      <c r="J401" s="12">
        <f>DATE(2025, MATCH(E401, {"January","February","March","April","May","June","July","August","September","October","November","December"},0),1)</f>
        <v>45839</v>
      </c>
      <c r="K401" s="13">
        <f t="shared" si="33"/>
        <v>5049.8</v>
      </c>
      <c r="L401" s="13">
        <v>345.16888075683198</v>
      </c>
      <c r="M401" s="14">
        <f t="shared" si="34"/>
        <v>-2.0235229239834018E-2</v>
      </c>
    </row>
    <row r="402" spans="1:13" ht="15.5" x14ac:dyDescent="0.35">
      <c r="A402" s="8" t="s">
        <v>48</v>
      </c>
      <c r="B402" s="9" t="s">
        <v>19</v>
      </c>
      <c r="C402" s="9" t="s">
        <v>69</v>
      </c>
      <c r="D402" s="10">
        <v>1235.8800000000001</v>
      </c>
      <c r="E402" s="9" t="s">
        <v>63</v>
      </c>
      <c r="F402" s="9" t="s">
        <v>30</v>
      </c>
      <c r="G402" s="9" t="str">
        <f t="shared" si="30"/>
        <v>Above Averg</v>
      </c>
      <c r="H402" s="11">
        <f t="shared" si="31"/>
        <v>1235.856</v>
      </c>
      <c r="I402" s="9">
        <f t="shared" si="32"/>
        <v>25</v>
      </c>
      <c r="J402" s="12">
        <f>DATE(2025, MATCH(E402, {"January","February","March","April","May","June","July","August","September","October","November","December"},0),1)</f>
        <v>45717</v>
      </c>
      <c r="K402" s="13">
        <f t="shared" si="33"/>
        <v>30897.000000000004</v>
      </c>
      <c r="L402" s="13">
        <v>345.30966064955101</v>
      </c>
      <c r="M402" s="14">
        <f t="shared" si="34"/>
        <v>6.9502833934529843E-5</v>
      </c>
    </row>
    <row r="403" spans="1:13" ht="15.5" x14ac:dyDescent="0.35">
      <c r="A403" s="8" t="s">
        <v>44</v>
      </c>
      <c r="B403" s="9" t="s">
        <v>23</v>
      </c>
      <c r="C403" s="9" t="s">
        <v>61</v>
      </c>
      <c r="D403" s="10">
        <v>215.54</v>
      </c>
      <c r="E403" s="9" t="s">
        <v>21</v>
      </c>
      <c r="F403" s="9" t="s">
        <v>40</v>
      </c>
      <c r="G403" s="9" t="str">
        <f t="shared" si="30"/>
        <v>Low Averg</v>
      </c>
      <c r="H403" s="11">
        <f t="shared" si="31"/>
        <v>206.14838709677423</v>
      </c>
      <c r="I403" s="9">
        <f t="shared" si="32"/>
        <v>31</v>
      </c>
      <c r="J403" s="12">
        <f>DATE(2025, MATCH(E403, {"January","February","March","April","May","June","July","August","September","October","November","December"},0),1)</f>
        <v>45748</v>
      </c>
      <c r="K403" s="13">
        <f t="shared" si="33"/>
        <v>6681.74</v>
      </c>
      <c r="L403" s="13">
        <v>344.00608493522498</v>
      </c>
      <c r="M403" s="14">
        <f t="shared" si="34"/>
        <v>2.7300717384095598E-2</v>
      </c>
    </row>
    <row r="404" spans="1:13" ht="15.5" x14ac:dyDescent="0.35">
      <c r="A404" s="8" t="s">
        <v>80</v>
      </c>
      <c r="B404" s="9" t="s">
        <v>19</v>
      </c>
      <c r="C404" s="9" t="s">
        <v>49</v>
      </c>
      <c r="D404" s="10">
        <v>674.45</v>
      </c>
      <c r="E404" s="9" t="s">
        <v>21</v>
      </c>
      <c r="F404" s="9" t="s">
        <v>30</v>
      </c>
      <c r="G404" s="9" t="str">
        <f t="shared" si="30"/>
        <v>Above Averg</v>
      </c>
      <c r="H404" s="11">
        <f t="shared" si="31"/>
        <v>720.27689655172423</v>
      </c>
      <c r="I404" s="9">
        <f t="shared" si="32"/>
        <v>29</v>
      </c>
      <c r="J404" s="12">
        <f>DATE(2025, MATCH(E404, {"January","February","March","April","May","June","July","August","September","October","November","December"},0),1)</f>
        <v>45748</v>
      </c>
      <c r="K404" s="13">
        <f t="shared" si="33"/>
        <v>19559.050000000003</v>
      </c>
      <c r="L404" s="13">
        <v>344.20245914722801</v>
      </c>
      <c r="M404" s="14">
        <f t="shared" si="34"/>
        <v>-0.13313936415579863</v>
      </c>
    </row>
    <row r="405" spans="1:13" ht="15.5" x14ac:dyDescent="0.35">
      <c r="A405" s="8" t="s">
        <v>59</v>
      </c>
      <c r="B405" s="9" t="s">
        <v>60</v>
      </c>
      <c r="C405" s="9" t="s">
        <v>34</v>
      </c>
      <c r="D405" s="10">
        <v>210.99</v>
      </c>
      <c r="E405" s="9" t="s">
        <v>16</v>
      </c>
      <c r="F405" s="9" t="s">
        <v>17</v>
      </c>
      <c r="G405" s="9" t="str">
        <f t="shared" si="30"/>
        <v>Low Averg</v>
      </c>
      <c r="H405" s="11">
        <f t="shared" si="31"/>
        <v>203.25225806451613</v>
      </c>
      <c r="I405" s="9">
        <f t="shared" si="32"/>
        <v>31</v>
      </c>
      <c r="J405" s="12">
        <f>DATE(2025, MATCH(E405, {"January","February","March","April","May","June","July","August","September","October","November","December"},0),1)</f>
        <v>45809</v>
      </c>
      <c r="K405" s="13">
        <f t="shared" si="33"/>
        <v>6540.6900000000005</v>
      </c>
      <c r="L405" s="13">
        <v>344.25351259835003</v>
      </c>
      <c r="M405" s="14">
        <f t="shared" si="34"/>
        <v>2.2476871411074656E-2</v>
      </c>
    </row>
    <row r="406" spans="1:13" ht="15.5" x14ac:dyDescent="0.35">
      <c r="A406" s="8" t="s">
        <v>74</v>
      </c>
      <c r="B406" s="9" t="s">
        <v>38</v>
      </c>
      <c r="C406" s="9" t="s">
        <v>34</v>
      </c>
      <c r="D406" s="10">
        <v>375.19</v>
      </c>
      <c r="E406" s="9" t="s">
        <v>16</v>
      </c>
      <c r="F406" s="9" t="s">
        <v>36</v>
      </c>
      <c r="G406" s="9" t="str">
        <f t="shared" si="30"/>
        <v>Above Averg</v>
      </c>
      <c r="H406" s="11">
        <f t="shared" si="31"/>
        <v>368.73933333333326</v>
      </c>
      <c r="I406" s="9">
        <f t="shared" si="32"/>
        <v>30</v>
      </c>
      <c r="J406" s="12">
        <f>DATE(2025, MATCH(E406, {"January","February","March","April","May","June","July","August","September","October","November","December"},0),1)</f>
        <v>45809</v>
      </c>
      <c r="K406" s="13">
        <f t="shared" si="33"/>
        <v>11255.7</v>
      </c>
      <c r="L406" s="13">
        <v>344.44787691004399</v>
      </c>
      <c r="M406" s="14">
        <f t="shared" si="34"/>
        <v>1.8727555311224608E-2</v>
      </c>
    </row>
    <row r="407" spans="1:13" ht="15.5" x14ac:dyDescent="0.35">
      <c r="A407" s="8" t="s">
        <v>33</v>
      </c>
      <c r="B407" s="9" t="s">
        <v>19</v>
      </c>
      <c r="C407" s="9" t="s">
        <v>43</v>
      </c>
      <c r="D407" s="10">
        <v>1215.3900000000001</v>
      </c>
      <c r="E407" s="9" t="s">
        <v>42</v>
      </c>
      <c r="F407" s="9" t="s">
        <v>36</v>
      </c>
      <c r="G407" s="9" t="str">
        <f t="shared" si="30"/>
        <v>Above Averg</v>
      </c>
      <c r="H407" s="11">
        <f t="shared" si="31"/>
        <v>1113.4854166666667</v>
      </c>
      <c r="I407" s="9">
        <f t="shared" si="32"/>
        <v>24</v>
      </c>
      <c r="J407" s="12">
        <f>DATE(2025, MATCH(E407, {"January","February","March","April","May","June","July","August","September","October","November","December"},0),1)</f>
        <v>45658</v>
      </c>
      <c r="K407" s="13">
        <f t="shared" si="33"/>
        <v>29169.360000000001</v>
      </c>
      <c r="L407" s="13">
        <v>344.69372149232697</v>
      </c>
      <c r="M407" s="14">
        <f t="shared" si="34"/>
        <v>0.29563806063001319</v>
      </c>
    </row>
    <row r="408" spans="1:13" ht="15.5" x14ac:dyDescent="0.35">
      <c r="A408" s="8" t="s">
        <v>22</v>
      </c>
      <c r="B408" s="9" t="s">
        <v>23</v>
      </c>
      <c r="C408" s="9" t="s">
        <v>15</v>
      </c>
      <c r="D408" s="10">
        <v>247.03</v>
      </c>
      <c r="E408" s="9" t="s">
        <v>35</v>
      </c>
      <c r="F408" s="9" t="s">
        <v>40</v>
      </c>
      <c r="G408" s="9" t="str">
        <f t="shared" si="30"/>
        <v>Low Averg</v>
      </c>
      <c r="H408" s="11">
        <f t="shared" si="31"/>
        <v>257.40029411764709</v>
      </c>
      <c r="I408" s="9">
        <f t="shared" si="32"/>
        <v>34</v>
      </c>
      <c r="J408" s="12">
        <f>DATE(2025, MATCH(E408, {"January","February","March","April","May","June","July","August","September","October","November","December"},0),1)</f>
        <v>45778</v>
      </c>
      <c r="K408" s="13">
        <f t="shared" si="33"/>
        <v>8399.02</v>
      </c>
      <c r="L408" s="13">
        <v>343.446379963639</v>
      </c>
      <c r="M408" s="14">
        <f t="shared" si="34"/>
        <v>-3.0194798147952541E-2</v>
      </c>
    </row>
    <row r="409" spans="1:13" ht="15.5" x14ac:dyDescent="0.35">
      <c r="A409" s="8" t="s">
        <v>41</v>
      </c>
      <c r="B409" s="9" t="s">
        <v>32</v>
      </c>
      <c r="C409" s="9" t="s">
        <v>49</v>
      </c>
      <c r="D409" s="10">
        <v>75.67</v>
      </c>
      <c r="E409" s="9" t="s">
        <v>57</v>
      </c>
      <c r="F409" s="9" t="s">
        <v>40</v>
      </c>
      <c r="G409" s="9" t="str">
        <f t="shared" si="30"/>
        <v>Low Averg</v>
      </c>
      <c r="H409" s="11">
        <f t="shared" si="31"/>
        <v>70.278611111111118</v>
      </c>
      <c r="I409" s="9">
        <f t="shared" si="32"/>
        <v>36</v>
      </c>
      <c r="J409" s="12">
        <f>DATE(2025, MATCH(E409, {"January","February","March","April","May","June","July","August","September","October","November","December"},0),1)</f>
        <v>45839</v>
      </c>
      <c r="K409" s="13">
        <f t="shared" si="33"/>
        <v>2724.12</v>
      </c>
      <c r="L409" s="13">
        <v>343.66228891693299</v>
      </c>
      <c r="M409" s="14">
        <f t="shared" si="34"/>
        <v>1.5688043357565025E-2</v>
      </c>
    </row>
    <row r="410" spans="1:13" ht="15.5" x14ac:dyDescent="0.35">
      <c r="A410" s="8" t="s">
        <v>78</v>
      </c>
      <c r="B410" s="9" t="s">
        <v>28</v>
      </c>
      <c r="C410" s="9" t="s">
        <v>24</v>
      </c>
      <c r="D410" s="10">
        <v>281.8</v>
      </c>
      <c r="E410" s="9" t="s">
        <v>16</v>
      </c>
      <c r="F410" s="9" t="s">
        <v>30</v>
      </c>
      <c r="G410" s="9" t="str">
        <f t="shared" si="30"/>
        <v>Low Averg</v>
      </c>
      <c r="H410" s="11">
        <f t="shared" si="31"/>
        <v>309.01727272727271</v>
      </c>
      <c r="I410" s="9">
        <f t="shared" si="32"/>
        <v>22</v>
      </c>
      <c r="J410" s="12">
        <f>DATE(2025, MATCH(E410, {"January","February","March","April","May","June","July","August","September","October","November","December"},0),1)</f>
        <v>45809</v>
      </c>
      <c r="K410" s="13">
        <f t="shared" si="33"/>
        <v>6199.6</v>
      </c>
      <c r="L410" s="13">
        <v>343.731226789044</v>
      </c>
      <c r="M410" s="14">
        <f t="shared" si="34"/>
        <v>-7.9181845017463559E-2</v>
      </c>
    </row>
    <row r="411" spans="1:13" ht="15.5" x14ac:dyDescent="0.35">
      <c r="A411" s="8" t="s">
        <v>78</v>
      </c>
      <c r="B411" s="9" t="s">
        <v>28</v>
      </c>
      <c r="C411" s="9" t="s">
        <v>69</v>
      </c>
      <c r="D411" s="10">
        <v>327.76</v>
      </c>
      <c r="E411" s="9" t="s">
        <v>16</v>
      </c>
      <c r="F411" s="9" t="s">
        <v>36</v>
      </c>
      <c r="G411" s="9" t="str">
        <f t="shared" si="30"/>
        <v>Low Averg</v>
      </c>
      <c r="H411" s="11">
        <f t="shared" si="31"/>
        <v>309.01727272727271</v>
      </c>
      <c r="I411" s="9">
        <f t="shared" si="32"/>
        <v>22</v>
      </c>
      <c r="J411" s="12">
        <f>DATE(2025, MATCH(E411, {"January","February","March","April","May","June","July","August","September","October","November","December"},0),1)</f>
        <v>45809</v>
      </c>
      <c r="K411" s="13">
        <f t="shared" si="33"/>
        <v>7210.7199999999993</v>
      </c>
      <c r="L411" s="13">
        <v>343.96269077929099</v>
      </c>
      <c r="M411" s="14">
        <f t="shared" si="34"/>
        <v>5.4490582191525652E-2</v>
      </c>
    </row>
    <row r="412" spans="1:13" ht="15.5" x14ac:dyDescent="0.35">
      <c r="A412" s="8" t="s">
        <v>67</v>
      </c>
      <c r="B412" s="9" t="s">
        <v>23</v>
      </c>
      <c r="C412" s="9" t="s">
        <v>29</v>
      </c>
      <c r="D412" s="10">
        <v>247</v>
      </c>
      <c r="E412" s="9" t="s">
        <v>35</v>
      </c>
      <c r="F412" s="9" t="s">
        <v>36</v>
      </c>
      <c r="G412" s="9" t="str">
        <f t="shared" si="30"/>
        <v>Low Averg</v>
      </c>
      <c r="H412" s="11">
        <f t="shared" si="31"/>
        <v>226.566129032258</v>
      </c>
      <c r="I412" s="9">
        <f t="shared" si="32"/>
        <v>31</v>
      </c>
      <c r="J412" s="12">
        <f>DATE(2025, MATCH(E412, {"January","February","March","April","May","June","July","August","September","October","November","December"},0),1)</f>
        <v>45778</v>
      </c>
      <c r="K412" s="13">
        <f t="shared" si="33"/>
        <v>7657</v>
      </c>
      <c r="L412" s="13">
        <v>344.20672184733701</v>
      </c>
      <c r="M412" s="14">
        <f t="shared" si="34"/>
        <v>5.9365113086910754E-2</v>
      </c>
    </row>
    <row r="413" spans="1:13" ht="15.5" x14ac:dyDescent="0.35">
      <c r="A413" s="8" t="s">
        <v>65</v>
      </c>
      <c r="B413" s="9" t="s">
        <v>23</v>
      </c>
      <c r="C413" s="9" t="s">
        <v>49</v>
      </c>
      <c r="D413" s="10">
        <v>163.69</v>
      </c>
      <c r="E413" s="9" t="s">
        <v>57</v>
      </c>
      <c r="F413" s="9" t="s">
        <v>17</v>
      </c>
      <c r="G413" s="9" t="str">
        <f t="shared" si="30"/>
        <v>Low Averg</v>
      </c>
      <c r="H413" s="11">
        <f t="shared" si="31"/>
        <v>151.26457142857143</v>
      </c>
      <c r="I413" s="9">
        <f t="shared" si="32"/>
        <v>35</v>
      </c>
      <c r="J413" s="12">
        <f>DATE(2025, MATCH(E413, {"January","February","March","April","May","June","July","August","September","October","November","December"},0),1)</f>
        <v>45839</v>
      </c>
      <c r="K413" s="13">
        <f t="shared" si="33"/>
        <v>5729.15</v>
      </c>
      <c r="L413" s="13">
        <v>344.424085809708</v>
      </c>
      <c r="M413" s="14">
        <f t="shared" si="34"/>
        <v>3.6075957179990993E-2</v>
      </c>
    </row>
    <row r="414" spans="1:13" ht="15.5" x14ac:dyDescent="0.35">
      <c r="A414" s="8" t="s">
        <v>44</v>
      </c>
      <c r="B414" s="9" t="s">
        <v>23</v>
      </c>
      <c r="C414" s="9" t="s">
        <v>29</v>
      </c>
      <c r="D414" s="10">
        <v>231.76</v>
      </c>
      <c r="E414" s="9" t="s">
        <v>39</v>
      </c>
      <c r="F414" s="9" t="s">
        <v>26</v>
      </c>
      <c r="G414" s="9" t="str">
        <f t="shared" si="30"/>
        <v>Low Averg</v>
      </c>
      <c r="H414" s="11">
        <f t="shared" si="31"/>
        <v>206.14838709677423</v>
      </c>
      <c r="I414" s="9">
        <f t="shared" si="32"/>
        <v>31</v>
      </c>
      <c r="J414" s="12">
        <f>DATE(2025, MATCH(E414, {"January","February","March","April","May","June","July","August","September","October","November","December"},0),1)</f>
        <v>45992</v>
      </c>
      <c r="K414" s="13">
        <f t="shared" si="33"/>
        <v>7184.5599999999995</v>
      </c>
      <c r="L414" s="13">
        <v>344.58506019972401</v>
      </c>
      <c r="M414" s="14">
        <f t="shared" si="34"/>
        <v>7.4325952751349941E-2</v>
      </c>
    </row>
    <row r="415" spans="1:13" ht="15.5" x14ac:dyDescent="0.35">
      <c r="A415" s="8" t="s">
        <v>78</v>
      </c>
      <c r="B415" s="9" t="s">
        <v>28</v>
      </c>
      <c r="C415" s="9" t="s">
        <v>34</v>
      </c>
      <c r="D415" s="10">
        <v>322.63</v>
      </c>
      <c r="E415" s="9" t="s">
        <v>72</v>
      </c>
      <c r="F415" s="9" t="s">
        <v>26</v>
      </c>
      <c r="G415" s="9" t="str">
        <f t="shared" si="30"/>
        <v>Low Averg</v>
      </c>
      <c r="H415" s="11">
        <f t="shared" si="31"/>
        <v>309.01727272727271</v>
      </c>
      <c r="I415" s="9">
        <f t="shared" si="32"/>
        <v>22</v>
      </c>
      <c r="J415" s="12">
        <f>DATE(2025, MATCH(E415, {"January","February","March","April","May","June","July","August","September","October","November","December"},0),1)</f>
        <v>45901</v>
      </c>
      <c r="K415" s="13">
        <f t="shared" si="33"/>
        <v>7097.86</v>
      </c>
      <c r="L415" s="13">
        <v>344.79488124817198</v>
      </c>
      <c r="M415" s="14">
        <f t="shared" si="34"/>
        <v>3.9480653609034563E-2</v>
      </c>
    </row>
    <row r="416" spans="1:13" ht="15.5" x14ac:dyDescent="0.35">
      <c r="A416" s="8" t="s">
        <v>67</v>
      </c>
      <c r="B416" s="9" t="s">
        <v>23</v>
      </c>
      <c r="C416" s="9" t="s">
        <v>20</v>
      </c>
      <c r="D416" s="10">
        <v>244.25</v>
      </c>
      <c r="E416" s="9" t="s">
        <v>57</v>
      </c>
      <c r="F416" s="9" t="s">
        <v>17</v>
      </c>
      <c r="G416" s="9" t="str">
        <f t="shared" si="30"/>
        <v>Low Averg</v>
      </c>
      <c r="H416" s="11">
        <f t="shared" si="31"/>
        <v>226.566129032258</v>
      </c>
      <c r="I416" s="9">
        <f t="shared" si="32"/>
        <v>31</v>
      </c>
      <c r="J416" s="12">
        <f>DATE(2025, MATCH(E416, {"January","February","March","April","May","June","July","August","September","October","November","December"},0),1)</f>
        <v>45839</v>
      </c>
      <c r="K416" s="13">
        <f t="shared" si="33"/>
        <v>7571.75</v>
      </c>
      <c r="L416" s="13">
        <v>345.03988131043599</v>
      </c>
      <c r="M416" s="14">
        <f t="shared" si="34"/>
        <v>5.1251672417054979E-2</v>
      </c>
    </row>
    <row r="417" spans="1:13" ht="15.5" x14ac:dyDescent="0.35">
      <c r="A417" s="8" t="s">
        <v>44</v>
      </c>
      <c r="B417" s="9" t="s">
        <v>23</v>
      </c>
      <c r="C417" s="9" t="s">
        <v>20</v>
      </c>
      <c r="D417" s="10">
        <v>221.75</v>
      </c>
      <c r="E417" s="9" t="s">
        <v>25</v>
      </c>
      <c r="F417" s="9" t="s">
        <v>26</v>
      </c>
      <c r="G417" s="9" t="str">
        <f t="shared" si="30"/>
        <v>Low Averg</v>
      </c>
      <c r="H417" s="11">
        <f t="shared" si="31"/>
        <v>206.14838709677423</v>
      </c>
      <c r="I417" s="9">
        <f t="shared" si="32"/>
        <v>31</v>
      </c>
      <c r="J417" s="12">
        <f>DATE(2025, MATCH(E417, {"January","February","March","April","May","June","July","August","September","October","November","December"},0),1)</f>
        <v>45931</v>
      </c>
      <c r="K417" s="13">
        <f t="shared" si="33"/>
        <v>6874.25</v>
      </c>
      <c r="L417" s="13">
        <v>345.25739017141899</v>
      </c>
      <c r="M417" s="14">
        <f t="shared" si="34"/>
        <v>4.5188353232582884E-2</v>
      </c>
    </row>
    <row r="418" spans="1:13" ht="15.5" x14ac:dyDescent="0.35">
      <c r="A418" s="8" t="s">
        <v>82</v>
      </c>
      <c r="B418" s="9" t="s">
        <v>14</v>
      </c>
      <c r="C418" s="9" t="s">
        <v>20</v>
      </c>
      <c r="D418" s="10">
        <v>960.28</v>
      </c>
      <c r="E418" s="9" t="s">
        <v>55</v>
      </c>
      <c r="F418" s="9" t="s">
        <v>30</v>
      </c>
      <c r="G418" s="9" t="str">
        <f t="shared" si="30"/>
        <v>Above Averg</v>
      </c>
      <c r="H418" s="11">
        <f t="shared" si="31"/>
        <v>905.6025925925926</v>
      </c>
      <c r="I418" s="9">
        <f t="shared" si="32"/>
        <v>27</v>
      </c>
      <c r="J418" s="12">
        <f>DATE(2025, MATCH(E418, {"January","February","March","April","May","June","July","August","September","October","November","December"},0),1)</f>
        <v>45962</v>
      </c>
      <c r="K418" s="13">
        <f t="shared" si="33"/>
        <v>25927.559999999998</v>
      </c>
      <c r="L418" s="13">
        <v>345.46245806674199</v>
      </c>
      <c r="M418" s="14">
        <f t="shared" si="34"/>
        <v>0.15827308041918672</v>
      </c>
    </row>
    <row r="419" spans="1:13" ht="15.5" x14ac:dyDescent="0.35">
      <c r="A419" s="8" t="s">
        <v>51</v>
      </c>
      <c r="B419" s="9" t="s">
        <v>28</v>
      </c>
      <c r="C419" s="9" t="s">
        <v>61</v>
      </c>
      <c r="D419" s="10">
        <v>128.36000000000001</v>
      </c>
      <c r="E419" s="9" t="s">
        <v>57</v>
      </c>
      <c r="F419" s="9" t="s">
        <v>40</v>
      </c>
      <c r="G419" s="9" t="str">
        <f t="shared" si="30"/>
        <v>Low Averg</v>
      </c>
      <c r="H419" s="11">
        <f t="shared" si="31"/>
        <v>122.0377142857143</v>
      </c>
      <c r="I419" s="9">
        <f t="shared" si="32"/>
        <v>35</v>
      </c>
      <c r="J419" s="12">
        <f>DATE(2025, MATCH(E419, {"January","February","March","April","May","June","July","August","September","October","November","December"},0),1)</f>
        <v>45839</v>
      </c>
      <c r="K419" s="13">
        <f t="shared" si="33"/>
        <v>4492.6000000000004</v>
      </c>
      <c r="L419" s="13">
        <v>344.97628549490702</v>
      </c>
      <c r="M419" s="14">
        <f t="shared" si="34"/>
        <v>1.8326725575399154E-2</v>
      </c>
    </row>
    <row r="420" spans="1:13" ht="15.5" x14ac:dyDescent="0.35">
      <c r="A420" s="8" t="s">
        <v>66</v>
      </c>
      <c r="B420" s="9" t="s">
        <v>32</v>
      </c>
      <c r="C420" s="9" t="s">
        <v>20</v>
      </c>
      <c r="D420" s="10">
        <v>154.29</v>
      </c>
      <c r="E420" s="9" t="s">
        <v>63</v>
      </c>
      <c r="F420" s="9" t="s">
        <v>26</v>
      </c>
      <c r="G420" s="9" t="str">
        <f t="shared" si="30"/>
        <v>Low Averg</v>
      </c>
      <c r="H420" s="11">
        <f t="shared" si="31"/>
        <v>141.74161290322584</v>
      </c>
      <c r="I420" s="9">
        <f t="shared" si="32"/>
        <v>31</v>
      </c>
      <c r="J420" s="12">
        <f>DATE(2025, MATCH(E420, {"January","February","March","April","May","June","July","August","September","October","November","December"},0),1)</f>
        <v>45717</v>
      </c>
      <c r="K420" s="13">
        <f t="shared" si="33"/>
        <v>4782.99</v>
      </c>
      <c r="L420" s="13">
        <v>345.10600383812101</v>
      </c>
      <c r="M420" s="14">
        <f t="shared" si="34"/>
        <v>3.6360964333324738E-2</v>
      </c>
    </row>
    <row r="421" spans="1:13" ht="15.5" x14ac:dyDescent="0.35">
      <c r="A421" s="8" t="s">
        <v>27</v>
      </c>
      <c r="B421" s="9" t="s">
        <v>28</v>
      </c>
      <c r="C421" s="9" t="s">
        <v>29</v>
      </c>
      <c r="D421" s="10">
        <v>115.34</v>
      </c>
      <c r="E421" s="9" t="s">
        <v>16</v>
      </c>
      <c r="F421" s="9" t="s">
        <v>17</v>
      </c>
      <c r="G421" s="9" t="str">
        <f t="shared" si="30"/>
        <v>Low Averg</v>
      </c>
      <c r="H421" s="11">
        <f t="shared" si="31"/>
        <v>113.26108695652174</v>
      </c>
      <c r="I421" s="9">
        <f t="shared" si="32"/>
        <v>46</v>
      </c>
      <c r="J421" s="12">
        <f>DATE(2025, MATCH(E421, {"January","February","March","April","May","June","July","August","September","October","November","December"},0),1)</f>
        <v>45809</v>
      </c>
      <c r="K421" s="13">
        <f t="shared" si="33"/>
        <v>5305.64</v>
      </c>
      <c r="L421" s="13">
        <v>345.26058936516802</v>
      </c>
      <c r="M421" s="14">
        <f t="shared" si="34"/>
        <v>6.0212868410517741E-3</v>
      </c>
    </row>
    <row r="422" spans="1:13" ht="15.5" x14ac:dyDescent="0.35">
      <c r="A422" s="8" t="s">
        <v>66</v>
      </c>
      <c r="B422" s="9" t="s">
        <v>32</v>
      </c>
      <c r="C422" s="9" t="s">
        <v>69</v>
      </c>
      <c r="D422" s="10">
        <v>134.29</v>
      </c>
      <c r="E422" s="9" t="s">
        <v>62</v>
      </c>
      <c r="F422" s="9" t="s">
        <v>36</v>
      </c>
      <c r="G422" s="9" t="str">
        <f t="shared" si="30"/>
        <v>Low Averg</v>
      </c>
      <c r="H422" s="11">
        <f t="shared" si="31"/>
        <v>141.74161290322584</v>
      </c>
      <c r="I422" s="9">
        <f t="shared" si="32"/>
        <v>31</v>
      </c>
      <c r="J422" s="12">
        <f>DATE(2025, MATCH(E422, {"January","February","March","April","May","June","July","August","September","October","November","December"},0),1)</f>
        <v>45689</v>
      </c>
      <c r="K422" s="13">
        <f t="shared" si="33"/>
        <v>4162.99</v>
      </c>
      <c r="L422" s="13">
        <v>345.37672082923302</v>
      </c>
      <c r="M422" s="14">
        <f t="shared" si="34"/>
        <v>-2.1575318930977409E-2</v>
      </c>
    </row>
    <row r="423" spans="1:13" ht="15.5" x14ac:dyDescent="0.35">
      <c r="A423" s="8" t="s">
        <v>65</v>
      </c>
      <c r="B423" s="9" t="s">
        <v>23</v>
      </c>
      <c r="C423" s="9" t="s">
        <v>20</v>
      </c>
      <c r="D423" s="10">
        <v>145.01</v>
      </c>
      <c r="E423" s="9" t="s">
        <v>72</v>
      </c>
      <c r="F423" s="9" t="s">
        <v>36</v>
      </c>
      <c r="G423" s="9" t="str">
        <f t="shared" si="30"/>
        <v>Low Averg</v>
      </c>
      <c r="H423" s="11">
        <f t="shared" si="31"/>
        <v>151.26457142857143</v>
      </c>
      <c r="I423" s="9">
        <f t="shared" si="32"/>
        <v>35</v>
      </c>
      <c r="J423" s="12">
        <f>DATE(2025, MATCH(E423, {"January","February","March","April","May","June","July","August","September","October","November","December"},0),1)</f>
        <v>45901</v>
      </c>
      <c r="K423" s="13">
        <f t="shared" si="33"/>
        <v>5075.3499999999995</v>
      </c>
      <c r="L423" s="13">
        <v>345.51236696955903</v>
      </c>
      <c r="M423" s="14">
        <f t="shared" si="34"/>
        <v>-1.8102308416423456E-2</v>
      </c>
    </row>
    <row r="424" spans="1:13" ht="15.5" x14ac:dyDescent="0.35">
      <c r="A424" s="8" t="s">
        <v>59</v>
      </c>
      <c r="B424" s="9" t="s">
        <v>60</v>
      </c>
      <c r="C424" s="9" t="s">
        <v>61</v>
      </c>
      <c r="D424" s="10">
        <v>176.85</v>
      </c>
      <c r="E424" s="9" t="s">
        <v>57</v>
      </c>
      <c r="F424" s="9" t="s">
        <v>26</v>
      </c>
      <c r="G424" s="9" t="str">
        <f t="shared" si="30"/>
        <v>Low Averg</v>
      </c>
      <c r="H424" s="11">
        <f t="shared" si="31"/>
        <v>203.25225806451613</v>
      </c>
      <c r="I424" s="9">
        <f t="shared" si="32"/>
        <v>31</v>
      </c>
      <c r="J424" s="12">
        <f>DATE(2025, MATCH(E424, {"January","February","March","April","May","June","July","August","September","October","November","December"},0),1)</f>
        <v>45839</v>
      </c>
      <c r="K424" s="13">
        <f t="shared" si="33"/>
        <v>5482.3499999999995</v>
      </c>
      <c r="L424" s="13">
        <v>345.65846160826402</v>
      </c>
      <c r="M424" s="14">
        <f t="shared" si="34"/>
        <v>-7.6382501795769456E-2</v>
      </c>
    </row>
    <row r="425" spans="1:13" ht="15.5" x14ac:dyDescent="0.35">
      <c r="A425" s="8" t="s">
        <v>53</v>
      </c>
      <c r="B425" s="9" t="s">
        <v>54</v>
      </c>
      <c r="C425" s="9" t="s">
        <v>20</v>
      </c>
      <c r="D425" s="10">
        <v>858.94</v>
      </c>
      <c r="E425" s="9" t="s">
        <v>42</v>
      </c>
      <c r="F425" s="9" t="s">
        <v>40</v>
      </c>
      <c r="G425" s="9" t="str">
        <f t="shared" si="30"/>
        <v>Above Averg</v>
      </c>
      <c r="H425" s="11">
        <f t="shared" si="31"/>
        <v>810.77454545454566</v>
      </c>
      <c r="I425" s="9">
        <f t="shared" si="32"/>
        <v>33</v>
      </c>
      <c r="J425" s="12">
        <f>DATE(2025, MATCH(E425, {"January","February","March","April","May","June","July","August","September","October","November","December"},0),1)</f>
        <v>45658</v>
      </c>
      <c r="K425" s="13">
        <f t="shared" si="33"/>
        <v>28345.02</v>
      </c>
      <c r="L425" s="13">
        <v>345.83283536500102</v>
      </c>
      <c r="M425" s="14">
        <f t="shared" si="34"/>
        <v>0.13927380404645301</v>
      </c>
    </row>
    <row r="426" spans="1:13" ht="15.5" x14ac:dyDescent="0.35">
      <c r="A426" s="8" t="s">
        <v>59</v>
      </c>
      <c r="B426" s="9" t="s">
        <v>60</v>
      </c>
      <c r="C426" s="9" t="s">
        <v>49</v>
      </c>
      <c r="D426" s="10">
        <v>199.46</v>
      </c>
      <c r="E426" s="9" t="s">
        <v>63</v>
      </c>
      <c r="F426" s="9" t="s">
        <v>26</v>
      </c>
      <c r="G426" s="9" t="str">
        <f t="shared" si="30"/>
        <v>Low Averg</v>
      </c>
      <c r="H426" s="11">
        <f t="shared" si="31"/>
        <v>203.25225806451613</v>
      </c>
      <c r="I426" s="9">
        <f t="shared" si="32"/>
        <v>31</v>
      </c>
      <c r="J426" s="12">
        <f>DATE(2025, MATCH(E426, {"January","February","March","April","May","June","July","August","September","October","November","December"},0),1)</f>
        <v>45717</v>
      </c>
      <c r="K426" s="13">
        <f t="shared" si="33"/>
        <v>6183.26</v>
      </c>
      <c r="L426" s="13">
        <v>345.578339429582</v>
      </c>
      <c r="M426" s="14">
        <f t="shared" si="34"/>
        <v>-1.0973656713484098E-2</v>
      </c>
    </row>
    <row r="427" spans="1:13" ht="15.5" x14ac:dyDescent="0.35">
      <c r="A427" s="8" t="s">
        <v>56</v>
      </c>
      <c r="B427" s="9" t="s">
        <v>19</v>
      </c>
      <c r="C427" s="9" t="s">
        <v>15</v>
      </c>
      <c r="D427" s="10">
        <v>480.98</v>
      </c>
      <c r="E427" s="9" t="s">
        <v>35</v>
      </c>
      <c r="F427" s="9" t="s">
        <v>26</v>
      </c>
      <c r="G427" s="9" t="str">
        <f t="shared" si="30"/>
        <v>Above Averg</v>
      </c>
      <c r="H427" s="11">
        <f t="shared" si="31"/>
        <v>533.4588235294118</v>
      </c>
      <c r="I427" s="9">
        <f t="shared" si="32"/>
        <v>34</v>
      </c>
      <c r="J427" s="12">
        <f>DATE(2025, MATCH(E427, {"January","February","March","April","May","June","July","August","September","October","November","December"},0),1)</f>
        <v>45778</v>
      </c>
      <c r="K427" s="13">
        <f t="shared" si="33"/>
        <v>16353.32</v>
      </c>
      <c r="L427" s="13">
        <v>345.77094686923101</v>
      </c>
      <c r="M427" s="14">
        <f t="shared" si="34"/>
        <v>-0.15177337484418271</v>
      </c>
    </row>
    <row r="428" spans="1:13" ht="15.5" x14ac:dyDescent="0.35">
      <c r="A428" s="8" t="s">
        <v>33</v>
      </c>
      <c r="B428" s="9" t="s">
        <v>19</v>
      </c>
      <c r="C428" s="9" t="s">
        <v>29</v>
      </c>
      <c r="D428" s="10">
        <v>1224.05</v>
      </c>
      <c r="E428" s="9" t="s">
        <v>46</v>
      </c>
      <c r="F428" s="9" t="s">
        <v>40</v>
      </c>
      <c r="G428" s="9" t="str">
        <f t="shared" si="30"/>
        <v>Above Averg</v>
      </c>
      <c r="H428" s="11">
        <f t="shared" si="31"/>
        <v>1113.4854166666667</v>
      </c>
      <c r="I428" s="9">
        <f t="shared" si="32"/>
        <v>24</v>
      </c>
      <c r="J428" s="12">
        <f>DATE(2025, MATCH(E428, {"January","February","March","April","May","June","July","August","September","October","November","December"},0),1)</f>
        <v>45870</v>
      </c>
      <c r="K428" s="13">
        <f t="shared" si="33"/>
        <v>29377.199999999997</v>
      </c>
      <c r="L428" s="13">
        <v>345.99899054455</v>
      </c>
      <c r="M428" s="14">
        <f t="shared" si="34"/>
        <v>0.31955175117511586</v>
      </c>
    </row>
    <row r="429" spans="1:13" ht="15.5" x14ac:dyDescent="0.35">
      <c r="A429" s="8" t="s">
        <v>41</v>
      </c>
      <c r="B429" s="9" t="s">
        <v>32</v>
      </c>
      <c r="C429" s="9" t="s">
        <v>15</v>
      </c>
      <c r="D429" s="10">
        <v>59.97</v>
      </c>
      <c r="E429" s="9" t="s">
        <v>57</v>
      </c>
      <c r="F429" s="9" t="s">
        <v>17</v>
      </c>
      <c r="G429" s="9" t="str">
        <f t="shared" si="30"/>
        <v>Low Averg</v>
      </c>
      <c r="H429" s="11">
        <f t="shared" si="31"/>
        <v>70.278611111111118</v>
      </c>
      <c r="I429" s="9">
        <f t="shared" si="32"/>
        <v>36</v>
      </c>
      <c r="J429" s="12">
        <f>DATE(2025, MATCH(E429, {"January","February","March","April","May","June","July","August","September","October","November","December"},0),1)</f>
        <v>45839</v>
      </c>
      <c r="K429" s="13">
        <f t="shared" si="33"/>
        <v>2158.92</v>
      </c>
      <c r="L429" s="13">
        <v>344.69238000181099</v>
      </c>
      <c r="M429" s="14">
        <f t="shared" si="34"/>
        <v>-2.9906698578764518E-2</v>
      </c>
    </row>
    <row r="430" spans="1:13" ht="15.5" x14ac:dyDescent="0.35">
      <c r="A430" s="8" t="s">
        <v>68</v>
      </c>
      <c r="B430" s="9" t="s">
        <v>28</v>
      </c>
      <c r="C430" s="9" t="s">
        <v>34</v>
      </c>
      <c r="D430" s="10">
        <v>107.63</v>
      </c>
      <c r="E430" s="9" t="s">
        <v>63</v>
      </c>
      <c r="F430" s="9" t="s">
        <v>26</v>
      </c>
      <c r="G430" s="9" t="str">
        <f t="shared" si="30"/>
        <v>Low Averg</v>
      </c>
      <c r="H430" s="11">
        <f t="shared" si="31"/>
        <v>102.25285714285715</v>
      </c>
      <c r="I430" s="9">
        <f t="shared" si="32"/>
        <v>28</v>
      </c>
      <c r="J430" s="12">
        <f>DATE(2025, MATCH(E430, {"January","February","March","April","May","June","July","August","September","October","November","December"},0),1)</f>
        <v>45717</v>
      </c>
      <c r="K430" s="13">
        <f t="shared" si="33"/>
        <v>3013.64</v>
      </c>
      <c r="L430" s="13">
        <v>344.74322869623597</v>
      </c>
      <c r="M430" s="14">
        <f t="shared" si="34"/>
        <v>1.5597530015247411E-2</v>
      </c>
    </row>
    <row r="431" spans="1:13" ht="15.5" x14ac:dyDescent="0.35">
      <c r="A431" s="8" t="s">
        <v>70</v>
      </c>
      <c r="B431" s="9" t="s">
        <v>71</v>
      </c>
      <c r="C431" s="9" t="s">
        <v>29</v>
      </c>
      <c r="D431" s="10">
        <v>893.86</v>
      </c>
      <c r="E431" s="9" t="s">
        <v>16</v>
      </c>
      <c r="F431" s="9" t="s">
        <v>40</v>
      </c>
      <c r="G431" s="9" t="str">
        <f t="shared" si="30"/>
        <v>Above Averg</v>
      </c>
      <c r="H431" s="11">
        <f t="shared" si="31"/>
        <v>911.5772916666665</v>
      </c>
      <c r="I431" s="9">
        <f t="shared" si="32"/>
        <v>48</v>
      </c>
      <c r="J431" s="12">
        <f>DATE(2025, MATCH(E431, {"January","February","March","April","May","June","July","August","September","October","November","December"},0),1)</f>
        <v>45809</v>
      </c>
      <c r="K431" s="13">
        <f t="shared" si="33"/>
        <v>42905.279999999999</v>
      </c>
      <c r="L431" s="13">
        <v>344.85192345686897</v>
      </c>
      <c r="M431" s="14">
        <f t="shared" si="34"/>
        <v>-5.1376519780039459E-2</v>
      </c>
    </row>
    <row r="432" spans="1:13" ht="15.5" x14ac:dyDescent="0.35">
      <c r="A432" s="8" t="s">
        <v>80</v>
      </c>
      <c r="B432" s="9" t="s">
        <v>19</v>
      </c>
      <c r="C432" s="9" t="s">
        <v>34</v>
      </c>
      <c r="D432" s="10">
        <v>728.58</v>
      </c>
      <c r="E432" s="9" t="s">
        <v>55</v>
      </c>
      <c r="F432" s="9" t="s">
        <v>30</v>
      </c>
      <c r="G432" s="9" t="str">
        <f t="shared" si="30"/>
        <v>Above Averg</v>
      </c>
      <c r="H432" s="11">
        <f t="shared" si="31"/>
        <v>720.27689655172423</v>
      </c>
      <c r="I432" s="9">
        <f t="shared" si="32"/>
        <v>29</v>
      </c>
      <c r="J432" s="12">
        <f>DATE(2025, MATCH(E432, {"January","February","March","April","May","June","July","August","September","October","November","December"},0),1)</f>
        <v>45962</v>
      </c>
      <c r="K432" s="13">
        <f t="shared" si="33"/>
        <v>21128.82</v>
      </c>
      <c r="L432" s="13">
        <v>344.51444958764603</v>
      </c>
      <c r="M432" s="14">
        <f t="shared" si="34"/>
        <v>2.4100885922822401E-2</v>
      </c>
    </row>
    <row r="433" spans="1:13" ht="15.5" x14ac:dyDescent="0.35">
      <c r="A433" s="8" t="s">
        <v>68</v>
      </c>
      <c r="B433" s="9" t="s">
        <v>28</v>
      </c>
      <c r="C433" s="9" t="s">
        <v>45</v>
      </c>
      <c r="D433" s="10">
        <v>106.4</v>
      </c>
      <c r="E433" s="9" t="s">
        <v>16</v>
      </c>
      <c r="F433" s="9" t="s">
        <v>30</v>
      </c>
      <c r="G433" s="9" t="str">
        <f t="shared" si="30"/>
        <v>Low Averg</v>
      </c>
      <c r="H433" s="11">
        <f t="shared" si="31"/>
        <v>102.25285714285715</v>
      </c>
      <c r="I433" s="9">
        <f t="shared" si="32"/>
        <v>28</v>
      </c>
      <c r="J433" s="12">
        <f>DATE(2025, MATCH(E433, {"January","February","March","April","May","June","July","August","September","October","November","December"},0),1)</f>
        <v>45809</v>
      </c>
      <c r="K433" s="13">
        <f t="shared" si="33"/>
        <v>2979.2000000000003</v>
      </c>
      <c r="L433" s="13">
        <v>344.48988387712097</v>
      </c>
      <c r="M433" s="14">
        <f t="shared" si="34"/>
        <v>1.203850403520741E-2</v>
      </c>
    </row>
    <row r="434" spans="1:13" ht="15.5" x14ac:dyDescent="0.35">
      <c r="A434" s="8" t="s">
        <v>74</v>
      </c>
      <c r="B434" s="9" t="s">
        <v>38</v>
      </c>
      <c r="C434" s="9" t="s">
        <v>34</v>
      </c>
      <c r="D434" s="10">
        <v>387.23</v>
      </c>
      <c r="E434" s="9" t="s">
        <v>21</v>
      </c>
      <c r="F434" s="9" t="s">
        <v>17</v>
      </c>
      <c r="G434" s="9" t="str">
        <f t="shared" si="30"/>
        <v>Above Averg</v>
      </c>
      <c r="H434" s="11">
        <f t="shared" si="31"/>
        <v>368.73933333333326</v>
      </c>
      <c r="I434" s="9">
        <f t="shared" si="32"/>
        <v>30</v>
      </c>
      <c r="J434" s="12">
        <f>DATE(2025, MATCH(E434, {"January","February","March","April","May","June","July","August","September","October","November","December"},0),1)</f>
        <v>45748</v>
      </c>
      <c r="K434" s="13">
        <f t="shared" si="33"/>
        <v>11616.900000000001</v>
      </c>
      <c r="L434" s="13">
        <v>344.598422167065</v>
      </c>
      <c r="M434" s="14">
        <f t="shared" si="34"/>
        <v>5.3658593531523142E-2</v>
      </c>
    </row>
    <row r="435" spans="1:13" ht="15.5" x14ac:dyDescent="0.35">
      <c r="A435" s="8" t="s">
        <v>67</v>
      </c>
      <c r="B435" s="9" t="s">
        <v>23</v>
      </c>
      <c r="C435" s="9" t="s">
        <v>29</v>
      </c>
      <c r="D435" s="10">
        <v>251.34</v>
      </c>
      <c r="E435" s="9" t="s">
        <v>35</v>
      </c>
      <c r="F435" s="9" t="s">
        <v>17</v>
      </c>
      <c r="G435" s="9" t="str">
        <f t="shared" si="30"/>
        <v>Low Averg</v>
      </c>
      <c r="H435" s="11">
        <f t="shared" si="31"/>
        <v>226.566129032258</v>
      </c>
      <c r="I435" s="9">
        <f t="shared" si="32"/>
        <v>31</v>
      </c>
      <c r="J435" s="12">
        <f>DATE(2025, MATCH(E435, {"January","February","March","April","May","June","July","August","September","October","November","December"},0),1)</f>
        <v>45778</v>
      </c>
      <c r="K435" s="13">
        <f t="shared" si="33"/>
        <v>7791.54</v>
      </c>
      <c r="L435" s="13">
        <v>344.85392620694898</v>
      </c>
      <c r="M435" s="14">
        <f t="shared" si="34"/>
        <v>7.1838738332574606E-2</v>
      </c>
    </row>
    <row r="436" spans="1:13" ht="15.5" x14ac:dyDescent="0.35">
      <c r="A436" s="8" t="s">
        <v>41</v>
      </c>
      <c r="B436" s="9" t="s">
        <v>32</v>
      </c>
      <c r="C436" s="9" t="s">
        <v>69</v>
      </c>
      <c r="D436" s="10">
        <v>65.959999999999994</v>
      </c>
      <c r="E436" s="9" t="s">
        <v>63</v>
      </c>
      <c r="F436" s="9" t="s">
        <v>17</v>
      </c>
      <c r="G436" s="9" t="str">
        <f t="shared" si="30"/>
        <v>Low Averg</v>
      </c>
      <c r="H436" s="11">
        <f t="shared" si="31"/>
        <v>70.278611111111118</v>
      </c>
      <c r="I436" s="9">
        <f t="shared" si="32"/>
        <v>36</v>
      </c>
      <c r="J436" s="12">
        <f>DATE(2025, MATCH(E436, {"January","February","March","April","May","June","July","August","September","October","November","December"},0),1)</f>
        <v>45717</v>
      </c>
      <c r="K436" s="13">
        <f t="shared" si="33"/>
        <v>2374.56</v>
      </c>
      <c r="L436" s="13">
        <v>345.08138000449497</v>
      </c>
      <c r="M436" s="14">
        <f t="shared" si="34"/>
        <v>-1.2514761332688744E-2</v>
      </c>
    </row>
    <row r="437" spans="1:13" ht="15.5" x14ac:dyDescent="0.35">
      <c r="A437" s="8" t="s">
        <v>80</v>
      </c>
      <c r="B437" s="9" t="s">
        <v>19</v>
      </c>
      <c r="C437" s="9" t="s">
        <v>20</v>
      </c>
      <c r="D437" s="10">
        <v>744.38</v>
      </c>
      <c r="E437" s="9" t="s">
        <v>55</v>
      </c>
      <c r="F437" s="9" t="s">
        <v>26</v>
      </c>
      <c r="G437" s="9" t="str">
        <f t="shared" si="30"/>
        <v>Above Averg</v>
      </c>
      <c r="H437" s="11">
        <f t="shared" si="31"/>
        <v>720.27689655172423</v>
      </c>
      <c r="I437" s="9">
        <f t="shared" si="32"/>
        <v>29</v>
      </c>
      <c r="J437" s="12">
        <f>DATE(2025, MATCH(E437, {"January","February","March","April","May","June","July","August","September","October","November","December"},0),1)</f>
        <v>45962</v>
      </c>
      <c r="K437" s="13">
        <f t="shared" si="33"/>
        <v>21587.02</v>
      </c>
      <c r="L437" s="13">
        <v>345.14111362247701</v>
      </c>
      <c r="M437" s="14">
        <f t="shared" si="34"/>
        <v>6.9835503499708435E-2</v>
      </c>
    </row>
    <row r="438" spans="1:13" ht="15.5" x14ac:dyDescent="0.35">
      <c r="A438" s="8" t="s">
        <v>67</v>
      </c>
      <c r="B438" s="9" t="s">
        <v>23</v>
      </c>
      <c r="C438" s="9" t="s">
        <v>49</v>
      </c>
      <c r="D438" s="10">
        <v>215.96</v>
      </c>
      <c r="E438" s="9" t="s">
        <v>72</v>
      </c>
      <c r="F438" s="9" t="s">
        <v>17</v>
      </c>
      <c r="G438" s="9" t="str">
        <f t="shared" si="30"/>
        <v>Low Averg</v>
      </c>
      <c r="H438" s="11">
        <f t="shared" si="31"/>
        <v>226.566129032258</v>
      </c>
      <c r="I438" s="9">
        <f t="shared" si="32"/>
        <v>31</v>
      </c>
      <c r="J438" s="12">
        <f>DATE(2025, MATCH(E438, {"January","February","March","April","May","June","July","August","September","October","November","December"},0),1)</f>
        <v>45901</v>
      </c>
      <c r="K438" s="13">
        <f t="shared" si="33"/>
        <v>6694.76</v>
      </c>
      <c r="L438" s="13">
        <v>345.09283038202602</v>
      </c>
      <c r="M438" s="14">
        <f t="shared" si="34"/>
        <v>-3.0734133249064485E-2</v>
      </c>
    </row>
    <row r="439" spans="1:13" ht="15.5" x14ac:dyDescent="0.35">
      <c r="A439" s="8" t="s">
        <v>66</v>
      </c>
      <c r="B439" s="9" t="s">
        <v>32</v>
      </c>
      <c r="C439" s="9" t="s">
        <v>29</v>
      </c>
      <c r="D439" s="10">
        <v>134.06</v>
      </c>
      <c r="E439" s="9" t="s">
        <v>16</v>
      </c>
      <c r="F439" s="9" t="s">
        <v>36</v>
      </c>
      <c r="G439" s="9" t="str">
        <f t="shared" si="30"/>
        <v>Low Averg</v>
      </c>
      <c r="H439" s="11">
        <f t="shared" si="31"/>
        <v>141.74161290322584</v>
      </c>
      <c r="I439" s="9">
        <f t="shared" si="32"/>
        <v>31</v>
      </c>
      <c r="J439" s="12">
        <f>DATE(2025, MATCH(E439, {"January","February","March","April","May","June","July","August","September","October","November","December"},0),1)</f>
        <v>45809</v>
      </c>
      <c r="K439" s="13">
        <f t="shared" si="33"/>
        <v>4155.8599999999997</v>
      </c>
      <c r="L439" s="13">
        <v>345.30082819914202</v>
      </c>
      <c r="M439" s="14">
        <f t="shared" si="34"/>
        <v>-2.2246146767987762E-2</v>
      </c>
    </row>
    <row r="440" spans="1:13" ht="15.5" x14ac:dyDescent="0.35">
      <c r="A440" s="8" t="s">
        <v>68</v>
      </c>
      <c r="B440" s="9" t="s">
        <v>28</v>
      </c>
      <c r="C440" s="9" t="s">
        <v>24</v>
      </c>
      <c r="D440" s="10">
        <v>87.96</v>
      </c>
      <c r="E440" s="9" t="s">
        <v>25</v>
      </c>
      <c r="F440" s="9" t="s">
        <v>17</v>
      </c>
      <c r="G440" s="9" t="str">
        <f t="shared" si="30"/>
        <v>Low Averg</v>
      </c>
      <c r="H440" s="11">
        <f t="shared" si="31"/>
        <v>102.25285714285715</v>
      </c>
      <c r="I440" s="9">
        <f t="shared" si="32"/>
        <v>28</v>
      </c>
      <c r="J440" s="12">
        <f>DATE(2025, MATCH(E440, {"January","February","March","April","May","June","July","August","September","October","November","December"},0),1)</f>
        <v>45931</v>
      </c>
      <c r="K440" s="13">
        <f t="shared" si="33"/>
        <v>2462.8799999999997</v>
      </c>
      <c r="L440" s="13">
        <v>345.44038182294503</v>
      </c>
      <c r="M440" s="14">
        <f t="shared" si="34"/>
        <v>-4.1375756555824275E-2</v>
      </c>
    </row>
    <row r="441" spans="1:13" ht="15.5" x14ac:dyDescent="0.35">
      <c r="A441" s="8" t="s">
        <v>59</v>
      </c>
      <c r="B441" s="9" t="s">
        <v>60</v>
      </c>
      <c r="C441" s="9" t="s">
        <v>61</v>
      </c>
      <c r="D441" s="10">
        <v>220.89</v>
      </c>
      <c r="E441" s="9" t="s">
        <v>16</v>
      </c>
      <c r="F441" s="9" t="s">
        <v>30</v>
      </c>
      <c r="G441" s="9" t="str">
        <f t="shared" si="30"/>
        <v>Low Averg</v>
      </c>
      <c r="H441" s="11">
        <f t="shared" si="31"/>
        <v>203.25225806451613</v>
      </c>
      <c r="I441" s="9">
        <f t="shared" si="32"/>
        <v>31</v>
      </c>
      <c r="J441" s="12">
        <f>DATE(2025, MATCH(E441, {"January","February","March","April","May","June","July","August","September","October","November","December"},0),1)</f>
        <v>45809</v>
      </c>
      <c r="K441" s="13">
        <f t="shared" si="33"/>
        <v>6847.5899999999992</v>
      </c>
      <c r="L441" s="13">
        <v>345.52825955732999</v>
      </c>
      <c r="M441" s="14">
        <f t="shared" si="34"/>
        <v>5.1045729104994983E-2</v>
      </c>
    </row>
    <row r="442" spans="1:13" ht="15.5" x14ac:dyDescent="0.35">
      <c r="A442" s="8" t="s">
        <v>83</v>
      </c>
      <c r="B442" s="9" t="s">
        <v>23</v>
      </c>
      <c r="C442" s="9" t="s">
        <v>43</v>
      </c>
      <c r="D442" s="10">
        <v>144.68</v>
      </c>
      <c r="E442" s="9" t="s">
        <v>46</v>
      </c>
      <c r="F442" s="9" t="s">
        <v>40</v>
      </c>
      <c r="G442" s="9" t="str">
        <f t="shared" si="30"/>
        <v>Low Averg</v>
      </c>
      <c r="H442" s="11">
        <f t="shared" si="31"/>
        <v>132.90272727272728</v>
      </c>
      <c r="I442" s="9">
        <f t="shared" si="32"/>
        <v>22</v>
      </c>
      <c r="J442" s="12">
        <f>DATE(2025, MATCH(E442, {"January","February","March","April","May","June","July","August","September","October","November","December"},0),1)</f>
        <v>45870</v>
      </c>
      <c r="K442" s="13">
        <f t="shared" si="33"/>
        <v>3182.96</v>
      </c>
      <c r="L442" s="13">
        <v>345.740156600391</v>
      </c>
      <c r="M442" s="14">
        <f t="shared" si="34"/>
        <v>3.4063942248065179E-2</v>
      </c>
    </row>
    <row r="443" spans="1:13" ht="15.5" x14ac:dyDescent="0.35">
      <c r="A443" s="8" t="s">
        <v>81</v>
      </c>
      <c r="B443" s="9" t="s">
        <v>28</v>
      </c>
      <c r="C443" s="9" t="s">
        <v>34</v>
      </c>
      <c r="D443" s="10">
        <v>135.71</v>
      </c>
      <c r="E443" s="9" t="s">
        <v>72</v>
      </c>
      <c r="F443" s="9" t="s">
        <v>17</v>
      </c>
      <c r="G443" s="9" t="str">
        <f t="shared" si="30"/>
        <v>Low Averg</v>
      </c>
      <c r="H443" s="11">
        <f t="shared" si="31"/>
        <v>140.29840000000002</v>
      </c>
      <c r="I443" s="9">
        <f t="shared" si="32"/>
        <v>25</v>
      </c>
      <c r="J443" s="12">
        <f>DATE(2025, MATCH(E443, {"January","February","March","April","May","June","July","August","September","October","November","December"},0),1)</f>
        <v>45901</v>
      </c>
      <c r="K443" s="13">
        <f t="shared" si="33"/>
        <v>3392.75</v>
      </c>
      <c r="L443" s="13">
        <v>345.89045198252001</v>
      </c>
      <c r="M443" s="14">
        <f t="shared" si="34"/>
        <v>-1.3265471694002955E-2</v>
      </c>
    </row>
    <row r="444" spans="1:13" ht="15.5" x14ac:dyDescent="0.35">
      <c r="A444" s="8" t="s">
        <v>74</v>
      </c>
      <c r="B444" s="9" t="s">
        <v>38</v>
      </c>
      <c r="C444" s="9" t="s">
        <v>45</v>
      </c>
      <c r="D444" s="10">
        <v>419.19</v>
      </c>
      <c r="E444" s="9" t="s">
        <v>39</v>
      </c>
      <c r="F444" s="9" t="s">
        <v>36</v>
      </c>
      <c r="G444" s="9" t="str">
        <f t="shared" si="30"/>
        <v>Above Averg</v>
      </c>
      <c r="H444" s="11">
        <f t="shared" si="31"/>
        <v>368.73933333333326</v>
      </c>
      <c r="I444" s="9">
        <f t="shared" si="32"/>
        <v>30</v>
      </c>
      <c r="J444" s="12">
        <f>DATE(2025, MATCH(E444, {"January","February","March","April","May","June","July","August","September","October","November","December"},0),1)</f>
        <v>45992</v>
      </c>
      <c r="K444" s="13">
        <f t="shared" si="33"/>
        <v>12575.7</v>
      </c>
      <c r="L444" s="13">
        <v>346.03182063847902</v>
      </c>
      <c r="M444" s="14">
        <f t="shared" si="34"/>
        <v>0.14579776673017505</v>
      </c>
    </row>
    <row r="445" spans="1:13" ht="15.5" x14ac:dyDescent="0.35">
      <c r="A445" s="8" t="s">
        <v>18</v>
      </c>
      <c r="B445" s="9" t="s">
        <v>19</v>
      </c>
      <c r="C445" s="9" t="s">
        <v>69</v>
      </c>
      <c r="D445" s="10">
        <v>824.25</v>
      </c>
      <c r="E445" s="9" t="s">
        <v>25</v>
      </c>
      <c r="F445" s="9" t="s">
        <v>17</v>
      </c>
      <c r="G445" s="9" t="str">
        <f t="shared" si="30"/>
        <v>Above Averg</v>
      </c>
      <c r="H445" s="11">
        <f t="shared" si="31"/>
        <v>920.12567567567555</v>
      </c>
      <c r="I445" s="9">
        <f t="shared" si="32"/>
        <v>37</v>
      </c>
      <c r="J445" s="12">
        <f>DATE(2025, MATCH(E445, {"January","February","March","April","May","June","July","August","September","October","November","December"},0),1)</f>
        <v>45931</v>
      </c>
      <c r="K445" s="13">
        <f t="shared" si="33"/>
        <v>30497.25</v>
      </c>
      <c r="L445" s="13">
        <v>346.28778021377599</v>
      </c>
      <c r="M445" s="14">
        <f t="shared" si="34"/>
        <v>-0.27686704860474148</v>
      </c>
    </row>
    <row r="446" spans="1:13" ht="15.5" x14ac:dyDescent="0.35">
      <c r="A446" s="8" t="s">
        <v>75</v>
      </c>
      <c r="B446" s="9" t="s">
        <v>28</v>
      </c>
      <c r="C446" s="9" t="s">
        <v>24</v>
      </c>
      <c r="D446" s="10">
        <v>125.34</v>
      </c>
      <c r="E446" s="9" t="s">
        <v>25</v>
      </c>
      <c r="F446" s="9" t="s">
        <v>36</v>
      </c>
      <c r="G446" s="9" t="str">
        <f t="shared" si="30"/>
        <v>Low Averg</v>
      </c>
      <c r="H446" s="11">
        <f t="shared" si="31"/>
        <v>120.53625</v>
      </c>
      <c r="I446" s="9">
        <f t="shared" si="32"/>
        <v>24</v>
      </c>
      <c r="J446" s="12">
        <f>DATE(2025, MATCH(E446, {"January","February","March","April","May","June","July","August","September","October","November","December"},0),1)</f>
        <v>45931</v>
      </c>
      <c r="K446" s="13">
        <f t="shared" si="33"/>
        <v>3008.16</v>
      </c>
      <c r="L446" s="13">
        <v>346.09801727507602</v>
      </c>
      <c r="M446" s="14">
        <f t="shared" si="34"/>
        <v>1.3879738571810496E-2</v>
      </c>
    </row>
    <row r="447" spans="1:13" ht="15.5" x14ac:dyDescent="0.35">
      <c r="A447" s="8" t="s">
        <v>50</v>
      </c>
      <c r="B447" s="9" t="s">
        <v>32</v>
      </c>
      <c r="C447" s="9" t="s">
        <v>24</v>
      </c>
      <c r="D447" s="10">
        <v>89.68</v>
      </c>
      <c r="E447" s="9" t="s">
        <v>39</v>
      </c>
      <c r="F447" s="9" t="s">
        <v>36</v>
      </c>
      <c r="G447" s="9" t="str">
        <f t="shared" si="30"/>
        <v>Low Averg</v>
      </c>
      <c r="H447" s="11">
        <f t="shared" si="31"/>
        <v>81.934666666666672</v>
      </c>
      <c r="I447" s="9">
        <f t="shared" si="32"/>
        <v>30</v>
      </c>
      <c r="J447" s="12">
        <f>DATE(2025, MATCH(E447, {"January","February","March","April","May","June","July","August","September","October","November","December"},0),1)</f>
        <v>45992</v>
      </c>
      <c r="K447" s="13">
        <f t="shared" si="33"/>
        <v>2690.4</v>
      </c>
      <c r="L447" s="13">
        <v>346.22982777502602</v>
      </c>
      <c r="M447" s="14">
        <f t="shared" si="34"/>
        <v>2.2370497028251751E-2</v>
      </c>
    </row>
    <row r="448" spans="1:13" ht="15.5" x14ac:dyDescent="0.35">
      <c r="A448" s="8" t="s">
        <v>18</v>
      </c>
      <c r="B448" s="9" t="s">
        <v>19</v>
      </c>
      <c r="C448" s="9" t="s">
        <v>49</v>
      </c>
      <c r="D448" s="10">
        <v>960.71</v>
      </c>
      <c r="E448" s="9" t="s">
        <v>35</v>
      </c>
      <c r="F448" s="9" t="s">
        <v>26</v>
      </c>
      <c r="G448" s="9" t="str">
        <f t="shared" si="30"/>
        <v>Above Averg</v>
      </c>
      <c r="H448" s="11">
        <f t="shared" si="31"/>
        <v>920.12567567567555</v>
      </c>
      <c r="I448" s="9">
        <f t="shared" si="32"/>
        <v>37</v>
      </c>
      <c r="J448" s="12">
        <f>DATE(2025, MATCH(E448, {"January","February","March","April","May","June","July","August","September","October","November","December"},0),1)</f>
        <v>45778</v>
      </c>
      <c r="K448" s="13">
        <f t="shared" si="33"/>
        <v>35546.270000000004</v>
      </c>
      <c r="L448" s="13">
        <v>346.32058740785499</v>
      </c>
      <c r="M448" s="14">
        <f t="shared" si="34"/>
        <v>0.11718715490779968</v>
      </c>
    </row>
    <row r="449" spans="1:13" ht="15.5" x14ac:dyDescent="0.35">
      <c r="A449" s="8" t="s">
        <v>37</v>
      </c>
      <c r="B449" s="9" t="s">
        <v>38</v>
      </c>
      <c r="C449" s="9" t="s">
        <v>49</v>
      </c>
      <c r="D449" s="10">
        <v>1081.03</v>
      </c>
      <c r="E449" s="9" t="s">
        <v>55</v>
      </c>
      <c r="F449" s="9" t="s">
        <v>36</v>
      </c>
      <c r="G449" s="9" t="str">
        <f t="shared" si="30"/>
        <v>Above Averg</v>
      </c>
      <c r="H449" s="11">
        <f t="shared" si="31"/>
        <v>1024.1451428571424</v>
      </c>
      <c r="I449" s="9">
        <f t="shared" si="32"/>
        <v>35</v>
      </c>
      <c r="J449" s="12">
        <f>DATE(2025, MATCH(E449, {"January","February","March","April","May","June","July","August","September","October","November","December"},0),1)</f>
        <v>45962</v>
      </c>
      <c r="K449" s="13">
        <f t="shared" si="33"/>
        <v>37836.049999999996</v>
      </c>
      <c r="L449" s="13">
        <v>345.81656499344899</v>
      </c>
      <c r="M449" s="14">
        <f t="shared" si="34"/>
        <v>0.16449430970414947</v>
      </c>
    </row>
    <row r="450" spans="1:13" ht="15.5" x14ac:dyDescent="0.35">
      <c r="A450" s="8" t="s">
        <v>78</v>
      </c>
      <c r="B450" s="9" t="s">
        <v>28</v>
      </c>
      <c r="C450" s="9" t="s">
        <v>61</v>
      </c>
      <c r="D450" s="10">
        <v>281.57</v>
      </c>
      <c r="E450" s="9" t="s">
        <v>62</v>
      </c>
      <c r="F450" s="9" t="s">
        <v>30</v>
      </c>
      <c r="G450" s="9" t="str">
        <f t="shared" si="30"/>
        <v>Low Averg</v>
      </c>
      <c r="H450" s="11">
        <f t="shared" si="31"/>
        <v>309.01727272727271</v>
      </c>
      <c r="I450" s="9">
        <f t="shared" si="32"/>
        <v>22</v>
      </c>
      <c r="J450" s="12">
        <f>DATE(2025, MATCH(E450, {"January","February","March","April","May","June","July","August","September","October","November","December"},0),1)</f>
        <v>45689</v>
      </c>
      <c r="K450" s="13">
        <f t="shared" si="33"/>
        <v>6194.54</v>
      </c>
      <c r="L450" s="13">
        <v>344.961555259318</v>
      </c>
      <c r="M450" s="14">
        <f t="shared" si="34"/>
        <v>-7.9566178632977741E-2</v>
      </c>
    </row>
    <row r="451" spans="1:13" ht="15.5" x14ac:dyDescent="0.35">
      <c r="A451" s="8" t="s">
        <v>67</v>
      </c>
      <c r="B451" s="9" t="s">
        <v>23</v>
      </c>
      <c r="C451" s="9" t="s">
        <v>61</v>
      </c>
      <c r="D451" s="10">
        <v>227.84</v>
      </c>
      <c r="E451" s="9" t="s">
        <v>42</v>
      </c>
      <c r="F451" s="9" t="s">
        <v>17</v>
      </c>
      <c r="G451" s="9" t="str">
        <f t="shared" si="30"/>
        <v>Low Averg</v>
      </c>
      <c r="H451" s="11">
        <f t="shared" si="31"/>
        <v>226.566129032258</v>
      </c>
      <c r="I451" s="9">
        <f t="shared" si="32"/>
        <v>31</v>
      </c>
      <c r="J451" s="12">
        <f>DATE(2025, MATCH(E451, {"January","February","March","April","May","June","July","August","September","October","November","December"},0),1)</f>
        <v>45658</v>
      </c>
      <c r="K451" s="13">
        <f t="shared" si="33"/>
        <v>7063.04</v>
      </c>
      <c r="L451" s="13">
        <v>345.20786151225798</v>
      </c>
      <c r="M451" s="14">
        <f t="shared" si="34"/>
        <v>3.6901563080328783E-3</v>
      </c>
    </row>
    <row r="452" spans="1:13" ht="15.5" x14ac:dyDescent="0.35">
      <c r="A452" s="8" t="s">
        <v>51</v>
      </c>
      <c r="B452" s="9" t="s">
        <v>28</v>
      </c>
      <c r="C452" s="9" t="s">
        <v>61</v>
      </c>
      <c r="D452" s="10">
        <v>129.38</v>
      </c>
      <c r="E452" s="9" t="s">
        <v>39</v>
      </c>
      <c r="F452" s="9" t="s">
        <v>40</v>
      </c>
      <c r="G452" s="9" t="str">
        <f t="shared" si="30"/>
        <v>Low Averg</v>
      </c>
      <c r="H452" s="11">
        <f t="shared" si="31"/>
        <v>122.0377142857143</v>
      </c>
      <c r="I452" s="9">
        <f t="shared" si="32"/>
        <v>35</v>
      </c>
      <c r="J452" s="12">
        <f>DATE(2025, MATCH(E452, {"January","February","March","April","May","June","July","August","September","October","November","December"},0),1)</f>
        <v>45992</v>
      </c>
      <c r="K452" s="13">
        <f t="shared" si="33"/>
        <v>4528.3</v>
      </c>
      <c r="L452" s="13">
        <v>345.42771491025502</v>
      </c>
      <c r="M452" s="14">
        <f t="shared" si="34"/>
        <v>2.125563583163349E-2</v>
      </c>
    </row>
    <row r="453" spans="1:13" ht="15.5" x14ac:dyDescent="0.35">
      <c r="A453" s="8" t="s">
        <v>76</v>
      </c>
      <c r="B453" s="9" t="s">
        <v>60</v>
      </c>
      <c r="C453" s="9" t="s">
        <v>15</v>
      </c>
      <c r="D453" s="10">
        <v>312.02</v>
      </c>
      <c r="E453" s="9" t="s">
        <v>62</v>
      </c>
      <c r="F453" s="9" t="s">
        <v>30</v>
      </c>
      <c r="G453" s="9" t="str">
        <f t="shared" si="30"/>
        <v>Low Averg</v>
      </c>
      <c r="H453" s="11">
        <f t="shared" si="31"/>
        <v>304.90820512820511</v>
      </c>
      <c r="I453" s="9">
        <f t="shared" si="32"/>
        <v>39</v>
      </c>
      <c r="J453" s="12">
        <f>DATE(2025, MATCH(E453, {"January","February","March","April","May","June","July","August","September","October","November","December"},0),1)</f>
        <v>45689</v>
      </c>
      <c r="K453" s="13">
        <f t="shared" si="33"/>
        <v>12168.779999999999</v>
      </c>
      <c r="L453" s="13">
        <v>345.56518590986701</v>
      </c>
      <c r="M453" s="14">
        <f t="shared" si="34"/>
        <v>2.0580183310623845E-2</v>
      </c>
    </row>
    <row r="454" spans="1:13" ht="15.5" x14ac:dyDescent="0.35">
      <c r="A454" s="8" t="s">
        <v>66</v>
      </c>
      <c r="B454" s="9" t="s">
        <v>32</v>
      </c>
      <c r="C454" s="9" t="s">
        <v>24</v>
      </c>
      <c r="D454" s="10">
        <v>129.29</v>
      </c>
      <c r="E454" s="9" t="s">
        <v>63</v>
      </c>
      <c r="F454" s="9" t="s">
        <v>30</v>
      </c>
      <c r="G454" s="9" t="str">
        <f t="shared" si="30"/>
        <v>Low Averg</v>
      </c>
      <c r="H454" s="11">
        <f t="shared" si="31"/>
        <v>141.74161290322584</v>
      </c>
      <c r="I454" s="9">
        <f t="shared" si="32"/>
        <v>31</v>
      </c>
      <c r="J454" s="12">
        <f>DATE(2025, MATCH(E454, {"January","February","March","April","May","June","July","August","September","October","November","December"},0),1)</f>
        <v>45717</v>
      </c>
      <c r="K454" s="13">
        <f t="shared" si="33"/>
        <v>4007.99</v>
      </c>
      <c r="L454" s="13">
        <v>345.82255406682901</v>
      </c>
      <c r="M454" s="14">
        <f t="shared" si="34"/>
        <v>-3.6005786079584677E-2</v>
      </c>
    </row>
    <row r="455" spans="1:13" ht="15.5" x14ac:dyDescent="0.35">
      <c r="A455" s="8" t="s">
        <v>58</v>
      </c>
      <c r="B455" s="9" t="s">
        <v>23</v>
      </c>
      <c r="C455" s="9" t="s">
        <v>49</v>
      </c>
      <c r="D455" s="10">
        <v>111.54</v>
      </c>
      <c r="E455" s="9" t="s">
        <v>55</v>
      </c>
      <c r="F455" s="9" t="s">
        <v>30</v>
      </c>
      <c r="G455" s="9" t="str">
        <f t="shared" si="30"/>
        <v>Low Averg</v>
      </c>
      <c r="H455" s="11">
        <f t="shared" si="31"/>
        <v>121.60903225806452</v>
      </c>
      <c r="I455" s="9">
        <f t="shared" si="32"/>
        <v>31</v>
      </c>
      <c r="J455" s="12">
        <f>DATE(2025, MATCH(E455, {"January","February","March","April","May","June","July","August","September","October","November","December"},0),1)</f>
        <v>45962</v>
      </c>
      <c r="K455" s="13">
        <f t="shared" si="33"/>
        <v>3457.7400000000002</v>
      </c>
      <c r="L455" s="13">
        <v>345.960318438645</v>
      </c>
      <c r="M455" s="14">
        <f t="shared" si="34"/>
        <v>-2.9104587206726779E-2</v>
      </c>
    </row>
    <row r="456" spans="1:13" ht="15.5" x14ac:dyDescent="0.35">
      <c r="A456" s="8" t="s">
        <v>41</v>
      </c>
      <c r="B456" s="9" t="s">
        <v>32</v>
      </c>
      <c r="C456" s="9" t="s">
        <v>34</v>
      </c>
      <c r="D456" s="10">
        <v>59.32</v>
      </c>
      <c r="E456" s="9" t="s">
        <v>46</v>
      </c>
      <c r="F456" s="9" t="s">
        <v>26</v>
      </c>
      <c r="G456" s="9" t="str">
        <f t="shared" ref="G456:G519" si="35">IF(D456&gt;AVERAGE(D:D),"Above Averg","Low Averg")</f>
        <v>Low Averg</v>
      </c>
      <c r="H456" s="11">
        <f t="shared" ref="H456:H519" si="36">AVERAGEIF(A:A,A456,D:D)</f>
        <v>70.278611111111118</v>
      </c>
      <c r="I456" s="9">
        <f t="shared" ref="I456:I519" si="37">COUNTIF(A:A,A456)</f>
        <v>36</v>
      </c>
      <c r="J456" s="12">
        <f>DATE(2025, MATCH(E456, {"January","February","March","April","May","June","July","August","September","October","November","December"},0),1)</f>
        <v>45870</v>
      </c>
      <c r="K456" s="13">
        <f t="shared" ref="K456:K519" si="38">1*(D456*I456)</f>
        <v>2135.52</v>
      </c>
      <c r="L456" s="13">
        <v>346.078432008596</v>
      </c>
      <c r="M456" s="14">
        <f t="shared" ref="M456:M519" si="39">(D456-H456)/L456</f>
        <v>-3.166510853481596E-2</v>
      </c>
    </row>
    <row r="457" spans="1:13" ht="15.5" x14ac:dyDescent="0.35">
      <c r="A457" s="8" t="s">
        <v>31</v>
      </c>
      <c r="B457" s="9" t="s">
        <v>32</v>
      </c>
      <c r="C457" s="9" t="s">
        <v>43</v>
      </c>
      <c r="D457" s="10">
        <v>111.59</v>
      </c>
      <c r="E457" s="9" t="s">
        <v>46</v>
      </c>
      <c r="F457" s="9" t="s">
        <v>26</v>
      </c>
      <c r="G457" s="9" t="str">
        <f t="shared" si="35"/>
        <v>Low Averg</v>
      </c>
      <c r="H457" s="11">
        <f t="shared" si="36"/>
        <v>123.43305555555558</v>
      </c>
      <c r="I457" s="9">
        <f t="shared" si="37"/>
        <v>36</v>
      </c>
      <c r="J457" s="12">
        <f>DATE(2025, MATCH(E457, {"January","February","March","April","May","June","July","August","September","October","November","December"},0),1)</f>
        <v>45870</v>
      </c>
      <c r="K457" s="13">
        <f t="shared" si="38"/>
        <v>4017.2400000000002</v>
      </c>
      <c r="L457" s="13">
        <v>346.13037005316801</v>
      </c>
      <c r="M457" s="14">
        <f t="shared" si="39"/>
        <v>-3.4215592101139246E-2</v>
      </c>
    </row>
    <row r="458" spans="1:13" ht="15.5" x14ac:dyDescent="0.35">
      <c r="A458" s="8" t="s">
        <v>51</v>
      </c>
      <c r="B458" s="9" t="s">
        <v>28</v>
      </c>
      <c r="C458" s="9" t="s">
        <v>24</v>
      </c>
      <c r="D458" s="10">
        <v>115.24</v>
      </c>
      <c r="E458" s="9" t="s">
        <v>39</v>
      </c>
      <c r="F458" s="9" t="s">
        <v>26</v>
      </c>
      <c r="G458" s="9" t="str">
        <f t="shared" si="35"/>
        <v>Low Averg</v>
      </c>
      <c r="H458" s="11">
        <f t="shared" si="36"/>
        <v>122.0377142857143</v>
      </c>
      <c r="I458" s="9">
        <f t="shared" si="37"/>
        <v>35</v>
      </c>
      <c r="J458" s="12">
        <f>DATE(2025, MATCH(E458, {"January","February","March","April","May","June","July","August","September","October","November","December"},0),1)</f>
        <v>45992</v>
      </c>
      <c r="K458" s="13">
        <f t="shared" si="38"/>
        <v>4033.3999999999996</v>
      </c>
      <c r="L458" s="13">
        <v>346.24810549482999</v>
      </c>
      <c r="M458" s="14">
        <f t="shared" si="39"/>
        <v>-1.9632495247878856E-2</v>
      </c>
    </row>
    <row r="459" spans="1:13" ht="15.5" x14ac:dyDescent="0.35">
      <c r="A459" s="8" t="s">
        <v>56</v>
      </c>
      <c r="B459" s="9" t="s">
        <v>19</v>
      </c>
      <c r="C459" s="9" t="s">
        <v>43</v>
      </c>
      <c r="D459" s="10">
        <v>496.31</v>
      </c>
      <c r="E459" s="9" t="s">
        <v>63</v>
      </c>
      <c r="F459" s="9" t="s">
        <v>17</v>
      </c>
      <c r="G459" s="9" t="str">
        <f t="shared" si="35"/>
        <v>Above Averg</v>
      </c>
      <c r="H459" s="11">
        <f t="shared" si="36"/>
        <v>533.4588235294118</v>
      </c>
      <c r="I459" s="9">
        <f t="shared" si="37"/>
        <v>34</v>
      </c>
      <c r="J459" s="12">
        <f>DATE(2025, MATCH(E459, {"January","February","March","April","May","June","July","August","September","October","November","December"},0),1)</f>
        <v>45717</v>
      </c>
      <c r="K459" s="13">
        <f t="shared" si="38"/>
        <v>16874.54</v>
      </c>
      <c r="L459" s="13">
        <v>346.36989110251398</v>
      </c>
      <c r="M459" s="14">
        <f t="shared" si="39"/>
        <v>-0.10725188442668934</v>
      </c>
    </row>
    <row r="460" spans="1:13" ht="15.5" x14ac:dyDescent="0.35">
      <c r="A460" s="8" t="s">
        <v>18</v>
      </c>
      <c r="B460" s="9" t="s">
        <v>19</v>
      </c>
      <c r="C460" s="9" t="s">
        <v>29</v>
      </c>
      <c r="D460" s="10">
        <v>861</v>
      </c>
      <c r="E460" s="9" t="s">
        <v>46</v>
      </c>
      <c r="F460" s="9" t="s">
        <v>17</v>
      </c>
      <c r="G460" s="9" t="str">
        <f t="shared" si="35"/>
        <v>Above Averg</v>
      </c>
      <c r="H460" s="11">
        <f t="shared" si="36"/>
        <v>920.12567567567555</v>
      </c>
      <c r="I460" s="9">
        <f t="shared" si="37"/>
        <v>37</v>
      </c>
      <c r="J460" s="12">
        <f>DATE(2025, MATCH(E460, {"January","February","March","April","May","June","July","August","September","October","November","December"},0),1)</f>
        <v>45870</v>
      </c>
      <c r="K460" s="13">
        <f t="shared" si="38"/>
        <v>31857</v>
      </c>
      <c r="L460" s="13">
        <v>346.60230587354602</v>
      </c>
      <c r="M460" s="14">
        <f t="shared" si="39"/>
        <v>-0.17058650411069942</v>
      </c>
    </row>
    <row r="461" spans="1:13" ht="15.5" x14ac:dyDescent="0.35">
      <c r="A461" s="8" t="s">
        <v>83</v>
      </c>
      <c r="B461" s="9" t="s">
        <v>23</v>
      </c>
      <c r="C461" s="9" t="s">
        <v>61</v>
      </c>
      <c r="D461" s="10">
        <v>123.06</v>
      </c>
      <c r="E461" s="9" t="s">
        <v>39</v>
      </c>
      <c r="F461" s="9" t="s">
        <v>40</v>
      </c>
      <c r="G461" s="9" t="str">
        <f t="shared" si="35"/>
        <v>Low Averg</v>
      </c>
      <c r="H461" s="11">
        <f t="shared" si="36"/>
        <v>132.90272727272728</v>
      </c>
      <c r="I461" s="9">
        <f t="shared" si="37"/>
        <v>22</v>
      </c>
      <c r="J461" s="12">
        <f>DATE(2025, MATCH(E461, {"January","February","March","April","May","June","July","August","September","October","November","December"},0),1)</f>
        <v>45992</v>
      </c>
      <c r="K461" s="13">
        <f t="shared" si="38"/>
        <v>2707.32</v>
      </c>
      <c r="L461" s="13">
        <v>346.33268961884198</v>
      </c>
      <c r="M461" s="14">
        <f t="shared" si="39"/>
        <v>-2.8419862079897027E-2</v>
      </c>
    </row>
    <row r="462" spans="1:13" ht="15.5" x14ac:dyDescent="0.35">
      <c r="A462" s="8" t="s">
        <v>67</v>
      </c>
      <c r="B462" s="9" t="s">
        <v>23</v>
      </c>
      <c r="C462" s="9" t="s">
        <v>34</v>
      </c>
      <c r="D462" s="10">
        <v>231.54</v>
      </c>
      <c r="E462" s="9" t="s">
        <v>62</v>
      </c>
      <c r="F462" s="9" t="s">
        <v>17</v>
      </c>
      <c r="G462" s="9" t="str">
        <f t="shared" si="35"/>
        <v>Low Averg</v>
      </c>
      <c r="H462" s="11">
        <f t="shared" si="36"/>
        <v>226.566129032258</v>
      </c>
      <c r="I462" s="9">
        <f t="shared" si="37"/>
        <v>31</v>
      </c>
      <c r="J462" s="12">
        <f>DATE(2025, MATCH(E462, {"January","February","March","April","May","June","July","August","September","October","November","December"},0),1)</f>
        <v>45689</v>
      </c>
      <c r="K462" s="13">
        <f t="shared" si="38"/>
        <v>7177.74</v>
      </c>
      <c r="L462" s="13">
        <v>346.46456737982697</v>
      </c>
      <c r="M462" s="14">
        <f t="shared" si="39"/>
        <v>1.4356074000170884E-2</v>
      </c>
    </row>
    <row r="463" spans="1:13" ht="15.5" x14ac:dyDescent="0.35">
      <c r="A463" s="8" t="s">
        <v>81</v>
      </c>
      <c r="B463" s="9" t="s">
        <v>28</v>
      </c>
      <c r="C463" s="9" t="s">
        <v>34</v>
      </c>
      <c r="D463" s="10">
        <v>144.85</v>
      </c>
      <c r="E463" s="9" t="s">
        <v>39</v>
      </c>
      <c r="F463" s="9" t="s">
        <v>36</v>
      </c>
      <c r="G463" s="9" t="str">
        <f t="shared" si="35"/>
        <v>Low Averg</v>
      </c>
      <c r="H463" s="11">
        <f t="shared" si="36"/>
        <v>140.29840000000002</v>
      </c>
      <c r="I463" s="9">
        <f t="shared" si="37"/>
        <v>25</v>
      </c>
      <c r="J463" s="12">
        <f>DATE(2025, MATCH(E463, {"January","February","March","April","May","June","July","August","September","October","November","December"},0),1)</f>
        <v>45992</v>
      </c>
      <c r="K463" s="13">
        <f t="shared" si="38"/>
        <v>3621.25</v>
      </c>
      <c r="L463" s="13">
        <v>346.69029522784098</v>
      </c>
      <c r="M463" s="14">
        <f t="shared" si="39"/>
        <v>1.3128720540067956E-2</v>
      </c>
    </row>
    <row r="464" spans="1:13" ht="15.5" x14ac:dyDescent="0.35">
      <c r="A464" s="8" t="s">
        <v>22</v>
      </c>
      <c r="B464" s="9" t="s">
        <v>23</v>
      </c>
      <c r="C464" s="9" t="s">
        <v>45</v>
      </c>
      <c r="D464" s="10">
        <v>253.99</v>
      </c>
      <c r="E464" s="9" t="s">
        <v>35</v>
      </c>
      <c r="F464" s="9" t="s">
        <v>26</v>
      </c>
      <c r="G464" s="9" t="str">
        <f t="shared" si="35"/>
        <v>Low Averg</v>
      </c>
      <c r="H464" s="11">
        <f t="shared" si="36"/>
        <v>257.40029411764709</v>
      </c>
      <c r="I464" s="9">
        <f t="shared" si="37"/>
        <v>34</v>
      </c>
      <c r="J464" s="12">
        <f>DATE(2025, MATCH(E464, {"January","February","March","April","May","June","July","August","September","October","November","December"},0),1)</f>
        <v>45778</v>
      </c>
      <c r="K464" s="13">
        <f t="shared" si="38"/>
        <v>8635.66</v>
      </c>
      <c r="L464" s="13">
        <v>346.84548499612998</v>
      </c>
      <c r="M464" s="14">
        <f t="shared" si="39"/>
        <v>-9.8323151523368821E-3</v>
      </c>
    </row>
    <row r="465" spans="1:13" ht="15.5" x14ac:dyDescent="0.35">
      <c r="A465" s="8" t="s">
        <v>51</v>
      </c>
      <c r="B465" s="9" t="s">
        <v>28</v>
      </c>
      <c r="C465" s="9" t="s">
        <v>20</v>
      </c>
      <c r="D465" s="10">
        <v>128.33000000000001</v>
      </c>
      <c r="E465" s="9" t="s">
        <v>57</v>
      </c>
      <c r="F465" s="9" t="s">
        <v>30</v>
      </c>
      <c r="G465" s="9" t="str">
        <f t="shared" si="35"/>
        <v>Low Averg</v>
      </c>
      <c r="H465" s="11">
        <f t="shared" si="36"/>
        <v>122.0377142857143</v>
      </c>
      <c r="I465" s="9">
        <f t="shared" si="37"/>
        <v>35</v>
      </c>
      <c r="J465" s="12">
        <f>DATE(2025, MATCH(E465, {"January","February","March","April","May","June","July","August","September","October","November","December"},0),1)</f>
        <v>45839</v>
      </c>
      <c r="K465" s="13">
        <f t="shared" si="38"/>
        <v>4491.55</v>
      </c>
      <c r="L465" s="13">
        <v>347.08482939885101</v>
      </c>
      <c r="M465" s="14">
        <f t="shared" si="39"/>
        <v>1.8128956328007522E-2</v>
      </c>
    </row>
    <row r="466" spans="1:13" ht="15.5" x14ac:dyDescent="0.35">
      <c r="A466" s="8" t="s">
        <v>74</v>
      </c>
      <c r="B466" s="9" t="s">
        <v>38</v>
      </c>
      <c r="C466" s="9" t="s">
        <v>69</v>
      </c>
      <c r="D466" s="10">
        <v>397.39</v>
      </c>
      <c r="E466" s="9" t="s">
        <v>55</v>
      </c>
      <c r="F466" s="9" t="s">
        <v>40</v>
      </c>
      <c r="G466" s="9" t="str">
        <f t="shared" si="35"/>
        <v>Above Averg</v>
      </c>
      <c r="H466" s="11">
        <f t="shared" si="36"/>
        <v>368.73933333333326</v>
      </c>
      <c r="I466" s="9">
        <f t="shared" si="37"/>
        <v>30</v>
      </c>
      <c r="J466" s="12">
        <f>DATE(2025, MATCH(E466, {"January","February","March","April","May","June","July","August","September","October","November","December"},0),1)</f>
        <v>45962</v>
      </c>
      <c r="K466" s="13">
        <f t="shared" si="38"/>
        <v>11921.699999999999</v>
      </c>
      <c r="L466" s="13">
        <v>347.22297344128401</v>
      </c>
      <c r="M466" s="14">
        <f t="shared" si="39"/>
        <v>8.2513741480621239E-2</v>
      </c>
    </row>
    <row r="467" spans="1:13" ht="15.5" x14ac:dyDescent="0.35">
      <c r="A467" s="8" t="s">
        <v>41</v>
      </c>
      <c r="B467" s="9" t="s">
        <v>32</v>
      </c>
      <c r="C467" s="9" t="s">
        <v>20</v>
      </c>
      <c r="D467" s="10">
        <v>79.63</v>
      </c>
      <c r="E467" s="9" t="s">
        <v>55</v>
      </c>
      <c r="F467" s="9" t="s">
        <v>30</v>
      </c>
      <c r="G467" s="9" t="str">
        <f t="shared" si="35"/>
        <v>Low Averg</v>
      </c>
      <c r="H467" s="11">
        <f t="shared" si="36"/>
        <v>70.278611111111118</v>
      </c>
      <c r="I467" s="9">
        <f t="shared" si="37"/>
        <v>36</v>
      </c>
      <c r="J467" s="12">
        <f>DATE(2025, MATCH(E467, {"January","February","March","April","May","June","July","August","September","October","November","December"},0),1)</f>
        <v>45962</v>
      </c>
      <c r="K467" s="13">
        <f t="shared" si="38"/>
        <v>2866.68</v>
      </c>
      <c r="L467" s="13">
        <v>347.49261342227999</v>
      </c>
      <c r="M467" s="14">
        <f t="shared" si="39"/>
        <v>2.6911043652962149E-2</v>
      </c>
    </row>
    <row r="468" spans="1:13" ht="15.5" x14ac:dyDescent="0.35">
      <c r="A468" s="8" t="s">
        <v>70</v>
      </c>
      <c r="B468" s="9" t="s">
        <v>71</v>
      </c>
      <c r="C468" s="9" t="s">
        <v>34</v>
      </c>
      <c r="D468" s="10">
        <v>930.03</v>
      </c>
      <c r="E468" s="9" t="s">
        <v>46</v>
      </c>
      <c r="F468" s="9" t="s">
        <v>30</v>
      </c>
      <c r="G468" s="9" t="str">
        <f t="shared" si="35"/>
        <v>Above Averg</v>
      </c>
      <c r="H468" s="11">
        <f t="shared" si="36"/>
        <v>911.5772916666665</v>
      </c>
      <c r="I468" s="9">
        <f t="shared" si="37"/>
        <v>48</v>
      </c>
      <c r="J468" s="12">
        <f>DATE(2025, MATCH(E468, {"January","February","March","April","May","June","July","August","September","October","November","December"},0),1)</f>
        <v>45870</v>
      </c>
      <c r="K468" s="13">
        <f t="shared" si="38"/>
        <v>44641.440000000002</v>
      </c>
      <c r="L468" s="13">
        <v>347.57258120661203</v>
      </c>
      <c r="M468" s="14">
        <f t="shared" si="39"/>
        <v>5.3090230159335831E-2</v>
      </c>
    </row>
    <row r="469" spans="1:13" ht="15.5" x14ac:dyDescent="0.35">
      <c r="A469" s="8" t="s">
        <v>70</v>
      </c>
      <c r="B469" s="9" t="s">
        <v>71</v>
      </c>
      <c r="C469" s="9" t="s">
        <v>34</v>
      </c>
      <c r="D469" s="10">
        <v>875.12</v>
      </c>
      <c r="E469" s="9" t="s">
        <v>21</v>
      </c>
      <c r="F469" s="9" t="s">
        <v>30</v>
      </c>
      <c r="G469" s="9" t="str">
        <f t="shared" si="35"/>
        <v>Above Averg</v>
      </c>
      <c r="H469" s="11">
        <f t="shared" si="36"/>
        <v>911.5772916666665</v>
      </c>
      <c r="I469" s="9">
        <f t="shared" si="37"/>
        <v>48</v>
      </c>
      <c r="J469" s="12">
        <f>DATE(2025, MATCH(E469, {"January","February","March","April","May","June","July","August","September","October","November","December"},0),1)</f>
        <v>45748</v>
      </c>
      <c r="K469" s="13">
        <f t="shared" si="38"/>
        <v>42005.760000000002</v>
      </c>
      <c r="L469" s="13">
        <v>347.14098570661002</v>
      </c>
      <c r="M469" s="14">
        <f t="shared" si="39"/>
        <v>-0.10502157096908968</v>
      </c>
    </row>
    <row r="470" spans="1:13" ht="15.5" x14ac:dyDescent="0.35">
      <c r="A470" s="8" t="s">
        <v>33</v>
      </c>
      <c r="B470" s="9" t="s">
        <v>19</v>
      </c>
      <c r="C470" s="9" t="s">
        <v>15</v>
      </c>
      <c r="D470" s="10">
        <v>1104.78</v>
      </c>
      <c r="E470" s="9" t="s">
        <v>72</v>
      </c>
      <c r="F470" s="9" t="s">
        <v>40</v>
      </c>
      <c r="G470" s="9" t="str">
        <f t="shared" si="35"/>
        <v>Above Averg</v>
      </c>
      <c r="H470" s="11">
        <f t="shared" si="36"/>
        <v>1113.4854166666667</v>
      </c>
      <c r="I470" s="9">
        <f t="shared" si="37"/>
        <v>24</v>
      </c>
      <c r="J470" s="12">
        <f>DATE(2025, MATCH(E470, {"January","February","March","April","May","June","July","August","September","October","November","December"},0),1)</f>
        <v>45901</v>
      </c>
      <c r="K470" s="13">
        <f t="shared" si="38"/>
        <v>26514.720000000001</v>
      </c>
      <c r="L470" s="13">
        <v>346.83764390467798</v>
      </c>
      <c r="M470" s="14">
        <f t="shared" si="39"/>
        <v>-2.5099399732571141E-2</v>
      </c>
    </row>
    <row r="471" spans="1:13" ht="15.5" x14ac:dyDescent="0.35">
      <c r="A471" s="8" t="s">
        <v>56</v>
      </c>
      <c r="B471" s="9" t="s">
        <v>19</v>
      </c>
      <c r="C471" s="9" t="s">
        <v>24</v>
      </c>
      <c r="D471" s="10">
        <v>490.55</v>
      </c>
      <c r="E471" s="9" t="s">
        <v>16</v>
      </c>
      <c r="F471" s="9" t="s">
        <v>40</v>
      </c>
      <c r="G471" s="9" t="str">
        <f t="shared" si="35"/>
        <v>Above Averg</v>
      </c>
      <c r="H471" s="11">
        <f t="shared" si="36"/>
        <v>533.4588235294118</v>
      </c>
      <c r="I471" s="9">
        <f t="shared" si="37"/>
        <v>34</v>
      </c>
      <c r="J471" s="12">
        <f>DATE(2025, MATCH(E471, {"January","February","March","April","May","June","July","August","September","October","November","December"},0),1)</f>
        <v>45809</v>
      </c>
      <c r="K471" s="13">
        <f t="shared" si="38"/>
        <v>16678.7</v>
      </c>
      <c r="L471" s="13">
        <v>345.883782458491</v>
      </c>
      <c r="M471" s="14">
        <f t="shared" si="39"/>
        <v>-0.1240556097323274</v>
      </c>
    </row>
    <row r="472" spans="1:13" ht="15.5" x14ac:dyDescent="0.35">
      <c r="A472" s="8" t="s">
        <v>80</v>
      </c>
      <c r="B472" s="9" t="s">
        <v>19</v>
      </c>
      <c r="C472" s="9" t="s">
        <v>43</v>
      </c>
      <c r="D472" s="10">
        <v>720.63</v>
      </c>
      <c r="E472" s="9" t="s">
        <v>46</v>
      </c>
      <c r="F472" s="9" t="s">
        <v>36</v>
      </c>
      <c r="G472" s="9" t="str">
        <f t="shared" si="35"/>
        <v>Above Averg</v>
      </c>
      <c r="H472" s="11">
        <f t="shared" si="36"/>
        <v>720.27689655172423</v>
      </c>
      <c r="I472" s="9">
        <f t="shared" si="37"/>
        <v>29</v>
      </c>
      <c r="J472" s="12">
        <f>DATE(2025, MATCH(E472, {"January","February","March","April","May","June","July","August","September","October","November","December"},0),1)</f>
        <v>45870</v>
      </c>
      <c r="K472" s="13">
        <f t="shared" si="38"/>
        <v>20898.27</v>
      </c>
      <c r="L472" s="13">
        <v>346.12235680875</v>
      </c>
      <c r="M472" s="14">
        <f t="shared" si="39"/>
        <v>1.0201694323688773E-3</v>
      </c>
    </row>
    <row r="473" spans="1:13" ht="15.5" x14ac:dyDescent="0.35">
      <c r="A473" s="8" t="s">
        <v>65</v>
      </c>
      <c r="B473" s="9" t="s">
        <v>23</v>
      </c>
      <c r="C473" s="9" t="s">
        <v>45</v>
      </c>
      <c r="D473" s="10">
        <v>135.27000000000001</v>
      </c>
      <c r="E473" s="9" t="s">
        <v>46</v>
      </c>
      <c r="F473" s="9" t="s">
        <v>17</v>
      </c>
      <c r="G473" s="9" t="str">
        <f t="shared" si="35"/>
        <v>Low Averg</v>
      </c>
      <c r="H473" s="11">
        <f t="shared" si="36"/>
        <v>151.26457142857143</v>
      </c>
      <c r="I473" s="9">
        <f t="shared" si="37"/>
        <v>35</v>
      </c>
      <c r="J473" s="12">
        <f>DATE(2025, MATCH(E473, {"January","February","March","April","May","June","July","August","September","October","November","December"},0),1)</f>
        <v>45870</v>
      </c>
      <c r="K473" s="13">
        <f t="shared" si="38"/>
        <v>4734.4500000000007</v>
      </c>
      <c r="L473" s="13">
        <v>346.11283221035001</v>
      </c>
      <c r="M473" s="14">
        <f t="shared" si="39"/>
        <v>-4.6212015100470821E-2</v>
      </c>
    </row>
    <row r="474" spans="1:13" ht="15.5" x14ac:dyDescent="0.35">
      <c r="A474" s="8" t="s">
        <v>27</v>
      </c>
      <c r="B474" s="9" t="s">
        <v>28</v>
      </c>
      <c r="C474" s="9" t="s">
        <v>45</v>
      </c>
      <c r="D474" s="10">
        <v>108.48</v>
      </c>
      <c r="E474" s="9" t="s">
        <v>72</v>
      </c>
      <c r="F474" s="9" t="s">
        <v>17</v>
      </c>
      <c r="G474" s="9" t="str">
        <f t="shared" si="35"/>
        <v>Low Averg</v>
      </c>
      <c r="H474" s="11">
        <f t="shared" si="36"/>
        <v>113.26108695652174</v>
      </c>
      <c r="I474" s="9">
        <f t="shared" si="37"/>
        <v>46</v>
      </c>
      <c r="J474" s="12">
        <f>DATE(2025, MATCH(E474, {"January","February","March","April","May","June","July","August","September","October","November","December"},0),1)</f>
        <v>45901</v>
      </c>
      <c r="K474" s="13">
        <f t="shared" si="38"/>
        <v>4990.08</v>
      </c>
      <c r="L474" s="13">
        <v>346.26212649923599</v>
      </c>
      <c r="M474" s="14">
        <f t="shared" si="39"/>
        <v>-1.380770979737018E-2</v>
      </c>
    </row>
    <row r="475" spans="1:13" ht="15.5" x14ac:dyDescent="0.35">
      <c r="A475" s="8" t="s">
        <v>31</v>
      </c>
      <c r="B475" s="9" t="s">
        <v>32</v>
      </c>
      <c r="C475" s="9" t="s">
        <v>69</v>
      </c>
      <c r="D475" s="10">
        <v>118.35</v>
      </c>
      <c r="E475" s="9" t="s">
        <v>25</v>
      </c>
      <c r="F475" s="9" t="s">
        <v>36</v>
      </c>
      <c r="G475" s="9" t="str">
        <f t="shared" si="35"/>
        <v>Low Averg</v>
      </c>
      <c r="H475" s="11">
        <f t="shared" si="36"/>
        <v>123.43305555555558</v>
      </c>
      <c r="I475" s="9">
        <f t="shared" si="37"/>
        <v>36</v>
      </c>
      <c r="J475" s="12">
        <f>DATE(2025, MATCH(E475, {"January","February","March","April","May","June","July","August","September","October","November","December"},0),1)</f>
        <v>45931</v>
      </c>
      <c r="K475" s="13">
        <f t="shared" si="38"/>
        <v>4260.5999999999995</v>
      </c>
      <c r="L475" s="13">
        <v>346.38119499366502</v>
      </c>
      <c r="M475" s="14">
        <f t="shared" si="39"/>
        <v>-1.4674744556062153E-2</v>
      </c>
    </row>
    <row r="476" spans="1:13" ht="15.5" x14ac:dyDescent="0.35">
      <c r="A476" s="8" t="s">
        <v>50</v>
      </c>
      <c r="B476" s="9" t="s">
        <v>32</v>
      </c>
      <c r="C476" s="9" t="s">
        <v>45</v>
      </c>
      <c r="D476" s="10">
        <v>70.75</v>
      </c>
      <c r="E476" s="9" t="s">
        <v>57</v>
      </c>
      <c r="F476" s="9" t="s">
        <v>26</v>
      </c>
      <c r="G476" s="9" t="str">
        <f t="shared" si="35"/>
        <v>Low Averg</v>
      </c>
      <c r="H476" s="11">
        <f t="shared" si="36"/>
        <v>81.934666666666672</v>
      </c>
      <c r="I476" s="9">
        <f t="shared" si="37"/>
        <v>30</v>
      </c>
      <c r="J476" s="12">
        <f>DATE(2025, MATCH(E476, {"January","February","March","April","May","June","July","August","September","October","November","December"},0),1)</f>
        <v>45839</v>
      </c>
      <c r="K476" s="13">
        <f t="shared" si="38"/>
        <v>2122.5</v>
      </c>
      <c r="L476" s="13">
        <v>346.51166607513301</v>
      </c>
      <c r="M476" s="14">
        <f t="shared" si="39"/>
        <v>-3.2277893536321912E-2</v>
      </c>
    </row>
    <row r="477" spans="1:13" ht="15.5" x14ac:dyDescent="0.35">
      <c r="A477" s="8" t="s">
        <v>33</v>
      </c>
      <c r="B477" s="9" t="s">
        <v>19</v>
      </c>
      <c r="C477" s="9" t="s">
        <v>61</v>
      </c>
      <c r="D477" s="10">
        <v>927.84</v>
      </c>
      <c r="E477" s="9" t="s">
        <v>46</v>
      </c>
      <c r="F477" s="9" t="s">
        <v>36</v>
      </c>
      <c r="G477" s="9" t="str">
        <f t="shared" si="35"/>
        <v>Above Averg</v>
      </c>
      <c r="H477" s="11">
        <f t="shared" si="36"/>
        <v>1113.4854166666667</v>
      </c>
      <c r="I477" s="9">
        <f t="shared" si="37"/>
        <v>24</v>
      </c>
      <c r="J477" s="12">
        <f>DATE(2025, MATCH(E477, {"January","February","March","April","May","June","July","August","September","October","November","December"},0),1)</f>
        <v>45870</v>
      </c>
      <c r="K477" s="13">
        <f t="shared" si="38"/>
        <v>22268.16</v>
      </c>
      <c r="L477" s="13">
        <v>346.58203358945599</v>
      </c>
      <c r="M477" s="14">
        <f t="shared" si="39"/>
        <v>-0.53564639443074258</v>
      </c>
    </row>
    <row r="478" spans="1:13" ht="15.5" x14ac:dyDescent="0.35">
      <c r="A478" s="8" t="s">
        <v>51</v>
      </c>
      <c r="B478" s="9" t="s">
        <v>28</v>
      </c>
      <c r="C478" s="9" t="s">
        <v>20</v>
      </c>
      <c r="D478" s="10">
        <v>123.77</v>
      </c>
      <c r="E478" s="9" t="s">
        <v>55</v>
      </c>
      <c r="F478" s="9" t="s">
        <v>26</v>
      </c>
      <c r="G478" s="9" t="str">
        <f t="shared" si="35"/>
        <v>Low Averg</v>
      </c>
      <c r="H478" s="11">
        <f t="shared" si="36"/>
        <v>122.0377142857143</v>
      </c>
      <c r="I478" s="9">
        <f t="shared" si="37"/>
        <v>35</v>
      </c>
      <c r="J478" s="12">
        <f>DATE(2025, MATCH(E478, {"January","February","March","April","May","June","July","August","September","October","November","December"},0),1)</f>
        <v>45962</v>
      </c>
      <c r="K478" s="13">
        <f t="shared" si="38"/>
        <v>4331.95</v>
      </c>
      <c r="L478" s="13">
        <v>346.14211963337902</v>
      </c>
      <c r="M478" s="14">
        <f t="shared" si="39"/>
        <v>5.0045504896094927E-3</v>
      </c>
    </row>
    <row r="479" spans="1:13" ht="15.5" x14ac:dyDescent="0.35">
      <c r="A479" s="8" t="s">
        <v>79</v>
      </c>
      <c r="B479" s="9" t="s">
        <v>32</v>
      </c>
      <c r="C479" s="9" t="s">
        <v>34</v>
      </c>
      <c r="D479" s="10">
        <v>93.97</v>
      </c>
      <c r="E479" s="9" t="s">
        <v>57</v>
      </c>
      <c r="F479" s="9" t="s">
        <v>40</v>
      </c>
      <c r="G479" s="9" t="str">
        <f t="shared" si="35"/>
        <v>Low Averg</v>
      </c>
      <c r="H479" s="11">
        <f t="shared" si="36"/>
        <v>90.269599999999997</v>
      </c>
      <c r="I479" s="9">
        <f t="shared" si="37"/>
        <v>25</v>
      </c>
      <c r="J479" s="12">
        <f>DATE(2025, MATCH(E479, {"January","February","March","April","May","June","July","August","September","October","November","December"},0),1)</f>
        <v>45839</v>
      </c>
      <c r="K479" s="13">
        <f t="shared" si="38"/>
        <v>2349.25</v>
      </c>
      <c r="L479" s="13">
        <v>346.27913033595098</v>
      </c>
      <c r="M479" s="14">
        <f t="shared" si="39"/>
        <v>1.0686176774239817E-2</v>
      </c>
    </row>
    <row r="480" spans="1:13" ht="15.5" x14ac:dyDescent="0.35">
      <c r="A480" s="8" t="s">
        <v>13</v>
      </c>
      <c r="B480" s="9" t="s">
        <v>14</v>
      </c>
      <c r="C480" s="9" t="s">
        <v>34</v>
      </c>
      <c r="D480" s="10">
        <v>206.71</v>
      </c>
      <c r="E480" s="9" t="s">
        <v>72</v>
      </c>
      <c r="F480" s="9" t="s">
        <v>26</v>
      </c>
      <c r="G480" s="9" t="str">
        <f t="shared" si="35"/>
        <v>Low Averg</v>
      </c>
      <c r="H480" s="11">
        <f t="shared" si="36"/>
        <v>206.78702702702708</v>
      </c>
      <c r="I480" s="9">
        <f t="shared" si="37"/>
        <v>37</v>
      </c>
      <c r="J480" s="12">
        <f>DATE(2025, MATCH(E480, {"January","February","March","April","May","June","July","August","September","October","November","December"},0),1)</f>
        <v>45901</v>
      </c>
      <c r="K480" s="13">
        <f t="shared" si="38"/>
        <v>7648.27</v>
      </c>
      <c r="L480" s="13">
        <v>346.38027931463603</v>
      </c>
      <c r="M480" s="14">
        <f t="shared" si="39"/>
        <v>-2.2237705674087638E-4</v>
      </c>
    </row>
    <row r="481" spans="1:13" ht="15.5" x14ac:dyDescent="0.35">
      <c r="A481" s="8" t="s">
        <v>68</v>
      </c>
      <c r="B481" s="9" t="s">
        <v>28</v>
      </c>
      <c r="C481" s="9" t="s">
        <v>20</v>
      </c>
      <c r="D481" s="10">
        <v>110.06</v>
      </c>
      <c r="E481" s="9" t="s">
        <v>42</v>
      </c>
      <c r="F481" s="9" t="s">
        <v>40</v>
      </c>
      <c r="G481" s="9" t="str">
        <f t="shared" si="35"/>
        <v>Low Averg</v>
      </c>
      <c r="H481" s="11">
        <f t="shared" si="36"/>
        <v>102.25285714285715</v>
      </c>
      <c r="I481" s="9">
        <f t="shared" si="37"/>
        <v>28</v>
      </c>
      <c r="J481" s="12">
        <f>DATE(2025, MATCH(E481, {"January","February","March","April","May","June","July","August","September","October","November","December"},0),1)</f>
        <v>45658</v>
      </c>
      <c r="K481" s="13">
        <f t="shared" si="38"/>
        <v>3081.6800000000003</v>
      </c>
      <c r="L481" s="13">
        <v>346.59541648287598</v>
      </c>
      <c r="M481" s="14">
        <f t="shared" si="39"/>
        <v>2.252523399289838E-2</v>
      </c>
    </row>
    <row r="482" spans="1:13" ht="15.5" x14ac:dyDescent="0.35">
      <c r="A482" s="8" t="s">
        <v>79</v>
      </c>
      <c r="B482" s="9" t="s">
        <v>32</v>
      </c>
      <c r="C482" s="9" t="s">
        <v>24</v>
      </c>
      <c r="D482" s="10">
        <v>86.92</v>
      </c>
      <c r="E482" s="9" t="s">
        <v>39</v>
      </c>
      <c r="F482" s="9" t="s">
        <v>30</v>
      </c>
      <c r="G482" s="9" t="str">
        <f t="shared" si="35"/>
        <v>Low Averg</v>
      </c>
      <c r="H482" s="11">
        <f t="shared" si="36"/>
        <v>90.269599999999997</v>
      </c>
      <c r="I482" s="9">
        <f t="shared" si="37"/>
        <v>25</v>
      </c>
      <c r="J482" s="12">
        <f>DATE(2025, MATCH(E482, {"January","February","March","April","May","June","July","August","September","October","November","December"},0),1)</f>
        <v>45992</v>
      </c>
      <c r="K482" s="13">
        <f t="shared" si="38"/>
        <v>2173</v>
      </c>
      <c r="L482" s="13">
        <v>346.71634815549402</v>
      </c>
      <c r="M482" s="14">
        <f t="shared" si="39"/>
        <v>-9.6609231662124553E-3</v>
      </c>
    </row>
    <row r="483" spans="1:13" ht="15.5" x14ac:dyDescent="0.35">
      <c r="A483" s="8" t="s">
        <v>18</v>
      </c>
      <c r="B483" s="9" t="s">
        <v>19</v>
      </c>
      <c r="C483" s="9" t="s">
        <v>29</v>
      </c>
      <c r="D483" s="10">
        <v>977.54</v>
      </c>
      <c r="E483" s="9" t="s">
        <v>16</v>
      </c>
      <c r="F483" s="9" t="s">
        <v>17</v>
      </c>
      <c r="G483" s="9" t="str">
        <f t="shared" si="35"/>
        <v>Above Averg</v>
      </c>
      <c r="H483" s="11">
        <f t="shared" si="36"/>
        <v>920.12567567567555</v>
      </c>
      <c r="I483" s="9">
        <f t="shared" si="37"/>
        <v>37</v>
      </c>
      <c r="J483" s="12">
        <f>DATE(2025, MATCH(E483, {"January","February","March","April","May","June","July","August","September","October","November","December"},0),1)</f>
        <v>45809</v>
      </c>
      <c r="K483" s="13">
        <f t="shared" si="38"/>
        <v>36168.979999999996</v>
      </c>
      <c r="L483" s="13">
        <v>346.80799256718899</v>
      </c>
      <c r="M483" s="14">
        <f t="shared" si="39"/>
        <v>0.1655507530242436</v>
      </c>
    </row>
    <row r="484" spans="1:13" ht="15.5" x14ac:dyDescent="0.35">
      <c r="A484" s="8" t="s">
        <v>33</v>
      </c>
      <c r="B484" s="9" t="s">
        <v>19</v>
      </c>
      <c r="C484" s="9" t="s">
        <v>45</v>
      </c>
      <c r="D484" s="10">
        <v>1018.52</v>
      </c>
      <c r="E484" s="9" t="s">
        <v>25</v>
      </c>
      <c r="F484" s="9" t="s">
        <v>30</v>
      </c>
      <c r="G484" s="9" t="str">
        <f t="shared" si="35"/>
        <v>Above Averg</v>
      </c>
      <c r="H484" s="11">
        <f t="shared" si="36"/>
        <v>1113.4854166666667</v>
      </c>
      <c r="I484" s="9">
        <f t="shared" si="37"/>
        <v>24</v>
      </c>
      <c r="J484" s="12">
        <f>DATE(2025, MATCH(E484, {"January","February","March","April","May","June","July","August","September","October","November","December"},0),1)</f>
        <v>45931</v>
      </c>
      <c r="K484" s="13">
        <f t="shared" si="38"/>
        <v>24444.48</v>
      </c>
      <c r="L484" s="13">
        <v>346.23303113594699</v>
      </c>
      <c r="M484" s="14">
        <f t="shared" si="39"/>
        <v>-0.27428179326246571</v>
      </c>
    </row>
    <row r="485" spans="1:13" ht="15.5" x14ac:dyDescent="0.35">
      <c r="A485" s="8" t="s">
        <v>66</v>
      </c>
      <c r="B485" s="9" t="s">
        <v>32</v>
      </c>
      <c r="C485" s="9" t="s">
        <v>61</v>
      </c>
      <c r="D485" s="10">
        <v>145.41</v>
      </c>
      <c r="E485" s="9" t="s">
        <v>55</v>
      </c>
      <c r="F485" s="9" t="s">
        <v>26</v>
      </c>
      <c r="G485" s="9" t="str">
        <f t="shared" si="35"/>
        <v>Low Averg</v>
      </c>
      <c r="H485" s="11">
        <f t="shared" si="36"/>
        <v>141.74161290322584</v>
      </c>
      <c r="I485" s="9">
        <f t="shared" si="37"/>
        <v>31</v>
      </c>
      <c r="J485" s="12">
        <f>DATE(2025, MATCH(E485, {"January","February","March","April","May","June","July","August","September","October","November","December"},0),1)</f>
        <v>45962</v>
      </c>
      <c r="K485" s="13">
        <f t="shared" si="38"/>
        <v>4507.71</v>
      </c>
      <c r="L485" s="13">
        <v>345.53258641650501</v>
      </c>
      <c r="M485" s="14">
        <f t="shared" si="39"/>
        <v>1.0616616900937615E-2</v>
      </c>
    </row>
    <row r="486" spans="1:13" ht="15.5" x14ac:dyDescent="0.35">
      <c r="A486" s="8" t="s">
        <v>66</v>
      </c>
      <c r="B486" s="9" t="s">
        <v>32</v>
      </c>
      <c r="C486" s="9" t="s">
        <v>61</v>
      </c>
      <c r="D486" s="10">
        <v>150.85</v>
      </c>
      <c r="E486" s="9" t="s">
        <v>63</v>
      </c>
      <c r="F486" s="9" t="s">
        <v>26</v>
      </c>
      <c r="G486" s="9" t="str">
        <f t="shared" si="35"/>
        <v>Low Averg</v>
      </c>
      <c r="H486" s="11">
        <f t="shared" si="36"/>
        <v>141.74161290322584</v>
      </c>
      <c r="I486" s="9">
        <f t="shared" si="37"/>
        <v>31</v>
      </c>
      <c r="J486" s="12">
        <f>DATE(2025, MATCH(E486, {"January","February","March","April","May","June","July","August","September","October","November","December"},0),1)</f>
        <v>45717</v>
      </c>
      <c r="K486" s="13">
        <f t="shared" si="38"/>
        <v>4676.3499999999995</v>
      </c>
      <c r="L486" s="13">
        <v>345.69412739153</v>
      </c>
      <c r="M486" s="14">
        <f t="shared" si="39"/>
        <v>2.6348110584065769E-2</v>
      </c>
    </row>
    <row r="487" spans="1:13" ht="15.5" x14ac:dyDescent="0.35">
      <c r="A487" s="8" t="s">
        <v>56</v>
      </c>
      <c r="B487" s="9" t="s">
        <v>19</v>
      </c>
      <c r="C487" s="9" t="s">
        <v>61</v>
      </c>
      <c r="D487" s="10">
        <v>494.45</v>
      </c>
      <c r="E487" s="9" t="s">
        <v>46</v>
      </c>
      <c r="F487" s="9" t="s">
        <v>40</v>
      </c>
      <c r="G487" s="9" t="str">
        <f t="shared" si="35"/>
        <v>Above Averg</v>
      </c>
      <c r="H487" s="11">
        <f t="shared" si="36"/>
        <v>533.4588235294118</v>
      </c>
      <c r="I487" s="9">
        <f t="shared" si="37"/>
        <v>34</v>
      </c>
      <c r="J487" s="12">
        <f>DATE(2025, MATCH(E487, {"January","February","March","April","May","June","July","August","September","October","November","December"},0),1)</f>
        <v>45870</v>
      </c>
      <c r="K487" s="13">
        <f t="shared" si="38"/>
        <v>16811.3</v>
      </c>
      <c r="L487" s="13">
        <v>345.86135801774498</v>
      </c>
      <c r="M487" s="14">
        <f t="shared" si="39"/>
        <v>-0.11278745839947348</v>
      </c>
    </row>
    <row r="488" spans="1:13" ht="15.5" x14ac:dyDescent="0.35">
      <c r="A488" s="8" t="s">
        <v>58</v>
      </c>
      <c r="B488" s="9" t="s">
        <v>23</v>
      </c>
      <c r="C488" s="9" t="s">
        <v>24</v>
      </c>
      <c r="D488" s="10">
        <v>117.61</v>
      </c>
      <c r="E488" s="9" t="s">
        <v>63</v>
      </c>
      <c r="F488" s="9" t="s">
        <v>17</v>
      </c>
      <c r="G488" s="9" t="str">
        <f t="shared" si="35"/>
        <v>Low Averg</v>
      </c>
      <c r="H488" s="11">
        <f t="shared" si="36"/>
        <v>121.60903225806452</v>
      </c>
      <c r="I488" s="9">
        <f t="shared" si="37"/>
        <v>31</v>
      </c>
      <c r="J488" s="12">
        <f>DATE(2025, MATCH(E488, {"January","February","March","April","May","June","July","August","September","October","November","December"},0),1)</f>
        <v>45717</v>
      </c>
      <c r="K488" s="13">
        <f t="shared" si="38"/>
        <v>3645.91</v>
      </c>
      <c r="L488" s="13">
        <v>346.10421707799998</v>
      </c>
      <c r="M488" s="14">
        <f t="shared" si="39"/>
        <v>-1.1554416446660264E-2</v>
      </c>
    </row>
    <row r="489" spans="1:13" ht="15.5" x14ac:dyDescent="0.35">
      <c r="A489" s="8" t="s">
        <v>48</v>
      </c>
      <c r="B489" s="9" t="s">
        <v>19</v>
      </c>
      <c r="C489" s="9" t="s">
        <v>43</v>
      </c>
      <c r="D489" s="10">
        <v>1302.9000000000001</v>
      </c>
      <c r="E489" s="9" t="s">
        <v>25</v>
      </c>
      <c r="F489" s="9" t="s">
        <v>17</v>
      </c>
      <c r="G489" s="9" t="str">
        <f t="shared" si="35"/>
        <v>Above Averg</v>
      </c>
      <c r="H489" s="11">
        <f t="shared" si="36"/>
        <v>1235.856</v>
      </c>
      <c r="I489" s="9">
        <f t="shared" si="37"/>
        <v>25</v>
      </c>
      <c r="J489" s="12">
        <f>DATE(2025, MATCH(E489, {"January","February","March","April","May","June","July","August","September","October","November","December"},0),1)</f>
        <v>45931</v>
      </c>
      <c r="K489" s="13">
        <f t="shared" si="38"/>
        <v>32572.500000000004</v>
      </c>
      <c r="L489" s="13">
        <v>346.235699034557</v>
      </c>
      <c r="M489" s="14">
        <f t="shared" si="39"/>
        <v>0.19363687853951936</v>
      </c>
    </row>
    <row r="490" spans="1:13" ht="15.5" x14ac:dyDescent="0.35">
      <c r="A490" s="8" t="s">
        <v>18</v>
      </c>
      <c r="B490" s="9" t="s">
        <v>19</v>
      </c>
      <c r="C490" s="9" t="s">
        <v>15</v>
      </c>
      <c r="D490" s="10">
        <v>863.94</v>
      </c>
      <c r="E490" s="9" t="s">
        <v>72</v>
      </c>
      <c r="F490" s="9" t="s">
        <v>17</v>
      </c>
      <c r="G490" s="9" t="str">
        <f t="shared" si="35"/>
        <v>Above Averg</v>
      </c>
      <c r="H490" s="11">
        <f t="shared" si="36"/>
        <v>920.12567567567555</v>
      </c>
      <c r="I490" s="9">
        <f t="shared" si="37"/>
        <v>37</v>
      </c>
      <c r="J490" s="12">
        <f>DATE(2025, MATCH(E490, {"January","February","March","April","May","June","July","August","September","October","November","December"},0),1)</f>
        <v>45901</v>
      </c>
      <c r="K490" s="13">
        <f t="shared" si="38"/>
        <v>31965.780000000002</v>
      </c>
      <c r="L490" s="13">
        <v>344.470944887374</v>
      </c>
      <c r="M490" s="14">
        <f t="shared" si="39"/>
        <v>-0.16310715463693345</v>
      </c>
    </row>
    <row r="491" spans="1:13" ht="15.5" x14ac:dyDescent="0.35">
      <c r="A491" s="8" t="s">
        <v>82</v>
      </c>
      <c r="B491" s="9" t="s">
        <v>14</v>
      </c>
      <c r="C491" s="9" t="s">
        <v>29</v>
      </c>
      <c r="D491" s="10">
        <v>875.36</v>
      </c>
      <c r="E491" s="9" t="s">
        <v>57</v>
      </c>
      <c r="F491" s="9" t="s">
        <v>36</v>
      </c>
      <c r="G491" s="9" t="str">
        <f t="shared" si="35"/>
        <v>Above Averg</v>
      </c>
      <c r="H491" s="11">
        <f t="shared" si="36"/>
        <v>905.6025925925926</v>
      </c>
      <c r="I491" s="9">
        <f t="shared" si="37"/>
        <v>27</v>
      </c>
      <c r="J491" s="12">
        <f>DATE(2025, MATCH(E491, {"January","February","March","April","May","June","July","August","September","October","November","December"},0),1)</f>
        <v>45839</v>
      </c>
      <c r="K491" s="13">
        <f t="shared" si="38"/>
        <v>23634.720000000001</v>
      </c>
      <c r="L491" s="13">
        <v>344.17076072405899</v>
      </c>
      <c r="M491" s="14">
        <f t="shared" si="39"/>
        <v>-8.7870894462297941E-2</v>
      </c>
    </row>
    <row r="492" spans="1:13" ht="15.5" x14ac:dyDescent="0.35">
      <c r="A492" s="8" t="s">
        <v>81</v>
      </c>
      <c r="B492" s="9" t="s">
        <v>28</v>
      </c>
      <c r="C492" s="9" t="s">
        <v>24</v>
      </c>
      <c r="D492" s="10">
        <v>132.76</v>
      </c>
      <c r="E492" s="9" t="s">
        <v>55</v>
      </c>
      <c r="F492" s="9" t="s">
        <v>26</v>
      </c>
      <c r="G492" s="9" t="str">
        <f t="shared" si="35"/>
        <v>Low Averg</v>
      </c>
      <c r="H492" s="11">
        <f t="shared" si="36"/>
        <v>140.29840000000002</v>
      </c>
      <c r="I492" s="9">
        <f t="shared" si="37"/>
        <v>25</v>
      </c>
      <c r="J492" s="12">
        <f>DATE(2025, MATCH(E492, {"January","February","March","April","May","June","July","August","September","October","November","December"},0),1)</f>
        <v>45962</v>
      </c>
      <c r="K492" s="13">
        <f t="shared" si="38"/>
        <v>3319</v>
      </c>
      <c r="L492" s="13">
        <v>343.84029005780599</v>
      </c>
      <c r="M492" s="14">
        <f t="shared" si="39"/>
        <v>-2.1924132272959279E-2</v>
      </c>
    </row>
    <row r="493" spans="1:13" ht="15.5" x14ac:dyDescent="0.35">
      <c r="A493" s="8" t="s">
        <v>52</v>
      </c>
      <c r="B493" s="9" t="s">
        <v>32</v>
      </c>
      <c r="C493" s="9" t="s">
        <v>49</v>
      </c>
      <c r="D493" s="10">
        <v>55.72</v>
      </c>
      <c r="E493" s="9" t="s">
        <v>25</v>
      </c>
      <c r="F493" s="9" t="s">
        <v>30</v>
      </c>
      <c r="G493" s="9" t="str">
        <f t="shared" si="35"/>
        <v>Low Averg</v>
      </c>
      <c r="H493" s="11">
        <f t="shared" si="36"/>
        <v>62.182121212121217</v>
      </c>
      <c r="I493" s="9">
        <f t="shared" si="37"/>
        <v>33</v>
      </c>
      <c r="J493" s="12">
        <f>DATE(2025, MATCH(E493, {"January","February","March","April","May","June","July","August","September","October","November","December"},0),1)</f>
        <v>45931</v>
      </c>
      <c r="K493" s="13">
        <f t="shared" si="38"/>
        <v>1838.76</v>
      </c>
      <c r="L493" s="13">
        <v>343.99039815979899</v>
      </c>
      <c r="M493" s="14">
        <f t="shared" si="39"/>
        <v>-1.8785760436020288E-2</v>
      </c>
    </row>
    <row r="494" spans="1:13" ht="15.5" x14ac:dyDescent="0.35">
      <c r="A494" s="8" t="s">
        <v>50</v>
      </c>
      <c r="B494" s="9" t="s">
        <v>32</v>
      </c>
      <c r="C494" s="9" t="s">
        <v>29</v>
      </c>
      <c r="D494" s="10">
        <v>82</v>
      </c>
      <c r="E494" s="9" t="s">
        <v>21</v>
      </c>
      <c r="F494" s="9" t="s">
        <v>17</v>
      </c>
      <c r="G494" s="9" t="str">
        <f t="shared" si="35"/>
        <v>Low Averg</v>
      </c>
      <c r="H494" s="11">
        <f t="shared" si="36"/>
        <v>81.934666666666672</v>
      </c>
      <c r="I494" s="9">
        <f t="shared" si="37"/>
        <v>30</v>
      </c>
      <c r="J494" s="12">
        <f>DATE(2025, MATCH(E494, {"January","February","March","April","May","June","July","August","September","October","November","December"},0),1)</f>
        <v>45748</v>
      </c>
      <c r="K494" s="13">
        <f t="shared" si="38"/>
        <v>2460</v>
      </c>
      <c r="L494" s="13">
        <v>344.04068006753198</v>
      </c>
      <c r="M494" s="14">
        <f t="shared" si="39"/>
        <v>1.899000238009749E-4</v>
      </c>
    </row>
    <row r="495" spans="1:13" ht="15.5" x14ac:dyDescent="0.35">
      <c r="A495" s="8" t="s">
        <v>27</v>
      </c>
      <c r="B495" s="9" t="s">
        <v>28</v>
      </c>
      <c r="C495" s="9" t="s">
        <v>20</v>
      </c>
      <c r="D495" s="10">
        <v>126.29</v>
      </c>
      <c r="E495" s="9" t="s">
        <v>42</v>
      </c>
      <c r="F495" s="9" t="s">
        <v>17</v>
      </c>
      <c r="G495" s="9" t="str">
        <f t="shared" si="35"/>
        <v>Low Averg</v>
      </c>
      <c r="H495" s="11">
        <f t="shared" si="36"/>
        <v>113.26108695652174</v>
      </c>
      <c r="I495" s="9">
        <f t="shared" si="37"/>
        <v>46</v>
      </c>
      <c r="J495" s="12">
        <f>DATE(2025, MATCH(E495, {"January","February","March","April","May","June","July","August","September","October","November","December"},0),1)</f>
        <v>45658</v>
      </c>
      <c r="K495" s="13">
        <f t="shared" si="38"/>
        <v>5809.34</v>
      </c>
      <c r="L495" s="13">
        <v>344.12770923302497</v>
      </c>
      <c r="M495" s="14">
        <f t="shared" si="39"/>
        <v>3.7860691522099379E-2</v>
      </c>
    </row>
    <row r="496" spans="1:13" ht="15.5" x14ac:dyDescent="0.35">
      <c r="A496" s="8" t="s">
        <v>70</v>
      </c>
      <c r="B496" s="9" t="s">
        <v>71</v>
      </c>
      <c r="C496" s="9" t="s">
        <v>61</v>
      </c>
      <c r="D496" s="10">
        <v>907.98</v>
      </c>
      <c r="E496" s="9" t="s">
        <v>46</v>
      </c>
      <c r="F496" s="9" t="s">
        <v>26</v>
      </c>
      <c r="G496" s="9" t="str">
        <f t="shared" si="35"/>
        <v>Above Averg</v>
      </c>
      <c r="H496" s="11">
        <f t="shared" si="36"/>
        <v>911.5772916666665</v>
      </c>
      <c r="I496" s="9">
        <f t="shared" si="37"/>
        <v>48</v>
      </c>
      <c r="J496" s="12">
        <f>DATE(2025, MATCH(E496, {"January","February","March","April","May","June","July","August","September","October","November","December"},0),1)</f>
        <v>45870</v>
      </c>
      <c r="K496" s="13">
        <f t="shared" si="38"/>
        <v>43583.040000000001</v>
      </c>
      <c r="L496" s="13">
        <v>344.27003531460798</v>
      </c>
      <c r="M496" s="14">
        <f t="shared" si="39"/>
        <v>-1.0449040862296154E-2</v>
      </c>
    </row>
    <row r="497" spans="1:13" ht="15.5" x14ac:dyDescent="0.35">
      <c r="A497" s="8" t="s">
        <v>78</v>
      </c>
      <c r="B497" s="9" t="s">
        <v>28</v>
      </c>
      <c r="C497" s="9" t="s">
        <v>34</v>
      </c>
      <c r="D497" s="10">
        <v>330.09</v>
      </c>
      <c r="E497" s="9" t="s">
        <v>21</v>
      </c>
      <c r="F497" s="9" t="s">
        <v>26</v>
      </c>
      <c r="G497" s="9" t="str">
        <f t="shared" si="35"/>
        <v>Low Averg</v>
      </c>
      <c r="H497" s="11">
        <f t="shared" si="36"/>
        <v>309.01727272727271</v>
      </c>
      <c r="I497" s="9">
        <f t="shared" si="37"/>
        <v>22</v>
      </c>
      <c r="J497" s="12">
        <f>DATE(2025, MATCH(E497, {"January","February","March","April","May","June","July","August","September","October","November","December"},0),1)</f>
        <v>45748</v>
      </c>
      <c r="K497" s="13">
        <f t="shared" si="38"/>
        <v>7261.98</v>
      </c>
      <c r="L497" s="13">
        <v>343.85785608000202</v>
      </c>
      <c r="M497" s="14">
        <f t="shared" si="39"/>
        <v>6.1283250913495138E-2</v>
      </c>
    </row>
    <row r="498" spans="1:13" ht="15.5" x14ac:dyDescent="0.35">
      <c r="A498" s="8" t="s">
        <v>47</v>
      </c>
      <c r="B498" s="9" t="s">
        <v>19</v>
      </c>
      <c r="C498" s="9" t="s">
        <v>29</v>
      </c>
      <c r="D498" s="10">
        <v>653.88</v>
      </c>
      <c r="E498" s="9" t="s">
        <v>62</v>
      </c>
      <c r="F498" s="9" t="s">
        <v>30</v>
      </c>
      <c r="G498" s="9" t="str">
        <f t="shared" si="35"/>
        <v>Above Averg</v>
      </c>
      <c r="H498" s="11">
        <f t="shared" si="36"/>
        <v>673.04079999999988</v>
      </c>
      <c r="I498" s="9">
        <f t="shared" si="37"/>
        <v>25</v>
      </c>
      <c r="J498" s="12">
        <f>DATE(2025, MATCH(E498, {"January","February","March","April","May","June","July","August","September","October","November","December"},0),1)</f>
        <v>45689</v>
      </c>
      <c r="K498" s="13">
        <f t="shared" si="38"/>
        <v>16347</v>
      </c>
      <c r="L498" s="13">
        <v>344.13669224445198</v>
      </c>
      <c r="M498" s="14">
        <f t="shared" si="39"/>
        <v>-5.5677875773819878E-2</v>
      </c>
    </row>
    <row r="499" spans="1:13" ht="15.5" x14ac:dyDescent="0.35">
      <c r="A499" s="8" t="s">
        <v>76</v>
      </c>
      <c r="B499" s="9" t="s">
        <v>60</v>
      </c>
      <c r="C499" s="9" t="s">
        <v>43</v>
      </c>
      <c r="D499" s="10">
        <v>330.8</v>
      </c>
      <c r="E499" s="9" t="s">
        <v>35</v>
      </c>
      <c r="F499" s="9" t="s">
        <v>36</v>
      </c>
      <c r="G499" s="9" t="str">
        <f t="shared" si="35"/>
        <v>Low Averg</v>
      </c>
      <c r="H499" s="11">
        <f t="shared" si="36"/>
        <v>304.90820512820511</v>
      </c>
      <c r="I499" s="9">
        <f t="shared" si="37"/>
        <v>39</v>
      </c>
      <c r="J499" s="12">
        <f>DATE(2025, MATCH(E499, {"January","February","March","April","May","June","July","August","September","October","November","December"},0),1)</f>
        <v>45778</v>
      </c>
      <c r="K499" s="13">
        <f t="shared" si="38"/>
        <v>12901.2</v>
      </c>
      <c r="L499" s="13">
        <v>344.22359877513202</v>
      </c>
      <c r="M499" s="14">
        <f t="shared" si="39"/>
        <v>7.5217954155168215E-2</v>
      </c>
    </row>
    <row r="500" spans="1:13" ht="15.5" x14ac:dyDescent="0.35">
      <c r="A500" s="8" t="s">
        <v>64</v>
      </c>
      <c r="B500" s="9" t="s">
        <v>60</v>
      </c>
      <c r="C500" s="9" t="s">
        <v>61</v>
      </c>
      <c r="D500" s="10">
        <v>234.02</v>
      </c>
      <c r="E500" s="9" t="s">
        <v>42</v>
      </c>
      <c r="F500" s="9" t="s">
        <v>30</v>
      </c>
      <c r="G500" s="9" t="str">
        <f t="shared" si="35"/>
        <v>Low Averg</v>
      </c>
      <c r="H500" s="11">
        <f t="shared" si="36"/>
        <v>249.29749999999999</v>
      </c>
      <c r="I500" s="9">
        <f t="shared" si="37"/>
        <v>32</v>
      </c>
      <c r="J500" s="12">
        <f>DATE(2025, MATCH(E500, {"January","February","March","April","May","June","July","August","September","October","November","December"},0),1)</f>
        <v>45658</v>
      </c>
      <c r="K500" s="13">
        <f t="shared" si="38"/>
        <v>7488.64</v>
      </c>
      <c r="L500" s="13">
        <v>344.50385595988598</v>
      </c>
      <c r="M500" s="14">
        <f t="shared" si="39"/>
        <v>-4.4346383170175273E-2</v>
      </c>
    </row>
    <row r="501" spans="1:13" ht="15.5" x14ac:dyDescent="0.35">
      <c r="A501" s="8" t="s">
        <v>81</v>
      </c>
      <c r="B501" s="9" t="s">
        <v>28</v>
      </c>
      <c r="C501" s="9" t="s">
        <v>49</v>
      </c>
      <c r="D501" s="10">
        <v>126.55</v>
      </c>
      <c r="E501" s="9" t="s">
        <v>25</v>
      </c>
      <c r="F501" s="9" t="s">
        <v>30</v>
      </c>
      <c r="G501" s="9" t="str">
        <f t="shared" si="35"/>
        <v>Low Averg</v>
      </c>
      <c r="H501" s="11">
        <f t="shared" si="36"/>
        <v>140.29840000000002</v>
      </c>
      <c r="I501" s="9">
        <f t="shared" si="37"/>
        <v>25</v>
      </c>
      <c r="J501" s="12">
        <f>DATE(2025, MATCH(E501, {"January","February","March","April","May","June","July","August","September","October","November","December"},0),1)</f>
        <v>45931</v>
      </c>
      <c r="K501" s="13">
        <f t="shared" si="38"/>
        <v>3163.75</v>
      </c>
      <c r="L501" s="13">
        <v>344.74543524097902</v>
      </c>
      <c r="M501" s="14">
        <f t="shared" si="39"/>
        <v>-3.987986089036917E-2</v>
      </c>
    </row>
    <row r="502" spans="1:13" ht="15.5" x14ac:dyDescent="0.35">
      <c r="A502" s="8" t="s">
        <v>18</v>
      </c>
      <c r="B502" s="9" t="s">
        <v>19</v>
      </c>
      <c r="C502" s="9" t="s">
        <v>15</v>
      </c>
      <c r="D502" s="10">
        <v>1009.2</v>
      </c>
      <c r="E502" s="9" t="s">
        <v>39</v>
      </c>
      <c r="F502" s="9" t="s">
        <v>26</v>
      </c>
      <c r="G502" s="9" t="str">
        <f t="shared" si="35"/>
        <v>Above Averg</v>
      </c>
      <c r="H502" s="11">
        <f t="shared" si="36"/>
        <v>920.12567567567555</v>
      </c>
      <c r="I502" s="9">
        <f t="shared" si="37"/>
        <v>37</v>
      </c>
      <c r="J502" s="12">
        <f>DATE(2025, MATCH(E502, {"January","February","March","April","May","June","July","August","September","October","November","December"},0),1)</f>
        <v>45992</v>
      </c>
      <c r="K502" s="13">
        <f t="shared" si="38"/>
        <v>37340.400000000001</v>
      </c>
      <c r="L502" s="13">
        <v>344.890948676763</v>
      </c>
      <c r="M502" s="14">
        <f t="shared" si="39"/>
        <v>0.25826808347993585</v>
      </c>
    </row>
    <row r="503" spans="1:13" ht="15.5" x14ac:dyDescent="0.35">
      <c r="A503" s="8" t="s">
        <v>41</v>
      </c>
      <c r="B503" s="9" t="s">
        <v>32</v>
      </c>
      <c r="C503" s="9" t="s">
        <v>61</v>
      </c>
      <c r="D503" s="10">
        <v>62.14</v>
      </c>
      <c r="E503" s="9" t="s">
        <v>46</v>
      </c>
      <c r="F503" s="9" t="s">
        <v>26</v>
      </c>
      <c r="G503" s="9" t="str">
        <f t="shared" si="35"/>
        <v>Low Averg</v>
      </c>
      <c r="H503" s="11">
        <f t="shared" si="36"/>
        <v>70.278611111111118</v>
      </c>
      <c r="I503" s="9">
        <f t="shared" si="37"/>
        <v>36</v>
      </c>
      <c r="J503" s="12">
        <f>DATE(2025, MATCH(E503, {"January","February","March","April","May","June","July","August","September","October","November","December"},0),1)</f>
        <v>45870</v>
      </c>
      <c r="K503" s="13">
        <f t="shared" si="38"/>
        <v>2237.04</v>
      </c>
      <c r="L503" s="13">
        <v>344.18686660511298</v>
      </c>
      <c r="M503" s="14">
        <f t="shared" si="39"/>
        <v>-2.3645908373513217E-2</v>
      </c>
    </row>
    <row r="504" spans="1:13" ht="15.5" x14ac:dyDescent="0.35">
      <c r="A504" s="8" t="s">
        <v>37</v>
      </c>
      <c r="B504" s="9" t="s">
        <v>38</v>
      </c>
      <c r="C504" s="9" t="s">
        <v>24</v>
      </c>
      <c r="D504" s="10">
        <v>1073.9000000000001</v>
      </c>
      <c r="E504" s="9" t="s">
        <v>55</v>
      </c>
      <c r="F504" s="9" t="s">
        <v>36</v>
      </c>
      <c r="G504" s="9" t="str">
        <f t="shared" si="35"/>
        <v>Above Averg</v>
      </c>
      <c r="H504" s="11">
        <f t="shared" si="36"/>
        <v>1024.1451428571424</v>
      </c>
      <c r="I504" s="9">
        <f t="shared" si="37"/>
        <v>35</v>
      </c>
      <c r="J504" s="12">
        <f>DATE(2025, MATCH(E504, {"January","February","March","April","May","June","July","August","September","October","November","December"},0),1)</f>
        <v>45962</v>
      </c>
      <c r="K504" s="13">
        <f t="shared" si="38"/>
        <v>37586.5</v>
      </c>
      <c r="L504" s="13">
        <v>344.248270524259</v>
      </c>
      <c r="M504" s="14">
        <f t="shared" si="39"/>
        <v>0.14453190154618786</v>
      </c>
    </row>
    <row r="505" spans="1:13" ht="15.5" x14ac:dyDescent="0.35">
      <c r="A505" s="8" t="s">
        <v>65</v>
      </c>
      <c r="B505" s="9" t="s">
        <v>23</v>
      </c>
      <c r="C505" s="9" t="s">
        <v>15</v>
      </c>
      <c r="D505" s="10">
        <v>153.72999999999999</v>
      </c>
      <c r="E505" s="9" t="s">
        <v>42</v>
      </c>
      <c r="F505" s="9" t="s">
        <v>36</v>
      </c>
      <c r="G505" s="9" t="str">
        <f t="shared" si="35"/>
        <v>Low Averg</v>
      </c>
      <c r="H505" s="11">
        <f t="shared" si="36"/>
        <v>151.26457142857143</v>
      </c>
      <c r="I505" s="9">
        <f t="shared" si="37"/>
        <v>35</v>
      </c>
      <c r="J505" s="12">
        <f>DATE(2025, MATCH(E505, {"January","February","March","April","May","June","July","August","September","October","November","December"},0),1)</f>
        <v>45658</v>
      </c>
      <c r="K505" s="13">
        <f t="shared" si="38"/>
        <v>5380.5499999999993</v>
      </c>
      <c r="L505" s="13">
        <v>343.32637269091299</v>
      </c>
      <c r="M505" s="14">
        <f t="shared" si="39"/>
        <v>7.1810055024468401E-3</v>
      </c>
    </row>
    <row r="506" spans="1:13" ht="15.5" x14ac:dyDescent="0.35">
      <c r="A506" s="8" t="s">
        <v>82</v>
      </c>
      <c r="B506" s="9" t="s">
        <v>14</v>
      </c>
      <c r="C506" s="9" t="s">
        <v>61</v>
      </c>
      <c r="D506" s="10">
        <v>814.18</v>
      </c>
      <c r="E506" s="9" t="s">
        <v>25</v>
      </c>
      <c r="F506" s="9" t="s">
        <v>36</v>
      </c>
      <c r="G506" s="9" t="str">
        <f t="shared" si="35"/>
        <v>Above Averg</v>
      </c>
      <c r="H506" s="11">
        <f t="shared" si="36"/>
        <v>905.6025925925926</v>
      </c>
      <c r="I506" s="9">
        <f t="shared" si="37"/>
        <v>27</v>
      </c>
      <c r="J506" s="12">
        <f>DATE(2025, MATCH(E506, {"January","February","March","April","May","June","July","August","September","October","November","December"},0),1)</f>
        <v>45931</v>
      </c>
      <c r="K506" s="13">
        <f t="shared" si="38"/>
        <v>21982.859999999997</v>
      </c>
      <c r="L506" s="13">
        <v>343.50244829770202</v>
      </c>
      <c r="M506" s="14">
        <f t="shared" si="39"/>
        <v>-0.26614829980297483</v>
      </c>
    </row>
    <row r="507" spans="1:13" ht="15.5" x14ac:dyDescent="0.35">
      <c r="A507" s="8" t="s">
        <v>74</v>
      </c>
      <c r="B507" s="9" t="s">
        <v>38</v>
      </c>
      <c r="C507" s="9" t="s">
        <v>20</v>
      </c>
      <c r="D507" s="10">
        <v>358.87</v>
      </c>
      <c r="E507" s="9" t="s">
        <v>46</v>
      </c>
      <c r="F507" s="9" t="s">
        <v>30</v>
      </c>
      <c r="G507" s="9" t="str">
        <f t="shared" si="35"/>
        <v>Low Averg</v>
      </c>
      <c r="H507" s="11">
        <f t="shared" si="36"/>
        <v>368.73933333333326</v>
      </c>
      <c r="I507" s="9">
        <f t="shared" si="37"/>
        <v>30</v>
      </c>
      <c r="J507" s="12">
        <f>DATE(2025, MATCH(E507, {"January","February","March","April","May","June","July","August","September","October","November","December"},0),1)</f>
        <v>45870</v>
      </c>
      <c r="K507" s="13">
        <f t="shared" si="38"/>
        <v>10766.1</v>
      </c>
      <c r="L507" s="13">
        <v>343.30160057449598</v>
      </c>
      <c r="M507" s="14">
        <f t="shared" si="39"/>
        <v>-2.8748288143188038E-2</v>
      </c>
    </row>
    <row r="508" spans="1:13" ht="15.5" x14ac:dyDescent="0.35">
      <c r="A508" s="8" t="s">
        <v>44</v>
      </c>
      <c r="B508" s="9" t="s">
        <v>23</v>
      </c>
      <c r="C508" s="9" t="s">
        <v>20</v>
      </c>
      <c r="D508" s="10">
        <v>216.4</v>
      </c>
      <c r="E508" s="9" t="s">
        <v>63</v>
      </c>
      <c r="F508" s="9" t="s">
        <v>17</v>
      </c>
      <c r="G508" s="9" t="str">
        <f t="shared" si="35"/>
        <v>Low Averg</v>
      </c>
      <c r="H508" s="11">
        <f t="shared" si="36"/>
        <v>206.14838709677423</v>
      </c>
      <c r="I508" s="9">
        <f t="shared" si="37"/>
        <v>31</v>
      </c>
      <c r="J508" s="12">
        <f>DATE(2025, MATCH(E508, {"January","February","March","April","May","June","July","August","September","October","November","December"},0),1)</f>
        <v>45717</v>
      </c>
      <c r="K508" s="13">
        <f t="shared" si="38"/>
        <v>6708.4000000000005</v>
      </c>
      <c r="L508" s="13">
        <v>343.58792831890401</v>
      </c>
      <c r="M508" s="14">
        <f t="shared" si="39"/>
        <v>2.9836941458870628E-2</v>
      </c>
    </row>
    <row r="509" spans="1:13" ht="15.5" x14ac:dyDescent="0.35">
      <c r="A509" s="8" t="s">
        <v>76</v>
      </c>
      <c r="B509" s="9" t="s">
        <v>60</v>
      </c>
      <c r="C509" s="9" t="s">
        <v>15</v>
      </c>
      <c r="D509" s="10">
        <v>281.49</v>
      </c>
      <c r="E509" s="9" t="s">
        <v>62</v>
      </c>
      <c r="F509" s="9" t="s">
        <v>30</v>
      </c>
      <c r="G509" s="9" t="str">
        <f t="shared" si="35"/>
        <v>Low Averg</v>
      </c>
      <c r="H509" s="11">
        <f t="shared" si="36"/>
        <v>304.90820512820511</v>
      </c>
      <c r="I509" s="9">
        <f t="shared" si="37"/>
        <v>39</v>
      </c>
      <c r="J509" s="12">
        <f>DATE(2025, MATCH(E509, {"January","February","March","April","May","June","July","August","September","October","November","December"},0),1)</f>
        <v>45689</v>
      </c>
      <c r="K509" s="13">
        <f t="shared" si="38"/>
        <v>10978.11</v>
      </c>
      <c r="L509" s="13">
        <v>343.82075466994701</v>
      </c>
      <c r="M509" s="14">
        <f t="shared" si="39"/>
        <v>-6.8111668100681019E-2</v>
      </c>
    </row>
    <row r="510" spans="1:13" ht="15.5" x14ac:dyDescent="0.35">
      <c r="A510" s="8" t="s">
        <v>58</v>
      </c>
      <c r="B510" s="9" t="s">
        <v>23</v>
      </c>
      <c r="C510" s="9" t="s">
        <v>49</v>
      </c>
      <c r="D510" s="10">
        <v>119.67</v>
      </c>
      <c r="E510" s="9" t="s">
        <v>72</v>
      </c>
      <c r="F510" s="9" t="s">
        <v>40</v>
      </c>
      <c r="G510" s="9" t="str">
        <f t="shared" si="35"/>
        <v>Low Averg</v>
      </c>
      <c r="H510" s="11">
        <f t="shared" si="36"/>
        <v>121.60903225806452</v>
      </c>
      <c r="I510" s="9">
        <f t="shared" si="37"/>
        <v>31</v>
      </c>
      <c r="J510" s="12">
        <f>DATE(2025, MATCH(E510, {"January","February","March","April","May","June","July","August","September","October","November","December"},0),1)</f>
        <v>45901</v>
      </c>
      <c r="K510" s="13">
        <f t="shared" si="38"/>
        <v>3709.77</v>
      </c>
      <c r="L510" s="13">
        <v>344.09117663024</v>
      </c>
      <c r="M510" s="14">
        <f t="shared" si="39"/>
        <v>-5.6352280725529809E-3</v>
      </c>
    </row>
    <row r="511" spans="1:13" ht="15.5" x14ac:dyDescent="0.35">
      <c r="A511" s="8" t="s">
        <v>44</v>
      </c>
      <c r="B511" s="9" t="s">
        <v>23</v>
      </c>
      <c r="C511" s="9" t="s">
        <v>61</v>
      </c>
      <c r="D511" s="10">
        <v>183.59</v>
      </c>
      <c r="E511" s="9" t="s">
        <v>25</v>
      </c>
      <c r="F511" s="9" t="s">
        <v>40</v>
      </c>
      <c r="G511" s="9" t="str">
        <f t="shared" si="35"/>
        <v>Low Averg</v>
      </c>
      <c r="H511" s="11">
        <f t="shared" si="36"/>
        <v>206.14838709677423</v>
      </c>
      <c r="I511" s="9">
        <f t="shared" si="37"/>
        <v>31</v>
      </c>
      <c r="J511" s="12">
        <f>DATE(2025, MATCH(E511, {"January","February","March","April","May","June","July","August","September","October","November","December"},0),1)</f>
        <v>45931</v>
      </c>
      <c r="K511" s="13">
        <f t="shared" si="38"/>
        <v>5691.29</v>
      </c>
      <c r="L511" s="13">
        <v>344.23145030901998</v>
      </c>
      <c r="M511" s="14">
        <f t="shared" si="39"/>
        <v>-6.553261497903036E-2</v>
      </c>
    </row>
    <row r="512" spans="1:13" ht="15.5" x14ac:dyDescent="0.35">
      <c r="A512" s="8" t="s">
        <v>65</v>
      </c>
      <c r="B512" s="9" t="s">
        <v>23</v>
      </c>
      <c r="C512" s="9" t="s">
        <v>15</v>
      </c>
      <c r="D512" s="10">
        <v>163.75</v>
      </c>
      <c r="E512" s="9" t="s">
        <v>39</v>
      </c>
      <c r="F512" s="9" t="s">
        <v>26</v>
      </c>
      <c r="G512" s="9" t="str">
        <f t="shared" si="35"/>
        <v>Low Averg</v>
      </c>
      <c r="H512" s="11">
        <f t="shared" si="36"/>
        <v>151.26457142857143</v>
      </c>
      <c r="I512" s="9">
        <f t="shared" si="37"/>
        <v>35</v>
      </c>
      <c r="J512" s="12">
        <f>DATE(2025, MATCH(E512, {"January","February","March","April","May","June","July","August","September","October","November","December"},0),1)</f>
        <v>45992</v>
      </c>
      <c r="K512" s="13">
        <f t="shared" si="38"/>
        <v>5731.25</v>
      </c>
      <c r="L512" s="13">
        <v>344.43879433391101</v>
      </c>
      <c r="M512" s="14">
        <f t="shared" si="39"/>
        <v>3.6248613038996881E-2</v>
      </c>
    </row>
    <row r="513" spans="1:13" ht="15.5" x14ac:dyDescent="0.35">
      <c r="A513" s="8" t="s">
        <v>70</v>
      </c>
      <c r="B513" s="9" t="s">
        <v>71</v>
      </c>
      <c r="C513" s="9" t="s">
        <v>43</v>
      </c>
      <c r="D513" s="10">
        <v>1057.54</v>
      </c>
      <c r="E513" s="9" t="s">
        <v>63</v>
      </c>
      <c r="F513" s="9" t="s">
        <v>36</v>
      </c>
      <c r="G513" s="9" t="str">
        <f t="shared" si="35"/>
        <v>Above Averg</v>
      </c>
      <c r="H513" s="11">
        <f t="shared" si="36"/>
        <v>911.5772916666665</v>
      </c>
      <c r="I513" s="9">
        <f t="shared" si="37"/>
        <v>48</v>
      </c>
      <c r="J513" s="12">
        <f>DATE(2025, MATCH(E513, {"January","February","March","April","May","June","July","August","September","October","November","December"},0),1)</f>
        <v>45717</v>
      </c>
      <c r="K513" s="13">
        <f t="shared" si="38"/>
        <v>50761.919999999998</v>
      </c>
      <c r="L513" s="13">
        <v>344.62768054333702</v>
      </c>
      <c r="M513" s="14">
        <f t="shared" si="39"/>
        <v>0.42353738998332902</v>
      </c>
    </row>
    <row r="514" spans="1:13" ht="15.5" x14ac:dyDescent="0.35">
      <c r="A514" s="8" t="s">
        <v>44</v>
      </c>
      <c r="B514" s="9" t="s">
        <v>23</v>
      </c>
      <c r="C514" s="9" t="s">
        <v>69</v>
      </c>
      <c r="D514" s="10">
        <v>219.63</v>
      </c>
      <c r="E514" s="9" t="s">
        <v>42</v>
      </c>
      <c r="F514" s="9" t="s">
        <v>30</v>
      </c>
      <c r="G514" s="9" t="str">
        <f t="shared" si="35"/>
        <v>Low Averg</v>
      </c>
      <c r="H514" s="11">
        <f t="shared" si="36"/>
        <v>206.14838709677423</v>
      </c>
      <c r="I514" s="9">
        <f t="shared" si="37"/>
        <v>31</v>
      </c>
      <c r="J514" s="12">
        <f>DATE(2025, MATCH(E514, {"January","February","March","April","May","June","July","August","September","October","November","December"},0),1)</f>
        <v>45658</v>
      </c>
      <c r="K514" s="13">
        <f t="shared" si="38"/>
        <v>6808.53</v>
      </c>
      <c r="L514" s="13">
        <v>343.74922639985402</v>
      </c>
      <c r="M514" s="14">
        <f t="shared" si="39"/>
        <v>3.9219325798696525E-2</v>
      </c>
    </row>
    <row r="515" spans="1:13" ht="15.5" x14ac:dyDescent="0.35">
      <c r="A515" s="8" t="s">
        <v>27</v>
      </c>
      <c r="B515" s="9" t="s">
        <v>28</v>
      </c>
      <c r="C515" s="9" t="s">
        <v>34</v>
      </c>
      <c r="D515" s="10">
        <v>115.69</v>
      </c>
      <c r="E515" s="9" t="s">
        <v>46</v>
      </c>
      <c r="F515" s="9" t="s">
        <v>40</v>
      </c>
      <c r="G515" s="9" t="str">
        <f t="shared" si="35"/>
        <v>Low Averg</v>
      </c>
      <c r="H515" s="11">
        <f t="shared" si="36"/>
        <v>113.26108695652174</v>
      </c>
      <c r="I515" s="9">
        <f t="shared" si="37"/>
        <v>46</v>
      </c>
      <c r="J515" s="12">
        <f>DATE(2025, MATCH(E515, {"January","February","March","April","May","June","July","August","September","October","November","December"},0),1)</f>
        <v>45870</v>
      </c>
      <c r="K515" s="13">
        <f t="shared" si="38"/>
        <v>5321.74</v>
      </c>
      <c r="L515" s="13">
        <v>343.98671155208098</v>
      </c>
      <c r="M515" s="14">
        <f t="shared" si="39"/>
        <v>7.0610664944553052E-3</v>
      </c>
    </row>
    <row r="516" spans="1:13" ht="15.5" x14ac:dyDescent="0.35">
      <c r="A516" s="8" t="s">
        <v>76</v>
      </c>
      <c r="B516" s="9" t="s">
        <v>60</v>
      </c>
      <c r="C516" s="9" t="s">
        <v>24</v>
      </c>
      <c r="D516" s="10">
        <v>276.66000000000003</v>
      </c>
      <c r="E516" s="9" t="s">
        <v>62</v>
      </c>
      <c r="F516" s="9" t="s">
        <v>36</v>
      </c>
      <c r="G516" s="9" t="str">
        <f t="shared" si="35"/>
        <v>Low Averg</v>
      </c>
      <c r="H516" s="11">
        <f t="shared" si="36"/>
        <v>304.90820512820511</v>
      </c>
      <c r="I516" s="9">
        <f t="shared" si="37"/>
        <v>39</v>
      </c>
      <c r="J516" s="12">
        <f>DATE(2025, MATCH(E516, {"January","February","March","April","May","June","July","August","September","October","November","December"},0),1)</f>
        <v>45689</v>
      </c>
      <c r="K516" s="13">
        <f t="shared" si="38"/>
        <v>10789.740000000002</v>
      </c>
      <c r="L516" s="13">
        <v>344.12298515923402</v>
      </c>
      <c r="M516" s="14">
        <f t="shared" si="39"/>
        <v>-8.2087527850352573E-2</v>
      </c>
    </row>
    <row r="517" spans="1:13" ht="15.5" x14ac:dyDescent="0.35">
      <c r="A517" s="8" t="s">
        <v>67</v>
      </c>
      <c r="B517" s="9" t="s">
        <v>23</v>
      </c>
      <c r="C517" s="9" t="s">
        <v>29</v>
      </c>
      <c r="D517" s="10">
        <v>247.9</v>
      </c>
      <c r="E517" s="9" t="s">
        <v>39</v>
      </c>
      <c r="F517" s="9" t="s">
        <v>36</v>
      </c>
      <c r="G517" s="9" t="str">
        <f t="shared" si="35"/>
        <v>Low Averg</v>
      </c>
      <c r="H517" s="11">
        <f t="shared" si="36"/>
        <v>226.566129032258</v>
      </c>
      <c r="I517" s="9">
        <f t="shared" si="37"/>
        <v>31</v>
      </c>
      <c r="J517" s="12">
        <f>DATE(2025, MATCH(E517, {"January","February","March","April","May","June","July","August","September","October","November","December"},0),1)</f>
        <v>45992</v>
      </c>
      <c r="K517" s="13">
        <f t="shared" si="38"/>
        <v>7684.9000000000005</v>
      </c>
      <c r="L517" s="13">
        <v>344.39450126732601</v>
      </c>
      <c r="M517" s="14">
        <f t="shared" si="39"/>
        <v>6.1946026691007523E-2</v>
      </c>
    </row>
    <row r="518" spans="1:13" ht="15.5" x14ac:dyDescent="0.35">
      <c r="A518" s="8" t="s">
        <v>79</v>
      </c>
      <c r="B518" s="9" t="s">
        <v>32</v>
      </c>
      <c r="C518" s="9" t="s">
        <v>61</v>
      </c>
      <c r="D518" s="10">
        <v>87.75</v>
      </c>
      <c r="E518" s="9" t="s">
        <v>16</v>
      </c>
      <c r="F518" s="9" t="s">
        <v>36</v>
      </c>
      <c r="G518" s="9" t="str">
        <f t="shared" si="35"/>
        <v>Low Averg</v>
      </c>
      <c r="H518" s="11">
        <f t="shared" si="36"/>
        <v>90.269599999999997</v>
      </c>
      <c r="I518" s="9">
        <f t="shared" si="37"/>
        <v>25</v>
      </c>
      <c r="J518" s="12">
        <f>DATE(2025, MATCH(E518, {"January","February","March","April","May","June","July","August","September","October","November","December"},0),1)</f>
        <v>45809</v>
      </c>
      <c r="K518" s="13">
        <f t="shared" si="38"/>
        <v>2193.75</v>
      </c>
      <c r="L518" s="13">
        <v>344.65181409387799</v>
      </c>
      <c r="M518" s="14">
        <f t="shared" si="39"/>
        <v>-7.3105664817818012E-3</v>
      </c>
    </row>
    <row r="519" spans="1:13" ht="15.5" x14ac:dyDescent="0.35">
      <c r="A519" s="8" t="s">
        <v>27</v>
      </c>
      <c r="B519" s="9" t="s">
        <v>28</v>
      </c>
      <c r="C519" s="9" t="s">
        <v>43</v>
      </c>
      <c r="D519" s="10">
        <v>126.33</v>
      </c>
      <c r="E519" s="9" t="s">
        <v>35</v>
      </c>
      <c r="F519" s="9" t="s">
        <v>26</v>
      </c>
      <c r="G519" s="9" t="str">
        <f t="shared" si="35"/>
        <v>Low Averg</v>
      </c>
      <c r="H519" s="11">
        <f t="shared" si="36"/>
        <v>113.26108695652174</v>
      </c>
      <c r="I519" s="9">
        <f t="shared" si="37"/>
        <v>46</v>
      </c>
      <c r="J519" s="12">
        <f>DATE(2025, MATCH(E519, {"January","February","March","April","May","June","July","August","September","October","November","December"},0),1)</f>
        <v>45778</v>
      </c>
      <c r="K519" s="13">
        <f t="shared" si="38"/>
        <v>5811.18</v>
      </c>
      <c r="L519" s="13">
        <v>344.75204958448501</v>
      </c>
      <c r="M519" s="14">
        <f t="shared" si="39"/>
        <v>3.7908151841967774E-2</v>
      </c>
    </row>
    <row r="520" spans="1:13" ht="15.5" x14ac:dyDescent="0.35">
      <c r="A520" s="8" t="s">
        <v>66</v>
      </c>
      <c r="B520" s="9" t="s">
        <v>32</v>
      </c>
      <c r="C520" s="9" t="s">
        <v>24</v>
      </c>
      <c r="D520" s="10">
        <v>151.63999999999999</v>
      </c>
      <c r="E520" s="9" t="s">
        <v>39</v>
      </c>
      <c r="F520" s="9" t="s">
        <v>30</v>
      </c>
      <c r="G520" s="9" t="str">
        <f t="shared" ref="G520:G583" si="40">IF(D520&gt;AVERAGE(D:D),"Above Averg","Low Averg")</f>
        <v>Low Averg</v>
      </c>
      <c r="H520" s="11">
        <f t="shared" ref="H520:H583" si="41">AVERAGEIF(A:A,A520,D:D)</f>
        <v>141.74161290322584</v>
      </c>
      <c r="I520" s="9">
        <f t="shared" ref="I520:I583" si="42">COUNTIF(A:A,A520)</f>
        <v>31</v>
      </c>
      <c r="J520" s="12">
        <f>DATE(2025, MATCH(E520, {"January","February","March","April","May","June","July","August","September","October","November","December"},0),1)</f>
        <v>45992</v>
      </c>
      <c r="K520" s="13">
        <f t="shared" ref="K520:K583" si="43">1*(D520*I520)</f>
        <v>4700.8399999999992</v>
      </c>
      <c r="L520" s="13">
        <v>344.901670197123</v>
      </c>
      <c r="M520" s="14">
        <f t="shared" ref="M520:M583" si="44">(D520-H520)/L520</f>
        <v>2.8699156751305032E-2</v>
      </c>
    </row>
    <row r="521" spans="1:13" ht="15.5" x14ac:dyDescent="0.35">
      <c r="A521" s="8" t="s">
        <v>18</v>
      </c>
      <c r="B521" s="9" t="s">
        <v>19</v>
      </c>
      <c r="C521" s="9" t="s">
        <v>45</v>
      </c>
      <c r="D521" s="10">
        <v>931.78</v>
      </c>
      <c r="E521" s="9" t="s">
        <v>42</v>
      </c>
      <c r="F521" s="9" t="s">
        <v>30</v>
      </c>
      <c r="G521" s="9" t="str">
        <f t="shared" si="40"/>
        <v>Above Averg</v>
      </c>
      <c r="H521" s="11">
        <f t="shared" si="41"/>
        <v>920.12567567567555</v>
      </c>
      <c r="I521" s="9">
        <f t="shared" si="42"/>
        <v>37</v>
      </c>
      <c r="J521" s="12">
        <f>DATE(2025, MATCH(E521, {"January","February","March","April","May","June","July","August","September","October","November","December"},0),1)</f>
        <v>45658</v>
      </c>
      <c r="K521" s="13">
        <f t="shared" si="43"/>
        <v>34475.86</v>
      </c>
      <c r="L521" s="13">
        <v>345.07995371871499</v>
      </c>
      <c r="M521" s="14">
        <f t="shared" si="44"/>
        <v>3.3772823366680436E-2</v>
      </c>
    </row>
    <row r="522" spans="1:13" ht="15.5" x14ac:dyDescent="0.35">
      <c r="A522" s="8" t="s">
        <v>73</v>
      </c>
      <c r="B522" s="9" t="s">
        <v>54</v>
      </c>
      <c r="C522" s="9" t="s">
        <v>69</v>
      </c>
      <c r="D522" s="10">
        <v>45.2</v>
      </c>
      <c r="E522" s="9" t="s">
        <v>62</v>
      </c>
      <c r="F522" s="9" t="s">
        <v>26</v>
      </c>
      <c r="G522" s="9" t="str">
        <f t="shared" si="40"/>
        <v>Low Averg</v>
      </c>
      <c r="H522" s="11">
        <f t="shared" si="41"/>
        <v>40.881379310344826</v>
      </c>
      <c r="I522" s="9">
        <f t="shared" si="42"/>
        <v>29</v>
      </c>
      <c r="J522" s="12">
        <f>DATE(2025, MATCH(E522, {"January","February","March","April","May","June","July","August","September","October","November","December"},0),1)</f>
        <v>45689</v>
      </c>
      <c r="K522" s="13">
        <f t="shared" si="43"/>
        <v>1310.8000000000002</v>
      </c>
      <c r="L522" s="13">
        <v>344.58685112777903</v>
      </c>
      <c r="M522" s="14">
        <f t="shared" si="44"/>
        <v>1.253274951009014E-2</v>
      </c>
    </row>
    <row r="523" spans="1:13" ht="15.5" x14ac:dyDescent="0.35">
      <c r="A523" s="8" t="s">
        <v>77</v>
      </c>
      <c r="B523" s="9" t="s">
        <v>14</v>
      </c>
      <c r="C523" s="9" t="s">
        <v>24</v>
      </c>
      <c r="D523" s="10">
        <v>203.56</v>
      </c>
      <c r="E523" s="9" t="s">
        <v>21</v>
      </c>
      <c r="F523" s="9" t="s">
        <v>30</v>
      </c>
      <c r="G523" s="9" t="str">
        <f t="shared" si="40"/>
        <v>Low Averg</v>
      </c>
      <c r="H523" s="11">
        <f t="shared" si="41"/>
        <v>226.49633333333335</v>
      </c>
      <c r="I523" s="9">
        <f t="shared" si="42"/>
        <v>30</v>
      </c>
      <c r="J523" s="12">
        <f>DATE(2025, MATCH(E523, {"January","February","March","April","May","June","July","August","September","October","November","December"},0),1)</f>
        <v>45748</v>
      </c>
      <c r="K523" s="13">
        <f t="shared" si="43"/>
        <v>6106.8</v>
      </c>
      <c r="L523" s="13">
        <v>344.62355755773302</v>
      </c>
      <c r="M523" s="14">
        <f t="shared" si="44"/>
        <v>-6.6554745983930436E-2</v>
      </c>
    </row>
    <row r="524" spans="1:13" ht="15.5" x14ac:dyDescent="0.35">
      <c r="A524" s="8" t="s">
        <v>50</v>
      </c>
      <c r="B524" s="9" t="s">
        <v>32</v>
      </c>
      <c r="C524" s="9" t="s">
        <v>43</v>
      </c>
      <c r="D524" s="10">
        <v>77.17</v>
      </c>
      <c r="E524" s="9" t="s">
        <v>62</v>
      </c>
      <c r="F524" s="9" t="s">
        <v>36</v>
      </c>
      <c r="G524" s="9" t="str">
        <f t="shared" si="40"/>
        <v>Low Averg</v>
      </c>
      <c r="H524" s="11">
        <f t="shared" si="41"/>
        <v>81.934666666666672</v>
      </c>
      <c r="I524" s="9">
        <f t="shared" si="42"/>
        <v>30</v>
      </c>
      <c r="J524" s="12">
        <f>DATE(2025, MATCH(E524, {"January","February","March","April","May","June","July","August","September","October","November","December"},0),1)</f>
        <v>45689</v>
      </c>
      <c r="K524" s="13">
        <f t="shared" si="43"/>
        <v>2315.1</v>
      </c>
      <c r="L524" s="13">
        <v>344.851705596535</v>
      </c>
      <c r="M524" s="14">
        <f t="shared" si="44"/>
        <v>-1.3816566916566658E-2</v>
      </c>
    </row>
    <row r="525" spans="1:13" ht="15.5" x14ac:dyDescent="0.35">
      <c r="A525" s="8" t="s">
        <v>37</v>
      </c>
      <c r="B525" s="9" t="s">
        <v>38</v>
      </c>
      <c r="C525" s="9" t="s">
        <v>61</v>
      </c>
      <c r="D525" s="10">
        <v>1077.05</v>
      </c>
      <c r="E525" s="9" t="s">
        <v>72</v>
      </c>
      <c r="F525" s="9" t="s">
        <v>17</v>
      </c>
      <c r="G525" s="9" t="str">
        <f t="shared" si="40"/>
        <v>Above Averg</v>
      </c>
      <c r="H525" s="11">
        <f t="shared" si="41"/>
        <v>1024.1451428571424</v>
      </c>
      <c r="I525" s="9">
        <f t="shared" si="42"/>
        <v>35</v>
      </c>
      <c r="J525" s="12">
        <f>DATE(2025, MATCH(E525, {"January","February","March","April","May","June","July","August","September","October","November","December"},0),1)</f>
        <v>45901</v>
      </c>
      <c r="K525" s="13">
        <f t="shared" si="43"/>
        <v>37696.75</v>
      </c>
      <c r="L525" s="13">
        <v>344.93660228396601</v>
      </c>
      <c r="M525" s="14">
        <f t="shared" si="44"/>
        <v>0.15337559653731397</v>
      </c>
    </row>
    <row r="526" spans="1:13" ht="15.5" x14ac:dyDescent="0.35">
      <c r="A526" s="8" t="s">
        <v>64</v>
      </c>
      <c r="B526" s="9" t="s">
        <v>60</v>
      </c>
      <c r="C526" s="9" t="s">
        <v>69</v>
      </c>
      <c r="D526" s="10">
        <v>286.48</v>
      </c>
      <c r="E526" s="9" t="s">
        <v>25</v>
      </c>
      <c r="F526" s="9" t="s">
        <v>40</v>
      </c>
      <c r="G526" s="9" t="str">
        <f t="shared" si="40"/>
        <v>Low Averg</v>
      </c>
      <c r="H526" s="11">
        <f t="shared" si="41"/>
        <v>249.29749999999999</v>
      </c>
      <c r="I526" s="9">
        <f t="shared" si="42"/>
        <v>32</v>
      </c>
      <c r="J526" s="12">
        <f>DATE(2025, MATCH(E526, {"January","February","March","April","May","June","July","August","September","October","November","December"},0),1)</f>
        <v>45931</v>
      </c>
      <c r="K526" s="13">
        <f t="shared" si="43"/>
        <v>9167.36</v>
      </c>
      <c r="L526" s="13">
        <v>343.97809893916298</v>
      </c>
      <c r="M526" s="14">
        <f t="shared" si="44"/>
        <v>0.1080955447880891</v>
      </c>
    </row>
    <row r="527" spans="1:13" ht="15.5" x14ac:dyDescent="0.35">
      <c r="A527" s="8" t="s">
        <v>47</v>
      </c>
      <c r="B527" s="9" t="s">
        <v>19</v>
      </c>
      <c r="C527" s="9" t="s">
        <v>20</v>
      </c>
      <c r="D527" s="10">
        <v>777.87</v>
      </c>
      <c r="E527" s="9" t="s">
        <v>25</v>
      </c>
      <c r="F527" s="9" t="s">
        <v>36</v>
      </c>
      <c r="G527" s="9" t="str">
        <f t="shared" si="40"/>
        <v>Above Averg</v>
      </c>
      <c r="H527" s="11">
        <f t="shared" si="41"/>
        <v>673.04079999999988</v>
      </c>
      <c r="I527" s="9">
        <f t="shared" si="42"/>
        <v>25</v>
      </c>
      <c r="J527" s="12">
        <f>DATE(2025, MATCH(E527, {"January","February","March","April","May","June","July","August","September","October","November","December"},0),1)</f>
        <v>45931</v>
      </c>
      <c r="K527" s="13">
        <f t="shared" si="43"/>
        <v>19446.75</v>
      </c>
      <c r="L527" s="13">
        <v>344.258048078287</v>
      </c>
      <c r="M527" s="14">
        <f t="shared" si="44"/>
        <v>0.30450762323546648</v>
      </c>
    </row>
    <row r="528" spans="1:13" ht="15.5" x14ac:dyDescent="0.35">
      <c r="A528" s="8" t="s">
        <v>70</v>
      </c>
      <c r="B528" s="9" t="s">
        <v>71</v>
      </c>
      <c r="C528" s="9" t="s">
        <v>61</v>
      </c>
      <c r="D528" s="10">
        <v>929.79</v>
      </c>
      <c r="E528" s="9" t="s">
        <v>16</v>
      </c>
      <c r="F528" s="9" t="s">
        <v>36</v>
      </c>
      <c r="G528" s="9" t="str">
        <f t="shared" si="40"/>
        <v>Above Averg</v>
      </c>
      <c r="H528" s="11">
        <f t="shared" si="41"/>
        <v>911.5772916666665</v>
      </c>
      <c r="I528" s="9">
        <f t="shared" si="42"/>
        <v>48</v>
      </c>
      <c r="J528" s="12">
        <f>DATE(2025, MATCH(E528, {"January","February","March","April","May","June","July","August","September","October","November","December"},0),1)</f>
        <v>45809</v>
      </c>
      <c r="K528" s="13">
        <f t="shared" si="43"/>
        <v>44629.919999999998</v>
      </c>
      <c r="L528" s="13">
        <v>344.13238836539102</v>
      </c>
      <c r="M528" s="14">
        <f t="shared" si="44"/>
        <v>5.2923551950000348E-2</v>
      </c>
    </row>
    <row r="529" spans="1:13" ht="15.5" x14ac:dyDescent="0.35">
      <c r="A529" s="8" t="s">
        <v>83</v>
      </c>
      <c r="B529" s="9" t="s">
        <v>23</v>
      </c>
      <c r="C529" s="9" t="s">
        <v>61</v>
      </c>
      <c r="D529" s="10">
        <v>115.21</v>
      </c>
      <c r="E529" s="9" t="s">
        <v>62</v>
      </c>
      <c r="F529" s="9" t="s">
        <v>17</v>
      </c>
      <c r="G529" s="9" t="str">
        <f t="shared" si="40"/>
        <v>Low Averg</v>
      </c>
      <c r="H529" s="11">
        <f t="shared" si="41"/>
        <v>132.90272727272728</v>
      </c>
      <c r="I529" s="9">
        <f t="shared" si="42"/>
        <v>22</v>
      </c>
      <c r="J529" s="12">
        <f>DATE(2025, MATCH(E529, {"January","February","March","April","May","June","July","August","September","October","November","December"},0),1)</f>
        <v>45689</v>
      </c>
      <c r="K529" s="13">
        <f t="shared" si="43"/>
        <v>2534.62</v>
      </c>
      <c r="L529" s="13">
        <v>343.631905361186</v>
      </c>
      <c r="M529" s="14">
        <f t="shared" si="44"/>
        <v>-5.1487440475385254E-2</v>
      </c>
    </row>
    <row r="530" spans="1:13" ht="15.5" x14ac:dyDescent="0.35">
      <c r="A530" s="8" t="s">
        <v>31</v>
      </c>
      <c r="B530" s="9" t="s">
        <v>32</v>
      </c>
      <c r="C530" s="9" t="s">
        <v>61</v>
      </c>
      <c r="D530" s="10">
        <v>111.14</v>
      </c>
      <c r="E530" s="9" t="s">
        <v>21</v>
      </c>
      <c r="F530" s="9" t="s">
        <v>17</v>
      </c>
      <c r="G530" s="9" t="str">
        <f t="shared" si="40"/>
        <v>Low Averg</v>
      </c>
      <c r="H530" s="11">
        <f t="shared" si="41"/>
        <v>123.43305555555558</v>
      </c>
      <c r="I530" s="9">
        <f t="shared" si="42"/>
        <v>36</v>
      </c>
      <c r="J530" s="12">
        <f>DATE(2025, MATCH(E530, {"January","February","March","April","May","June","July","August","September","October","November","December"},0),1)</f>
        <v>45748</v>
      </c>
      <c r="K530" s="13">
        <f t="shared" si="43"/>
        <v>4001.04</v>
      </c>
      <c r="L530" s="13">
        <v>343.77085179069297</v>
      </c>
      <c r="M530" s="14">
        <f t="shared" si="44"/>
        <v>-3.5759447002331329E-2</v>
      </c>
    </row>
    <row r="531" spans="1:13" ht="15.5" x14ac:dyDescent="0.35">
      <c r="A531" s="8" t="s">
        <v>67</v>
      </c>
      <c r="B531" s="9" t="s">
        <v>23</v>
      </c>
      <c r="C531" s="9" t="s">
        <v>24</v>
      </c>
      <c r="D531" s="10">
        <v>199.57</v>
      </c>
      <c r="E531" s="9" t="s">
        <v>62</v>
      </c>
      <c r="F531" s="9" t="s">
        <v>26</v>
      </c>
      <c r="G531" s="9" t="str">
        <f t="shared" si="40"/>
        <v>Low Averg</v>
      </c>
      <c r="H531" s="11">
        <f t="shared" si="41"/>
        <v>226.566129032258</v>
      </c>
      <c r="I531" s="9">
        <f t="shared" si="42"/>
        <v>31</v>
      </c>
      <c r="J531" s="12">
        <f>DATE(2025, MATCH(E531, {"January","February","March","April","May","June","July","August","September","October","November","December"},0),1)</f>
        <v>45689</v>
      </c>
      <c r="K531" s="13">
        <f t="shared" si="43"/>
        <v>6186.67</v>
      </c>
      <c r="L531" s="13">
        <v>343.90446209813399</v>
      </c>
      <c r="M531" s="14">
        <f t="shared" si="44"/>
        <v>-7.8498920507040701E-2</v>
      </c>
    </row>
    <row r="532" spans="1:13" ht="15.5" x14ac:dyDescent="0.35">
      <c r="A532" s="8" t="s">
        <v>70</v>
      </c>
      <c r="B532" s="9" t="s">
        <v>71</v>
      </c>
      <c r="C532" s="9" t="s">
        <v>49</v>
      </c>
      <c r="D532" s="10">
        <v>991.62</v>
      </c>
      <c r="E532" s="9" t="s">
        <v>42</v>
      </c>
      <c r="F532" s="9" t="s">
        <v>17</v>
      </c>
      <c r="G532" s="9" t="str">
        <f t="shared" si="40"/>
        <v>Above Averg</v>
      </c>
      <c r="H532" s="11">
        <f t="shared" si="41"/>
        <v>911.5772916666665</v>
      </c>
      <c r="I532" s="9">
        <f t="shared" si="42"/>
        <v>48</v>
      </c>
      <c r="J532" s="12">
        <f>DATE(2025, MATCH(E532, {"January","February","March","April","May","June","July","August","September","October","November","December"},0),1)</f>
        <v>45658</v>
      </c>
      <c r="K532" s="13">
        <f t="shared" si="43"/>
        <v>47597.760000000002</v>
      </c>
      <c r="L532" s="13">
        <v>344.13258868358798</v>
      </c>
      <c r="M532" s="14">
        <f t="shared" si="44"/>
        <v>0.23259264296799456</v>
      </c>
    </row>
    <row r="533" spans="1:13" ht="15.5" x14ac:dyDescent="0.35">
      <c r="A533" s="8" t="s">
        <v>75</v>
      </c>
      <c r="B533" s="9" t="s">
        <v>28</v>
      </c>
      <c r="C533" s="9" t="s">
        <v>34</v>
      </c>
      <c r="D533" s="10">
        <v>127.83</v>
      </c>
      <c r="E533" s="9" t="s">
        <v>35</v>
      </c>
      <c r="F533" s="9" t="s">
        <v>17</v>
      </c>
      <c r="G533" s="9" t="str">
        <f t="shared" si="40"/>
        <v>Low Averg</v>
      </c>
      <c r="H533" s="11">
        <f t="shared" si="41"/>
        <v>120.53625</v>
      </c>
      <c r="I533" s="9">
        <f t="shared" si="42"/>
        <v>24</v>
      </c>
      <c r="J533" s="12">
        <f>DATE(2025, MATCH(E533, {"January","February","March","April","May","June","July","August","September","October","November","December"},0),1)</f>
        <v>45778</v>
      </c>
      <c r="K533" s="13">
        <f t="shared" si="43"/>
        <v>3067.92</v>
      </c>
      <c r="L533" s="13">
        <v>343.44271050298403</v>
      </c>
      <c r="M533" s="14">
        <f t="shared" si="44"/>
        <v>2.1237166423820869E-2</v>
      </c>
    </row>
    <row r="534" spans="1:13" ht="15.5" x14ac:dyDescent="0.35">
      <c r="A534" s="8" t="s">
        <v>47</v>
      </c>
      <c r="B534" s="9" t="s">
        <v>19</v>
      </c>
      <c r="C534" s="9" t="s">
        <v>24</v>
      </c>
      <c r="D534" s="10">
        <v>569.76</v>
      </c>
      <c r="E534" s="9" t="s">
        <v>46</v>
      </c>
      <c r="F534" s="9" t="s">
        <v>40</v>
      </c>
      <c r="G534" s="9" t="str">
        <f t="shared" si="40"/>
        <v>Above Averg</v>
      </c>
      <c r="H534" s="11">
        <f t="shared" si="41"/>
        <v>673.04079999999988</v>
      </c>
      <c r="I534" s="9">
        <f t="shared" si="42"/>
        <v>25</v>
      </c>
      <c r="J534" s="12">
        <f>DATE(2025, MATCH(E534, {"January","February","March","April","May","June","July","August","September","October","November","December"},0),1)</f>
        <v>45870</v>
      </c>
      <c r="K534" s="13">
        <f t="shared" si="43"/>
        <v>14244</v>
      </c>
      <c r="L534" s="13">
        <v>343.597968890826</v>
      </c>
      <c r="M534" s="14">
        <f t="shared" si="44"/>
        <v>-0.30058617730891207</v>
      </c>
    </row>
    <row r="535" spans="1:13" ht="15.5" x14ac:dyDescent="0.35">
      <c r="A535" s="8" t="s">
        <v>77</v>
      </c>
      <c r="B535" s="9" t="s">
        <v>14</v>
      </c>
      <c r="C535" s="9" t="s">
        <v>34</v>
      </c>
      <c r="D535" s="10">
        <v>208.48</v>
      </c>
      <c r="E535" s="9" t="s">
        <v>72</v>
      </c>
      <c r="F535" s="9" t="s">
        <v>17</v>
      </c>
      <c r="G535" s="9" t="str">
        <f t="shared" si="40"/>
        <v>Low Averg</v>
      </c>
      <c r="H535" s="11">
        <f t="shared" si="41"/>
        <v>226.49633333333335</v>
      </c>
      <c r="I535" s="9">
        <f t="shared" si="42"/>
        <v>30</v>
      </c>
      <c r="J535" s="12">
        <f>DATE(2025, MATCH(E535, {"January","February","March","April","May","June","July","August","September","October","November","December"},0),1)</f>
        <v>45901</v>
      </c>
      <c r="K535" s="13">
        <f t="shared" si="43"/>
        <v>6254.4</v>
      </c>
      <c r="L535" s="13">
        <v>343.792901108786</v>
      </c>
      <c r="M535" s="14">
        <f t="shared" si="44"/>
        <v>-5.2404611250633344E-2</v>
      </c>
    </row>
    <row r="536" spans="1:13" ht="15.5" x14ac:dyDescent="0.35">
      <c r="A536" s="8" t="s">
        <v>53</v>
      </c>
      <c r="B536" s="9" t="s">
        <v>54</v>
      </c>
      <c r="C536" s="9" t="s">
        <v>24</v>
      </c>
      <c r="D536" s="10">
        <v>813.93</v>
      </c>
      <c r="E536" s="9" t="s">
        <v>16</v>
      </c>
      <c r="F536" s="9" t="s">
        <v>30</v>
      </c>
      <c r="G536" s="9" t="str">
        <f t="shared" si="40"/>
        <v>Above Averg</v>
      </c>
      <c r="H536" s="11">
        <f t="shared" si="41"/>
        <v>810.77454545454566</v>
      </c>
      <c r="I536" s="9">
        <f t="shared" si="42"/>
        <v>33</v>
      </c>
      <c r="J536" s="12">
        <f>DATE(2025, MATCH(E536, {"January","February","March","April","May","June","July","August","September","October","November","December"},0),1)</f>
        <v>45809</v>
      </c>
      <c r="K536" s="13">
        <f t="shared" si="43"/>
        <v>26859.69</v>
      </c>
      <c r="L536" s="13">
        <v>344.03049274461102</v>
      </c>
      <c r="M536" s="14">
        <f t="shared" si="44"/>
        <v>9.1720199575353427E-3</v>
      </c>
    </row>
    <row r="537" spans="1:13" ht="15.5" x14ac:dyDescent="0.35">
      <c r="A537" s="8" t="s">
        <v>13</v>
      </c>
      <c r="B537" s="9" t="s">
        <v>14</v>
      </c>
      <c r="C537" s="9" t="s">
        <v>34</v>
      </c>
      <c r="D537" s="10">
        <v>187.9</v>
      </c>
      <c r="E537" s="9" t="s">
        <v>35</v>
      </c>
      <c r="F537" s="9" t="s">
        <v>30</v>
      </c>
      <c r="G537" s="9" t="str">
        <f t="shared" si="40"/>
        <v>Low Averg</v>
      </c>
      <c r="H537" s="11">
        <f t="shared" si="41"/>
        <v>206.78702702702708</v>
      </c>
      <c r="I537" s="9">
        <f t="shared" si="42"/>
        <v>37</v>
      </c>
      <c r="J537" s="12">
        <f>DATE(2025, MATCH(E537, {"January","February","March","April","May","June","July","August","September","October","November","December"},0),1)</f>
        <v>45778</v>
      </c>
      <c r="K537" s="13">
        <f t="shared" si="43"/>
        <v>6952.3</v>
      </c>
      <c r="L537" s="13">
        <v>343.820533509195</v>
      </c>
      <c r="M537" s="14">
        <f t="shared" si="44"/>
        <v>-5.4932807049820849E-2</v>
      </c>
    </row>
    <row r="538" spans="1:13" ht="15.5" x14ac:dyDescent="0.35">
      <c r="A538" s="8" t="s">
        <v>41</v>
      </c>
      <c r="B538" s="9" t="s">
        <v>32</v>
      </c>
      <c r="C538" s="9" t="s">
        <v>29</v>
      </c>
      <c r="D538" s="10">
        <v>71.95</v>
      </c>
      <c r="E538" s="9" t="s">
        <v>25</v>
      </c>
      <c r="F538" s="9" t="s">
        <v>17</v>
      </c>
      <c r="G538" s="9" t="str">
        <f t="shared" si="40"/>
        <v>Low Averg</v>
      </c>
      <c r="H538" s="11">
        <f t="shared" si="41"/>
        <v>70.278611111111118</v>
      </c>
      <c r="I538" s="9">
        <f t="shared" si="42"/>
        <v>36</v>
      </c>
      <c r="J538" s="12">
        <f>DATE(2025, MATCH(E538, {"January","February","March","April","May","June","July","August","September","October","November","December"},0),1)</f>
        <v>45931</v>
      </c>
      <c r="K538" s="13">
        <f t="shared" si="43"/>
        <v>2590.2000000000003</v>
      </c>
      <c r="L538" s="13">
        <v>344.04177152535601</v>
      </c>
      <c r="M538" s="14">
        <f t="shared" si="44"/>
        <v>4.8580987171370337E-3</v>
      </c>
    </row>
    <row r="539" spans="1:13" ht="15.5" x14ac:dyDescent="0.35">
      <c r="A539" s="8" t="s">
        <v>44</v>
      </c>
      <c r="B539" s="9" t="s">
        <v>23</v>
      </c>
      <c r="C539" s="9" t="s">
        <v>45</v>
      </c>
      <c r="D539" s="10">
        <v>178.62</v>
      </c>
      <c r="E539" s="9" t="s">
        <v>46</v>
      </c>
      <c r="F539" s="9" t="s">
        <v>36</v>
      </c>
      <c r="G539" s="9" t="str">
        <f t="shared" si="40"/>
        <v>Low Averg</v>
      </c>
      <c r="H539" s="11">
        <f t="shared" si="41"/>
        <v>206.14838709677423</v>
      </c>
      <c r="I539" s="9">
        <f t="shared" si="42"/>
        <v>31</v>
      </c>
      <c r="J539" s="12">
        <f>DATE(2025, MATCH(E539, {"January","February","March","April","May","June","July","August","September","October","November","December"},0),1)</f>
        <v>45870</v>
      </c>
      <c r="K539" s="13">
        <f t="shared" si="43"/>
        <v>5537.22</v>
      </c>
      <c r="L539" s="13">
        <v>344.12317310007899</v>
      </c>
      <c r="M539" s="14">
        <f t="shared" si="44"/>
        <v>-7.9995737714438464E-2</v>
      </c>
    </row>
    <row r="540" spans="1:13" ht="15.5" x14ac:dyDescent="0.35">
      <c r="A540" s="8" t="s">
        <v>18</v>
      </c>
      <c r="B540" s="9" t="s">
        <v>19</v>
      </c>
      <c r="C540" s="9" t="s">
        <v>24</v>
      </c>
      <c r="D540" s="10">
        <v>854.06</v>
      </c>
      <c r="E540" s="9" t="s">
        <v>42</v>
      </c>
      <c r="F540" s="9" t="s">
        <v>30</v>
      </c>
      <c r="G540" s="9" t="str">
        <f t="shared" si="40"/>
        <v>Above Averg</v>
      </c>
      <c r="H540" s="11">
        <f t="shared" si="41"/>
        <v>920.12567567567555</v>
      </c>
      <c r="I540" s="9">
        <f t="shared" si="42"/>
        <v>37</v>
      </c>
      <c r="J540" s="12">
        <f>DATE(2025, MATCH(E540, {"January","February","March","April","May","June","July","August","September","October","November","December"},0),1)</f>
        <v>45658</v>
      </c>
      <c r="K540" s="13">
        <f t="shared" si="43"/>
        <v>31600.219999999998</v>
      </c>
      <c r="L540" s="13">
        <v>344.33605200639602</v>
      </c>
      <c r="M540" s="14">
        <f t="shared" si="44"/>
        <v>-0.19186395177246338</v>
      </c>
    </row>
    <row r="541" spans="1:13" ht="15.5" x14ac:dyDescent="0.35">
      <c r="A541" s="8" t="s">
        <v>79</v>
      </c>
      <c r="B541" s="9" t="s">
        <v>32</v>
      </c>
      <c r="C541" s="9" t="s">
        <v>20</v>
      </c>
      <c r="D541" s="10">
        <v>91.03</v>
      </c>
      <c r="E541" s="9" t="s">
        <v>42</v>
      </c>
      <c r="F541" s="9" t="s">
        <v>36</v>
      </c>
      <c r="G541" s="9" t="str">
        <f t="shared" si="40"/>
        <v>Low Averg</v>
      </c>
      <c r="H541" s="11">
        <f t="shared" si="41"/>
        <v>90.269599999999997</v>
      </c>
      <c r="I541" s="9">
        <f t="shared" si="42"/>
        <v>25</v>
      </c>
      <c r="J541" s="12">
        <f>DATE(2025, MATCH(E541, {"January","February","March","April","May","June","July","August","September","October","November","December"},0),1)</f>
        <v>45658</v>
      </c>
      <c r="K541" s="13">
        <f t="shared" si="43"/>
        <v>2275.75</v>
      </c>
      <c r="L541" s="13">
        <v>344.02973725195898</v>
      </c>
      <c r="M541" s="14">
        <f t="shared" si="44"/>
        <v>2.2102740480341261E-3</v>
      </c>
    </row>
    <row r="542" spans="1:13" ht="15.5" x14ac:dyDescent="0.35">
      <c r="A542" s="8" t="s">
        <v>64</v>
      </c>
      <c r="B542" s="9" t="s">
        <v>60</v>
      </c>
      <c r="C542" s="9" t="s">
        <v>61</v>
      </c>
      <c r="D542" s="10">
        <v>212.41</v>
      </c>
      <c r="E542" s="9" t="s">
        <v>46</v>
      </c>
      <c r="F542" s="9" t="s">
        <v>36</v>
      </c>
      <c r="G542" s="9" t="str">
        <f t="shared" si="40"/>
        <v>Low Averg</v>
      </c>
      <c r="H542" s="11">
        <f t="shared" si="41"/>
        <v>249.29749999999999</v>
      </c>
      <c r="I542" s="9">
        <f t="shared" si="42"/>
        <v>32</v>
      </c>
      <c r="J542" s="12">
        <f>DATE(2025, MATCH(E542, {"January","February","March","April","May","June","July","August","September","October","November","December"},0),1)</f>
        <v>45870</v>
      </c>
      <c r="K542" s="13">
        <f t="shared" si="43"/>
        <v>6797.12</v>
      </c>
      <c r="L542" s="13">
        <v>344.13952516981101</v>
      </c>
      <c r="M542" s="14">
        <f t="shared" si="44"/>
        <v>-0.1071876297318605</v>
      </c>
    </row>
    <row r="543" spans="1:13" ht="15.5" x14ac:dyDescent="0.35">
      <c r="A543" s="8" t="s">
        <v>68</v>
      </c>
      <c r="B543" s="9" t="s">
        <v>28</v>
      </c>
      <c r="C543" s="9" t="s">
        <v>29</v>
      </c>
      <c r="D543" s="10">
        <v>106.1</v>
      </c>
      <c r="E543" s="9" t="s">
        <v>21</v>
      </c>
      <c r="F543" s="9" t="s">
        <v>36</v>
      </c>
      <c r="G543" s="9" t="str">
        <f t="shared" si="40"/>
        <v>Low Averg</v>
      </c>
      <c r="H543" s="11">
        <f t="shared" si="41"/>
        <v>102.25285714285715</v>
      </c>
      <c r="I543" s="9">
        <f t="shared" si="42"/>
        <v>28</v>
      </c>
      <c r="J543" s="12">
        <f>DATE(2025, MATCH(E543, {"January","February","March","April","May","June","July","August","September","October","November","December"},0),1)</f>
        <v>45748</v>
      </c>
      <c r="K543" s="13">
        <f t="shared" si="43"/>
        <v>2970.7999999999997</v>
      </c>
      <c r="L543" s="13">
        <v>344.383370087196</v>
      </c>
      <c r="M543" s="14">
        <f t="shared" si="44"/>
        <v>1.1171105202230776E-2</v>
      </c>
    </row>
    <row r="544" spans="1:13" ht="15.5" x14ac:dyDescent="0.35">
      <c r="A544" s="8" t="s">
        <v>79</v>
      </c>
      <c r="B544" s="9" t="s">
        <v>32</v>
      </c>
      <c r="C544" s="9" t="s">
        <v>24</v>
      </c>
      <c r="D544" s="10">
        <v>91.25</v>
      </c>
      <c r="E544" s="9" t="s">
        <v>55</v>
      </c>
      <c r="F544" s="9" t="s">
        <v>30</v>
      </c>
      <c r="G544" s="9" t="str">
        <f t="shared" si="40"/>
        <v>Low Averg</v>
      </c>
      <c r="H544" s="11">
        <f t="shared" si="41"/>
        <v>90.269599999999997</v>
      </c>
      <c r="I544" s="9">
        <f t="shared" si="42"/>
        <v>25</v>
      </c>
      <c r="J544" s="12">
        <f>DATE(2025, MATCH(E544, {"January","February","March","April","May","June","July","August","September","October","November","December"},0),1)</f>
        <v>45962</v>
      </c>
      <c r="K544" s="13">
        <f t="shared" si="43"/>
        <v>2281.25</v>
      </c>
      <c r="L544" s="13">
        <v>344.513848432207</v>
      </c>
      <c r="M544" s="14">
        <f t="shared" si="44"/>
        <v>2.8457491751392541E-3</v>
      </c>
    </row>
    <row r="545" spans="1:13" ht="15.5" x14ac:dyDescent="0.35">
      <c r="A545" s="8" t="s">
        <v>37</v>
      </c>
      <c r="B545" s="9" t="s">
        <v>38</v>
      </c>
      <c r="C545" s="9" t="s">
        <v>34</v>
      </c>
      <c r="D545" s="10">
        <v>1079.6500000000001</v>
      </c>
      <c r="E545" s="9" t="s">
        <v>35</v>
      </c>
      <c r="F545" s="9" t="s">
        <v>30</v>
      </c>
      <c r="G545" s="9" t="str">
        <f t="shared" si="40"/>
        <v>Above Averg</v>
      </c>
      <c r="H545" s="11">
        <f t="shared" si="41"/>
        <v>1024.1451428571424</v>
      </c>
      <c r="I545" s="9">
        <f t="shared" si="42"/>
        <v>35</v>
      </c>
      <c r="J545" s="12">
        <f>DATE(2025, MATCH(E545, {"January","February","March","April","May","June","July","August","September","October","November","December"},0),1)</f>
        <v>45778</v>
      </c>
      <c r="K545" s="13">
        <f t="shared" si="43"/>
        <v>37787.75</v>
      </c>
      <c r="L545" s="13">
        <v>344.62350185294298</v>
      </c>
      <c r="M545" s="14">
        <f t="shared" si="44"/>
        <v>0.16105940785937042</v>
      </c>
    </row>
    <row r="546" spans="1:13" ht="15.5" x14ac:dyDescent="0.35">
      <c r="A546" s="8" t="s">
        <v>73</v>
      </c>
      <c r="B546" s="9" t="s">
        <v>54</v>
      </c>
      <c r="C546" s="9" t="s">
        <v>29</v>
      </c>
      <c r="D546" s="10">
        <v>39.86</v>
      </c>
      <c r="E546" s="9" t="s">
        <v>55</v>
      </c>
      <c r="F546" s="9" t="s">
        <v>36</v>
      </c>
      <c r="G546" s="9" t="str">
        <f t="shared" si="40"/>
        <v>Low Averg</v>
      </c>
      <c r="H546" s="11">
        <f t="shared" si="41"/>
        <v>40.881379310344826</v>
      </c>
      <c r="I546" s="9">
        <f t="shared" si="42"/>
        <v>29</v>
      </c>
      <c r="J546" s="12">
        <f>DATE(2025, MATCH(E546, {"January","February","March","April","May","June","July","August","September","October","November","December"},0),1)</f>
        <v>45962</v>
      </c>
      <c r="K546" s="13">
        <f t="shared" si="43"/>
        <v>1155.94</v>
      </c>
      <c r="L546" s="13">
        <v>343.61551978008998</v>
      </c>
      <c r="M546" s="14">
        <f t="shared" si="44"/>
        <v>-2.9724481333046246E-3</v>
      </c>
    </row>
    <row r="547" spans="1:13" ht="15.5" x14ac:dyDescent="0.35">
      <c r="A547" s="8" t="s">
        <v>22</v>
      </c>
      <c r="B547" s="9" t="s">
        <v>23</v>
      </c>
      <c r="C547" s="9" t="s">
        <v>20</v>
      </c>
      <c r="D547" s="10">
        <v>292.64</v>
      </c>
      <c r="E547" s="9" t="s">
        <v>62</v>
      </c>
      <c r="F547" s="9" t="s">
        <v>30</v>
      </c>
      <c r="G547" s="9" t="str">
        <f t="shared" si="40"/>
        <v>Low Averg</v>
      </c>
      <c r="H547" s="11">
        <f t="shared" si="41"/>
        <v>257.40029411764709</v>
      </c>
      <c r="I547" s="9">
        <f t="shared" si="42"/>
        <v>34</v>
      </c>
      <c r="J547" s="12">
        <f>DATE(2025, MATCH(E547, {"January","February","March","April","May","June","July","August","September","October","November","December"},0),1)</f>
        <v>45689</v>
      </c>
      <c r="K547" s="13">
        <f t="shared" si="43"/>
        <v>9949.76</v>
      </c>
      <c r="L547" s="13">
        <v>343.64491105699</v>
      </c>
      <c r="M547" s="14">
        <f t="shared" si="44"/>
        <v>0.10254685795858839</v>
      </c>
    </row>
    <row r="548" spans="1:13" ht="15.5" x14ac:dyDescent="0.35">
      <c r="A548" s="8" t="s">
        <v>78</v>
      </c>
      <c r="B548" s="9" t="s">
        <v>28</v>
      </c>
      <c r="C548" s="9" t="s">
        <v>29</v>
      </c>
      <c r="D548" s="10">
        <v>306.01</v>
      </c>
      <c r="E548" s="9" t="s">
        <v>39</v>
      </c>
      <c r="F548" s="9" t="s">
        <v>17</v>
      </c>
      <c r="G548" s="9" t="str">
        <f t="shared" si="40"/>
        <v>Low Averg</v>
      </c>
      <c r="H548" s="11">
        <f t="shared" si="41"/>
        <v>309.01727272727271</v>
      </c>
      <c r="I548" s="9">
        <f t="shared" si="42"/>
        <v>22</v>
      </c>
      <c r="J548" s="12">
        <f>DATE(2025, MATCH(E548, {"January","February","March","April","May","June","July","August","September","October","November","December"},0),1)</f>
        <v>45992</v>
      </c>
      <c r="K548" s="13">
        <f t="shared" si="43"/>
        <v>6732.2199999999993</v>
      </c>
      <c r="L548" s="13">
        <v>343.93778472889397</v>
      </c>
      <c r="M548" s="14">
        <f t="shared" si="44"/>
        <v>-8.7436532442725871E-3</v>
      </c>
    </row>
    <row r="549" spans="1:13" ht="15.5" x14ac:dyDescent="0.35">
      <c r="A549" s="8" t="s">
        <v>51</v>
      </c>
      <c r="B549" s="9" t="s">
        <v>28</v>
      </c>
      <c r="C549" s="9" t="s">
        <v>24</v>
      </c>
      <c r="D549" s="10">
        <v>130.66999999999999</v>
      </c>
      <c r="E549" s="9" t="s">
        <v>55</v>
      </c>
      <c r="F549" s="9" t="s">
        <v>26</v>
      </c>
      <c r="G549" s="9" t="str">
        <f t="shared" si="40"/>
        <v>Low Averg</v>
      </c>
      <c r="H549" s="11">
        <f t="shared" si="41"/>
        <v>122.0377142857143</v>
      </c>
      <c r="I549" s="9">
        <f t="shared" si="42"/>
        <v>35</v>
      </c>
      <c r="J549" s="12">
        <f>DATE(2025, MATCH(E549, {"January","February","March","April","May","June","July","August","September","October","November","December"},0),1)</f>
        <v>45962</v>
      </c>
      <c r="K549" s="13">
        <f t="shared" si="43"/>
        <v>4573.45</v>
      </c>
      <c r="L549" s="13">
        <v>344.23612689584502</v>
      </c>
      <c r="M549" s="14">
        <f t="shared" si="44"/>
        <v>2.5076640828281056E-2</v>
      </c>
    </row>
    <row r="550" spans="1:13" ht="15.5" x14ac:dyDescent="0.35">
      <c r="A550" s="8" t="s">
        <v>59</v>
      </c>
      <c r="B550" s="9" t="s">
        <v>60</v>
      </c>
      <c r="C550" s="9" t="s">
        <v>24</v>
      </c>
      <c r="D550" s="10">
        <v>187.98</v>
      </c>
      <c r="E550" s="9" t="s">
        <v>72</v>
      </c>
      <c r="F550" s="9" t="s">
        <v>36</v>
      </c>
      <c r="G550" s="9" t="str">
        <f t="shared" si="40"/>
        <v>Low Averg</v>
      </c>
      <c r="H550" s="11">
        <f t="shared" si="41"/>
        <v>203.25225806451613</v>
      </c>
      <c r="I550" s="9">
        <f t="shared" si="42"/>
        <v>31</v>
      </c>
      <c r="J550" s="12">
        <f>DATE(2025, MATCH(E550, {"January","February","March","April","May","June","July","August","September","October","November","December"},0),1)</f>
        <v>45901</v>
      </c>
      <c r="K550" s="13">
        <f t="shared" si="43"/>
        <v>5827.38</v>
      </c>
      <c r="L550" s="13">
        <v>344.39902550758899</v>
      </c>
      <c r="M550" s="14">
        <f t="shared" si="44"/>
        <v>-4.4344661086097081E-2</v>
      </c>
    </row>
    <row r="551" spans="1:13" ht="15.5" x14ac:dyDescent="0.35">
      <c r="A551" s="8" t="s">
        <v>75</v>
      </c>
      <c r="B551" s="9" t="s">
        <v>28</v>
      </c>
      <c r="C551" s="9" t="s">
        <v>24</v>
      </c>
      <c r="D551" s="10">
        <v>119.94</v>
      </c>
      <c r="E551" s="9" t="s">
        <v>35</v>
      </c>
      <c r="F551" s="9" t="s">
        <v>26</v>
      </c>
      <c r="G551" s="9" t="str">
        <f t="shared" si="40"/>
        <v>Low Averg</v>
      </c>
      <c r="H551" s="11">
        <f t="shared" si="41"/>
        <v>120.53625</v>
      </c>
      <c r="I551" s="9">
        <f t="shared" si="42"/>
        <v>24</v>
      </c>
      <c r="J551" s="12">
        <f>DATE(2025, MATCH(E551, {"January","February","March","April","May","June","July","August","September","October","November","December"},0),1)</f>
        <v>45778</v>
      </c>
      <c r="K551" s="13">
        <f t="shared" si="43"/>
        <v>2878.56</v>
      </c>
      <c r="L551" s="13">
        <v>344.62430670146</v>
      </c>
      <c r="M551" s="14">
        <f t="shared" si="44"/>
        <v>-1.7301449387216764E-3</v>
      </c>
    </row>
    <row r="552" spans="1:13" ht="15.5" x14ac:dyDescent="0.35">
      <c r="A552" s="8" t="s">
        <v>13</v>
      </c>
      <c r="B552" s="9" t="s">
        <v>14</v>
      </c>
      <c r="C552" s="9" t="s">
        <v>45</v>
      </c>
      <c r="D552" s="10">
        <v>232.37</v>
      </c>
      <c r="E552" s="9" t="s">
        <v>25</v>
      </c>
      <c r="F552" s="9" t="s">
        <v>26</v>
      </c>
      <c r="G552" s="9" t="str">
        <f t="shared" si="40"/>
        <v>Low Averg</v>
      </c>
      <c r="H552" s="11">
        <f t="shared" si="41"/>
        <v>206.78702702702708</v>
      </c>
      <c r="I552" s="9">
        <f t="shared" si="42"/>
        <v>37</v>
      </c>
      <c r="J552" s="12">
        <f>DATE(2025, MATCH(E552, {"January","February","March","April","May","June","July","August","September","October","November","December"},0),1)</f>
        <v>45931</v>
      </c>
      <c r="K552" s="13">
        <f t="shared" si="43"/>
        <v>8597.69</v>
      </c>
      <c r="L552" s="13">
        <v>344.773754001349</v>
      </c>
      <c r="M552" s="14">
        <f t="shared" si="44"/>
        <v>7.4202205579931776E-2</v>
      </c>
    </row>
    <row r="553" spans="1:13" ht="15.5" x14ac:dyDescent="0.35">
      <c r="A553" s="8" t="s">
        <v>22</v>
      </c>
      <c r="B553" s="9" t="s">
        <v>23</v>
      </c>
      <c r="C553" s="9" t="s">
        <v>43</v>
      </c>
      <c r="D553" s="10">
        <v>276.77</v>
      </c>
      <c r="E553" s="9" t="s">
        <v>39</v>
      </c>
      <c r="F553" s="9" t="s">
        <v>26</v>
      </c>
      <c r="G553" s="9" t="str">
        <f t="shared" si="40"/>
        <v>Low Averg</v>
      </c>
      <c r="H553" s="11">
        <f t="shared" si="41"/>
        <v>257.40029411764709</v>
      </c>
      <c r="I553" s="9">
        <f t="shared" si="42"/>
        <v>34</v>
      </c>
      <c r="J553" s="12">
        <f>DATE(2025, MATCH(E553, {"January","February","March","April","May","June","July","August","September","October","November","December"},0),1)</f>
        <v>45992</v>
      </c>
      <c r="K553" s="13">
        <f t="shared" si="43"/>
        <v>9410.18</v>
      </c>
      <c r="L553" s="13">
        <v>345.036347899502</v>
      </c>
      <c r="M553" s="14">
        <f t="shared" si="44"/>
        <v>5.6138160516336855E-2</v>
      </c>
    </row>
    <row r="554" spans="1:13" ht="15.5" x14ac:dyDescent="0.35">
      <c r="A554" s="8" t="s">
        <v>73</v>
      </c>
      <c r="B554" s="9" t="s">
        <v>54</v>
      </c>
      <c r="C554" s="9" t="s">
        <v>69</v>
      </c>
      <c r="D554" s="10">
        <v>40.130000000000003</v>
      </c>
      <c r="E554" s="9" t="s">
        <v>25</v>
      </c>
      <c r="F554" s="9" t="s">
        <v>36</v>
      </c>
      <c r="G554" s="9" t="str">
        <f t="shared" si="40"/>
        <v>Low Averg</v>
      </c>
      <c r="H554" s="11">
        <f t="shared" si="41"/>
        <v>40.881379310344826</v>
      </c>
      <c r="I554" s="9">
        <f t="shared" si="42"/>
        <v>29</v>
      </c>
      <c r="J554" s="12">
        <f>DATE(2025, MATCH(E554, {"January","February","March","April","May","June","July","August","September","October","November","December"},0),1)</f>
        <v>45931</v>
      </c>
      <c r="K554" s="13">
        <f t="shared" si="43"/>
        <v>1163.77</v>
      </c>
      <c r="L554" s="13">
        <v>345.32607017620001</v>
      </c>
      <c r="M554" s="14">
        <f t="shared" si="44"/>
        <v>-2.1758545769841185E-3</v>
      </c>
    </row>
    <row r="555" spans="1:13" ht="15.5" x14ac:dyDescent="0.35">
      <c r="A555" s="8" t="s">
        <v>64</v>
      </c>
      <c r="B555" s="9" t="s">
        <v>60</v>
      </c>
      <c r="C555" s="9" t="s">
        <v>45</v>
      </c>
      <c r="D555" s="10">
        <v>266.14999999999998</v>
      </c>
      <c r="E555" s="9" t="s">
        <v>62</v>
      </c>
      <c r="F555" s="9" t="s">
        <v>26</v>
      </c>
      <c r="G555" s="9" t="str">
        <f t="shared" si="40"/>
        <v>Low Averg</v>
      </c>
      <c r="H555" s="11">
        <f t="shared" si="41"/>
        <v>249.29749999999999</v>
      </c>
      <c r="I555" s="9">
        <f t="shared" si="42"/>
        <v>32</v>
      </c>
      <c r="J555" s="12">
        <f>DATE(2025, MATCH(E555, {"January","February","March","April","May","June","July","August","September","October","November","December"},0),1)</f>
        <v>45689</v>
      </c>
      <c r="K555" s="13">
        <f t="shared" si="43"/>
        <v>8516.7999999999993</v>
      </c>
      <c r="L555" s="13">
        <v>345.35511175614801</v>
      </c>
      <c r="M555" s="14">
        <f t="shared" si="44"/>
        <v>4.8797598258511904E-2</v>
      </c>
    </row>
    <row r="556" spans="1:13" ht="15.5" x14ac:dyDescent="0.35">
      <c r="A556" s="8" t="s">
        <v>66</v>
      </c>
      <c r="B556" s="9" t="s">
        <v>32</v>
      </c>
      <c r="C556" s="9" t="s">
        <v>20</v>
      </c>
      <c r="D556" s="10">
        <v>145.16</v>
      </c>
      <c r="E556" s="9" t="s">
        <v>25</v>
      </c>
      <c r="F556" s="9" t="s">
        <v>17</v>
      </c>
      <c r="G556" s="9" t="str">
        <f t="shared" si="40"/>
        <v>Low Averg</v>
      </c>
      <c r="H556" s="11">
        <f t="shared" si="41"/>
        <v>141.74161290322584</v>
      </c>
      <c r="I556" s="9">
        <f t="shared" si="42"/>
        <v>31</v>
      </c>
      <c r="J556" s="12">
        <f>DATE(2025, MATCH(E556, {"January","February","March","April","May","June","July","August","September","October","November","December"},0),1)</f>
        <v>45931</v>
      </c>
      <c r="K556" s="13">
        <f t="shared" si="43"/>
        <v>4499.96</v>
      </c>
      <c r="L556" s="13">
        <v>345.64035872407499</v>
      </c>
      <c r="M556" s="14">
        <f t="shared" si="44"/>
        <v>9.8900114251503132E-3</v>
      </c>
    </row>
    <row r="557" spans="1:13" ht="15.5" x14ac:dyDescent="0.35">
      <c r="A557" s="8" t="s">
        <v>44</v>
      </c>
      <c r="B557" s="9" t="s">
        <v>23</v>
      </c>
      <c r="C557" s="9" t="s">
        <v>15</v>
      </c>
      <c r="D557" s="10">
        <v>214.31</v>
      </c>
      <c r="E557" s="9" t="s">
        <v>63</v>
      </c>
      <c r="F557" s="9" t="s">
        <v>36</v>
      </c>
      <c r="G557" s="9" t="str">
        <f t="shared" si="40"/>
        <v>Low Averg</v>
      </c>
      <c r="H557" s="11">
        <f t="shared" si="41"/>
        <v>206.14838709677423</v>
      </c>
      <c r="I557" s="9">
        <f t="shared" si="42"/>
        <v>31</v>
      </c>
      <c r="J557" s="12">
        <f>DATE(2025, MATCH(E557, {"January","February","March","April","May","June","July","August","September","October","November","December"},0),1)</f>
        <v>45717</v>
      </c>
      <c r="K557" s="13">
        <f t="shared" si="43"/>
        <v>6643.61</v>
      </c>
      <c r="L557" s="13">
        <v>345.821895827947</v>
      </c>
      <c r="M557" s="14">
        <f t="shared" si="44"/>
        <v>2.3600625066512074E-2</v>
      </c>
    </row>
    <row r="558" spans="1:13" ht="15.5" x14ac:dyDescent="0.35">
      <c r="A558" s="8" t="s">
        <v>76</v>
      </c>
      <c r="B558" s="9" t="s">
        <v>60</v>
      </c>
      <c r="C558" s="9" t="s">
        <v>24</v>
      </c>
      <c r="D558" s="10">
        <v>268.31</v>
      </c>
      <c r="E558" s="9" t="s">
        <v>21</v>
      </c>
      <c r="F558" s="9" t="s">
        <v>40</v>
      </c>
      <c r="G558" s="9" t="str">
        <f t="shared" si="40"/>
        <v>Low Averg</v>
      </c>
      <c r="H558" s="11">
        <f t="shared" si="41"/>
        <v>304.90820512820511</v>
      </c>
      <c r="I558" s="9">
        <f t="shared" si="42"/>
        <v>39</v>
      </c>
      <c r="J558" s="12">
        <f>DATE(2025, MATCH(E558, {"January","February","March","April","May","June","July","August","September","October","November","December"},0),1)</f>
        <v>45748</v>
      </c>
      <c r="K558" s="13">
        <f t="shared" si="43"/>
        <v>10464.09</v>
      </c>
      <c r="L558" s="13">
        <v>346.07287008198699</v>
      </c>
      <c r="M558" s="14">
        <f t="shared" si="44"/>
        <v>-0.10575288701346265</v>
      </c>
    </row>
    <row r="559" spans="1:13" ht="15.5" x14ac:dyDescent="0.35">
      <c r="A559" s="8" t="s">
        <v>48</v>
      </c>
      <c r="B559" s="9" t="s">
        <v>19</v>
      </c>
      <c r="C559" s="9" t="s">
        <v>20</v>
      </c>
      <c r="D559" s="10">
        <v>1358.35</v>
      </c>
      <c r="E559" s="9" t="s">
        <v>42</v>
      </c>
      <c r="F559" s="9" t="s">
        <v>40</v>
      </c>
      <c r="G559" s="9" t="str">
        <f t="shared" si="40"/>
        <v>Above Averg</v>
      </c>
      <c r="H559" s="11">
        <f t="shared" si="41"/>
        <v>1235.856</v>
      </c>
      <c r="I559" s="9">
        <f t="shared" si="42"/>
        <v>25</v>
      </c>
      <c r="J559" s="12">
        <f>DATE(2025, MATCH(E559, {"January","February","March","April","May","June","July","August","September","October","November","December"},0),1)</f>
        <v>45658</v>
      </c>
      <c r="K559" s="13">
        <f t="shared" si="43"/>
        <v>33958.75</v>
      </c>
      <c r="L559" s="13">
        <v>346.36108504243998</v>
      </c>
      <c r="M559" s="14">
        <f t="shared" si="44"/>
        <v>0.35365982291281539</v>
      </c>
    </row>
    <row r="560" spans="1:13" ht="15.5" x14ac:dyDescent="0.35">
      <c r="A560" s="8" t="s">
        <v>68</v>
      </c>
      <c r="B560" s="9" t="s">
        <v>28</v>
      </c>
      <c r="C560" s="9" t="s">
        <v>20</v>
      </c>
      <c r="D560" s="10">
        <v>95.01</v>
      </c>
      <c r="E560" s="9" t="s">
        <v>62</v>
      </c>
      <c r="F560" s="9" t="s">
        <v>26</v>
      </c>
      <c r="G560" s="9" t="str">
        <f t="shared" si="40"/>
        <v>Low Averg</v>
      </c>
      <c r="H560" s="11">
        <f t="shared" si="41"/>
        <v>102.25285714285715</v>
      </c>
      <c r="I560" s="9">
        <f t="shared" si="42"/>
        <v>28</v>
      </c>
      <c r="J560" s="12">
        <f>DATE(2025, MATCH(E560, {"January","February","March","April","May","June","July","August","September","October","November","December"},0),1)</f>
        <v>45689</v>
      </c>
      <c r="K560" s="13">
        <f t="shared" si="43"/>
        <v>2660.28</v>
      </c>
      <c r="L560" s="13">
        <v>344.08963750995503</v>
      </c>
      <c r="M560" s="14">
        <f t="shared" si="44"/>
        <v>-2.1049332363714673E-2</v>
      </c>
    </row>
    <row r="561" spans="1:13" ht="15.5" x14ac:dyDescent="0.35">
      <c r="A561" s="8" t="s">
        <v>41</v>
      </c>
      <c r="B561" s="9" t="s">
        <v>32</v>
      </c>
      <c r="C561" s="9" t="s">
        <v>69</v>
      </c>
      <c r="D561" s="10">
        <v>68.45</v>
      </c>
      <c r="E561" s="9" t="s">
        <v>72</v>
      </c>
      <c r="F561" s="9" t="s">
        <v>17</v>
      </c>
      <c r="G561" s="9" t="str">
        <f t="shared" si="40"/>
        <v>Low Averg</v>
      </c>
      <c r="H561" s="11">
        <f t="shared" si="41"/>
        <v>70.278611111111118</v>
      </c>
      <c r="I561" s="9">
        <f t="shared" si="42"/>
        <v>36</v>
      </c>
      <c r="J561" s="12">
        <f>DATE(2025, MATCH(E561, {"January","February","March","April","May","June","July","August","September","October","November","December"},0),1)</f>
        <v>45901</v>
      </c>
      <c r="K561" s="13">
        <f t="shared" si="43"/>
        <v>2464.2000000000003</v>
      </c>
      <c r="L561" s="13">
        <v>344.20515969481499</v>
      </c>
      <c r="M561" s="14">
        <f t="shared" si="44"/>
        <v>-5.3125615918495515E-3</v>
      </c>
    </row>
    <row r="562" spans="1:13" ht="15.5" x14ac:dyDescent="0.35">
      <c r="A562" s="8" t="s">
        <v>58</v>
      </c>
      <c r="B562" s="9" t="s">
        <v>23</v>
      </c>
      <c r="C562" s="9" t="s">
        <v>24</v>
      </c>
      <c r="D562" s="10">
        <v>108.58</v>
      </c>
      <c r="E562" s="9" t="s">
        <v>72</v>
      </c>
      <c r="F562" s="9" t="s">
        <v>26</v>
      </c>
      <c r="G562" s="9" t="str">
        <f t="shared" si="40"/>
        <v>Low Averg</v>
      </c>
      <c r="H562" s="11">
        <f t="shared" si="41"/>
        <v>121.60903225806452</v>
      </c>
      <c r="I562" s="9">
        <f t="shared" si="42"/>
        <v>31</v>
      </c>
      <c r="J562" s="12">
        <f>DATE(2025, MATCH(E562, {"January","February","March","April","May","June","July","August","September","October","November","December"},0),1)</f>
        <v>45901</v>
      </c>
      <c r="K562" s="13">
        <f t="shared" si="43"/>
        <v>3365.98</v>
      </c>
      <c r="L562" s="13">
        <v>344.27958596946303</v>
      </c>
      <c r="M562" s="14">
        <f t="shared" si="44"/>
        <v>-3.7844335792887152E-2</v>
      </c>
    </row>
    <row r="563" spans="1:13" ht="15.5" x14ac:dyDescent="0.35">
      <c r="A563" s="8" t="s">
        <v>79</v>
      </c>
      <c r="B563" s="9" t="s">
        <v>32</v>
      </c>
      <c r="C563" s="9" t="s">
        <v>20</v>
      </c>
      <c r="D563" s="10">
        <v>97.2</v>
      </c>
      <c r="E563" s="9" t="s">
        <v>55</v>
      </c>
      <c r="F563" s="9" t="s">
        <v>40</v>
      </c>
      <c r="G563" s="9" t="str">
        <f t="shared" si="40"/>
        <v>Low Averg</v>
      </c>
      <c r="H563" s="11">
        <f t="shared" si="41"/>
        <v>90.269599999999997</v>
      </c>
      <c r="I563" s="9">
        <f t="shared" si="42"/>
        <v>25</v>
      </c>
      <c r="J563" s="12">
        <f>DATE(2025, MATCH(E563, {"January","February","March","April","May","June","July","August","September","October","November","December"},0),1)</f>
        <v>45962</v>
      </c>
      <c r="K563" s="13">
        <f t="shared" si="43"/>
        <v>2430</v>
      </c>
      <c r="L563" s="13">
        <v>344.41371177806502</v>
      </c>
      <c r="M563" s="14">
        <f t="shared" si="44"/>
        <v>2.0122311519542087E-2</v>
      </c>
    </row>
    <row r="564" spans="1:13" ht="15.5" x14ac:dyDescent="0.35">
      <c r="A564" s="8" t="s">
        <v>75</v>
      </c>
      <c r="B564" s="9" t="s">
        <v>28</v>
      </c>
      <c r="C564" s="9" t="s">
        <v>49</v>
      </c>
      <c r="D564" s="10">
        <v>109.98</v>
      </c>
      <c r="E564" s="9" t="s">
        <v>57</v>
      </c>
      <c r="F564" s="9" t="s">
        <v>17</v>
      </c>
      <c r="G564" s="9" t="str">
        <f t="shared" si="40"/>
        <v>Low Averg</v>
      </c>
      <c r="H564" s="11">
        <f t="shared" si="41"/>
        <v>120.53625</v>
      </c>
      <c r="I564" s="9">
        <f t="shared" si="42"/>
        <v>24</v>
      </c>
      <c r="J564" s="12">
        <f>DATE(2025, MATCH(E564, {"January","February","March","April","May","June","July","August","September","October","November","December"},0),1)</f>
        <v>45839</v>
      </c>
      <c r="K564" s="13">
        <f t="shared" si="43"/>
        <v>2639.52</v>
      </c>
      <c r="L564" s="13">
        <v>344.531323245951</v>
      </c>
      <c r="M564" s="14">
        <f t="shared" si="44"/>
        <v>-3.0639449268489844E-2</v>
      </c>
    </row>
    <row r="565" spans="1:13" ht="15.5" x14ac:dyDescent="0.35">
      <c r="A565" s="8" t="s">
        <v>44</v>
      </c>
      <c r="B565" s="9" t="s">
        <v>23</v>
      </c>
      <c r="C565" s="9" t="s">
        <v>61</v>
      </c>
      <c r="D565" s="10">
        <v>213.45</v>
      </c>
      <c r="E565" s="9" t="s">
        <v>46</v>
      </c>
      <c r="F565" s="9" t="s">
        <v>36</v>
      </c>
      <c r="G565" s="9" t="str">
        <f t="shared" si="40"/>
        <v>Low Averg</v>
      </c>
      <c r="H565" s="11">
        <f t="shared" si="41"/>
        <v>206.14838709677423</v>
      </c>
      <c r="I565" s="9">
        <f t="shared" si="42"/>
        <v>31</v>
      </c>
      <c r="J565" s="12">
        <f>DATE(2025, MATCH(E565, {"January","February","March","April","May","June","July","August","September","October","November","December"},0),1)</f>
        <v>45870</v>
      </c>
      <c r="K565" s="13">
        <f t="shared" si="43"/>
        <v>6616.95</v>
      </c>
      <c r="L565" s="13">
        <v>344.666895001466</v>
      </c>
      <c r="M565" s="14">
        <f t="shared" si="44"/>
        <v>2.1184549514668947E-2</v>
      </c>
    </row>
    <row r="566" spans="1:13" ht="15.5" x14ac:dyDescent="0.35">
      <c r="A566" s="8" t="s">
        <v>50</v>
      </c>
      <c r="B566" s="9" t="s">
        <v>32</v>
      </c>
      <c r="C566" s="9" t="s">
        <v>20</v>
      </c>
      <c r="D566" s="10">
        <v>85.04</v>
      </c>
      <c r="E566" s="9" t="s">
        <v>57</v>
      </c>
      <c r="F566" s="9" t="s">
        <v>36</v>
      </c>
      <c r="G566" s="9" t="str">
        <f t="shared" si="40"/>
        <v>Low Averg</v>
      </c>
      <c r="H566" s="11">
        <f t="shared" si="41"/>
        <v>81.934666666666672</v>
      </c>
      <c r="I566" s="9">
        <f t="shared" si="42"/>
        <v>30</v>
      </c>
      <c r="J566" s="12">
        <f>DATE(2025, MATCH(E566, {"January","February","March","April","May","June","July","August","September","October","November","December"},0),1)</f>
        <v>45839</v>
      </c>
      <c r="K566" s="13">
        <f t="shared" si="43"/>
        <v>2551.2000000000003</v>
      </c>
      <c r="L566" s="13">
        <v>344.91858013106901</v>
      </c>
      <c r="M566" s="14">
        <f t="shared" si="44"/>
        <v>9.0030909096091832E-3</v>
      </c>
    </row>
    <row r="567" spans="1:13" ht="15.5" x14ac:dyDescent="0.35">
      <c r="A567" s="8" t="s">
        <v>18</v>
      </c>
      <c r="B567" s="9" t="s">
        <v>19</v>
      </c>
      <c r="C567" s="9" t="s">
        <v>34</v>
      </c>
      <c r="D567" s="10">
        <v>917.57</v>
      </c>
      <c r="E567" s="9" t="s">
        <v>55</v>
      </c>
      <c r="F567" s="9" t="s">
        <v>36</v>
      </c>
      <c r="G567" s="9" t="str">
        <f t="shared" si="40"/>
        <v>Above Averg</v>
      </c>
      <c r="H567" s="11">
        <f t="shared" si="41"/>
        <v>920.12567567567555</v>
      </c>
      <c r="I567" s="9">
        <f t="shared" si="42"/>
        <v>37</v>
      </c>
      <c r="J567" s="12">
        <f>DATE(2025, MATCH(E567, {"January","February","March","April","May","June","July","August","September","October","November","December"},0),1)</f>
        <v>45962</v>
      </c>
      <c r="K567" s="13">
        <f t="shared" si="43"/>
        <v>33950.090000000004</v>
      </c>
      <c r="L567" s="13">
        <v>345.01740573219399</v>
      </c>
      <c r="M567" s="14">
        <f t="shared" si="44"/>
        <v>-7.4073818688998073E-3</v>
      </c>
    </row>
    <row r="568" spans="1:13" ht="15.5" x14ac:dyDescent="0.35">
      <c r="A568" s="8" t="s">
        <v>65</v>
      </c>
      <c r="B568" s="9" t="s">
        <v>23</v>
      </c>
      <c r="C568" s="9" t="s">
        <v>49</v>
      </c>
      <c r="D568" s="10">
        <v>166.23</v>
      </c>
      <c r="E568" s="9" t="s">
        <v>39</v>
      </c>
      <c r="F568" s="9" t="s">
        <v>40</v>
      </c>
      <c r="G568" s="9" t="str">
        <f t="shared" si="40"/>
        <v>Low Averg</v>
      </c>
      <c r="H568" s="11">
        <f t="shared" si="41"/>
        <v>151.26457142857143</v>
      </c>
      <c r="I568" s="9">
        <f t="shared" si="42"/>
        <v>35</v>
      </c>
      <c r="J568" s="12">
        <f>DATE(2025, MATCH(E568, {"January","February","March","April","May","June","July","August","September","October","November","December"},0),1)</f>
        <v>45992</v>
      </c>
      <c r="K568" s="13">
        <f t="shared" si="43"/>
        <v>5818.0499999999993</v>
      </c>
      <c r="L568" s="13">
        <v>344.53513406483103</v>
      </c>
      <c r="M568" s="14">
        <f t="shared" si="44"/>
        <v>4.3436581909270598E-2</v>
      </c>
    </row>
    <row r="569" spans="1:13" ht="15.5" x14ac:dyDescent="0.35">
      <c r="A569" s="8" t="s">
        <v>65</v>
      </c>
      <c r="B569" s="9" t="s">
        <v>23</v>
      </c>
      <c r="C569" s="9" t="s">
        <v>49</v>
      </c>
      <c r="D569" s="10">
        <v>142.33000000000001</v>
      </c>
      <c r="E569" s="9" t="s">
        <v>46</v>
      </c>
      <c r="F569" s="9" t="s">
        <v>26</v>
      </c>
      <c r="G569" s="9" t="str">
        <f t="shared" si="40"/>
        <v>Low Averg</v>
      </c>
      <c r="H569" s="11">
        <f t="shared" si="41"/>
        <v>151.26457142857143</v>
      </c>
      <c r="I569" s="9">
        <f t="shared" si="42"/>
        <v>35</v>
      </c>
      <c r="J569" s="12">
        <f>DATE(2025, MATCH(E569, {"January","February","March","April","May","June","July","August","September","October","November","December"},0),1)</f>
        <v>45870</v>
      </c>
      <c r="K569" s="13">
        <f t="shared" si="43"/>
        <v>4981.55</v>
      </c>
      <c r="L569" s="13">
        <v>344.742052832144</v>
      </c>
      <c r="M569" s="14">
        <f t="shared" si="44"/>
        <v>-2.5916685693467421E-2</v>
      </c>
    </row>
    <row r="570" spans="1:13" ht="15.5" x14ac:dyDescent="0.35">
      <c r="A570" s="8" t="s">
        <v>65</v>
      </c>
      <c r="B570" s="9" t="s">
        <v>23</v>
      </c>
      <c r="C570" s="9" t="s">
        <v>49</v>
      </c>
      <c r="D570" s="10">
        <v>133.71</v>
      </c>
      <c r="E570" s="9" t="s">
        <v>57</v>
      </c>
      <c r="F570" s="9" t="s">
        <v>17</v>
      </c>
      <c r="G570" s="9" t="str">
        <f t="shared" si="40"/>
        <v>Low Averg</v>
      </c>
      <c r="H570" s="11">
        <f t="shared" si="41"/>
        <v>151.26457142857143</v>
      </c>
      <c r="I570" s="9">
        <f t="shared" si="42"/>
        <v>35</v>
      </c>
      <c r="J570" s="12">
        <f>DATE(2025, MATCH(E570, {"January","February","March","April","May","June","July","August","September","October","November","December"},0),1)</f>
        <v>45839</v>
      </c>
      <c r="K570" s="13">
        <f t="shared" si="43"/>
        <v>4679.8500000000004</v>
      </c>
      <c r="L570" s="13">
        <v>344.92114345965302</v>
      </c>
      <c r="M570" s="14">
        <f t="shared" si="44"/>
        <v>-5.0894448662944486E-2</v>
      </c>
    </row>
    <row r="571" spans="1:13" ht="15.5" x14ac:dyDescent="0.35">
      <c r="A571" s="8" t="s">
        <v>27</v>
      </c>
      <c r="B571" s="9" t="s">
        <v>28</v>
      </c>
      <c r="C571" s="9" t="s">
        <v>24</v>
      </c>
      <c r="D571" s="10">
        <v>99.03</v>
      </c>
      <c r="E571" s="9" t="s">
        <v>63</v>
      </c>
      <c r="F571" s="9" t="s">
        <v>26</v>
      </c>
      <c r="G571" s="9" t="str">
        <f t="shared" si="40"/>
        <v>Low Averg</v>
      </c>
      <c r="H571" s="11">
        <f t="shared" si="41"/>
        <v>113.26108695652174</v>
      </c>
      <c r="I571" s="9">
        <f t="shared" si="42"/>
        <v>46</v>
      </c>
      <c r="J571" s="12">
        <f>DATE(2025, MATCH(E571, {"January","February","March","April","May","June","July","August","September","October","November","December"},0),1)</f>
        <v>45717</v>
      </c>
      <c r="K571" s="13">
        <f t="shared" si="43"/>
        <v>4555.38</v>
      </c>
      <c r="L571" s="13">
        <v>345.08936908729203</v>
      </c>
      <c r="M571" s="14">
        <f t="shared" si="44"/>
        <v>-4.1238844865493125E-2</v>
      </c>
    </row>
    <row r="572" spans="1:13" ht="15.5" x14ac:dyDescent="0.35">
      <c r="A572" s="8" t="s">
        <v>59</v>
      </c>
      <c r="B572" s="9" t="s">
        <v>60</v>
      </c>
      <c r="C572" s="9" t="s">
        <v>20</v>
      </c>
      <c r="D572" s="10">
        <v>206.98</v>
      </c>
      <c r="E572" s="9" t="s">
        <v>57</v>
      </c>
      <c r="F572" s="9" t="s">
        <v>26</v>
      </c>
      <c r="G572" s="9" t="str">
        <f t="shared" si="40"/>
        <v>Low Averg</v>
      </c>
      <c r="H572" s="11">
        <f t="shared" si="41"/>
        <v>203.25225806451613</v>
      </c>
      <c r="I572" s="9">
        <f t="shared" si="42"/>
        <v>31</v>
      </c>
      <c r="J572" s="12">
        <f>DATE(2025, MATCH(E572, {"January","February","March","April","May","June","July","August","September","October","November","December"},0),1)</f>
        <v>45839</v>
      </c>
      <c r="K572" s="13">
        <f t="shared" si="43"/>
        <v>6416.38</v>
      </c>
      <c r="L572" s="13">
        <v>345.20945003455199</v>
      </c>
      <c r="M572" s="14">
        <f t="shared" si="44"/>
        <v>1.0798493306341276E-2</v>
      </c>
    </row>
    <row r="573" spans="1:13" ht="15.5" x14ac:dyDescent="0.35">
      <c r="A573" s="8" t="s">
        <v>58</v>
      </c>
      <c r="B573" s="9" t="s">
        <v>23</v>
      </c>
      <c r="C573" s="9" t="s">
        <v>61</v>
      </c>
      <c r="D573" s="10">
        <v>117.54</v>
      </c>
      <c r="E573" s="9" t="s">
        <v>35</v>
      </c>
      <c r="F573" s="9" t="s">
        <v>40</v>
      </c>
      <c r="G573" s="9" t="str">
        <f t="shared" si="40"/>
        <v>Low Averg</v>
      </c>
      <c r="H573" s="11">
        <f t="shared" si="41"/>
        <v>121.60903225806452</v>
      </c>
      <c r="I573" s="9">
        <f t="shared" si="42"/>
        <v>31</v>
      </c>
      <c r="J573" s="12">
        <f>DATE(2025, MATCH(E573, {"January","February","March","April","May","June","July","August","September","October","November","December"},0),1)</f>
        <v>45778</v>
      </c>
      <c r="K573" s="13">
        <f t="shared" si="43"/>
        <v>3643.7400000000002</v>
      </c>
      <c r="L573" s="13">
        <v>345.45798822174601</v>
      </c>
      <c r="M573" s="14">
        <f t="shared" si="44"/>
        <v>-1.1778660204124849E-2</v>
      </c>
    </row>
    <row r="574" spans="1:13" ht="15.5" x14ac:dyDescent="0.35">
      <c r="A574" s="8" t="s">
        <v>18</v>
      </c>
      <c r="B574" s="9" t="s">
        <v>19</v>
      </c>
      <c r="C574" s="9" t="s">
        <v>61</v>
      </c>
      <c r="D574" s="10">
        <v>1034.1400000000001</v>
      </c>
      <c r="E574" s="9" t="s">
        <v>39</v>
      </c>
      <c r="F574" s="9" t="s">
        <v>26</v>
      </c>
      <c r="G574" s="9" t="str">
        <f t="shared" si="40"/>
        <v>Above Averg</v>
      </c>
      <c r="H574" s="11">
        <f t="shared" si="41"/>
        <v>920.12567567567555</v>
      </c>
      <c r="I574" s="9">
        <f t="shared" si="42"/>
        <v>37</v>
      </c>
      <c r="J574" s="12">
        <f>DATE(2025, MATCH(E574, {"January","February","March","April","May","June","July","August","September","October","November","December"},0),1)</f>
        <v>45992</v>
      </c>
      <c r="K574" s="13">
        <f t="shared" si="43"/>
        <v>38263.18</v>
      </c>
      <c r="L574" s="13">
        <v>345.60451034547401</v>
      </c>
      <c r="M574" s="14">
        <f t="shared" si="44"/>
        <v>0.32989825338319018</v>
      </c>
    </row>
    <row r="575" spans="1:13" ht="15.5" x14ac:dyDescent="0.35">
      <c r="A575" s="8" t="s">
        <v>80</v>
      </c>
      <c r="B575" s="9" t="s">
        <v>19</v>
      </c>
      <c r="C575" s="9" t="s">
        <v>15</v>
      </c>
      <c r="D575" s="10">
        <v>685.87</v>
      </c>
      <c r="E575" s="9" t="s">
        <v>72</v>
      </c>
      <c r="F575" s="9" t="s">
        <v>17</v>
      </c>
      <c r="G575" s="9" t="str">
        <f t="shared" si="40"/>
        <v>Above Averg</v>
      </c>
      <c r="H575" s="11">
        <f t="shared" si="41"/>
        <v>720.27689655172423</v>
      </c>
      <c r="I575" s="9">
        <f t="shared" si="42"/>
        <v>29</v>
      </c>
      <c r="J575" s="12">
        <f>DATE(2025, MATCH(E575, {"January","February","March","April","May","June","July","August","September","October","November","December"},0),1)</f>
        <v>45901</v>
      </c>
      <c r="K575" s="13">
        <f t="shared" si="43"/>
        <v>19890.23</v>
      </c>
      <c r="L575" s="13">
        <v>344.73898103857698</v>
      </c>
      <c r="M575" s="14">
        <f t="shared" si="44"/>
        <v>-9.9805645558469727E-2</v>
      </c>
    </row>
    <row r="576" spans="1:13" ht="15.5" x14ac:dyDescent="0.35">
      <c r="A576" s="8" t="s">
        <v>64</v>
      </c>
      <c r="B576" s="9" t="s">
        <v>60</v>
      </c>
      <c r="C576" s="9" t="s">
        <v>34</v>
      </c>
      <c r="D576" s="10">
        <v>234.01</v>
      </c>
      <c r="E576" s="9" t="s">
        <v>55</v>
      </c>
      <c r="F576" s="9" t="s">
        <v>26</v>
      </c>
      <c r="G576" s="9" t="str">
        <f t="shared" si="40"/>
        <v>Low Averg</v>
      </c>
      <c r="H576" s="11">
        <f t="shared" si="41"/>
        <v>249.29749999999999</v>
      </c>
      <c r="I576" s="9">
        <f t="shared" si="42"/>
        <v>32</v>
      </c>
      <c r="J576" s="12">
        <f>DATE(2025, MATCH(E576, {"January","February","March","April","May","June","July","August","September","October","November","December"},0),1)</f>
        <v>45962</v>
      </c>
      <c r="K576" s="13">
        <f t="shared" si="43"/>
        <v>7488.32</v>
      </c>
      <c r="L576" s="13">
        <v>344.79437752890402</v>
      </c>
      <c r="M576" s="14">
        <f t="shared" si="44"/>
        <v>-4.4338019980382212E-2</v>
      </c>
    </row>
    <row r="577" spans="1:13" ht="15.5" x14ac:dyDescent="0.35">
      <c r="A577" s="8" t="s">
        <v>13</v>
      </c>
      <c r="B577" s="9" t="s">
        <v>14</v>
      </c>
      <c r="C577" s="9" t="s">
        <v>29</v>
      </c>
      <c r="D577" s="10">
        <v>223.93</v>
      </c>
      <c r="E577" s="9" t="s">
        <v>21</v>
      </c>
      <c r="F577" s="9" t="s">
        <v>40</v>
      </c>
      <c r="G577" s="9" t="str">
        <f t="shared" si="40"/>
        <v>Low Averg</v>
      </c>
      <c r="H577" s="11">
        <f t="shared" si="41"/>
        <v>206.78702702702708</v>
      </c>
      <c r="I577" s="9">
        <f t="shared" si="42"/>
        <v>37</v>
      </c>
      <c r="J577" s="12">
        <f>DATE(2025, MATCH(E577, {"January","February","March","April","May","June","July","August","September","October","November","December"},0),1)</f>
        <v>45748</v>
      </c>
      <c r="K577" s="13">
        <f t="shared" si="43"/>
        <v>8285.41</v>
      </c>
      <c r="L577" s="13">
        <v>345.06762997069097</v>
      </c>
      <c r="M577" s="14">
        <f t="shared" si="44"/>
        <v>4.9680038010024297E-2</v>
      </c>
    </row>
    <row r="578" spans="1:13" ht="15.5" x14ac:dyDescent="0.35">
      <c r="A578" s="8" t="s">
        <v>83</v>
      </c>
      <c r="B578" s="9" t="s">
        <v>23</v>
      </c>
      <c r="C578" s="9" t="s">
        <v>15</v>
      </c>
      <c r="D578" s="10">
        <v>124.77</v>
      </c>
      <c r="E578" s="9" t="s">
        <v>25</v>
      </c>
      <c r="F578" s="9" t="s">
        <v>26</v>
      </c>
      <c r="G578" s="9" t="str">
        <f t="shared" si="40"/>
        <v>Low Averg</v>
      </c>
      <c r="H578" s="11">
        <f t="shared" si="41"/>
        <v>132.90272727272728</v>
      </c>
      <c r="I578" s="9">
        <f t="shared" si="42"/>
        <v>22</v>
      </c>
      <c r="J578" s="12">
        <f>DATE(2025, MATCH(E578, {"January","February","March","April","May","June","July","August","September","October","November","December"},0),1)</f>
        <v>45931</v>
      </c>
      <c r="K578" s="13">
        <f t="shared" si="43"/>
        <v>2744.94</v>
      </c>
      <c r="L578" s="13">
        <v>345.33360134769299</v>
      </c>
      <c r="M578" s="14">
        <f t="shared" si="44"/>
        <v>-2.355035027286264E-2</v>
      </c>
    </row>
    <row r="579" spans="1:13" ht="15.5" x14ac:dyDescent="0.35">
      <c r="A579" s="8" t="s">
        <v>44</v>
      </c>
      <c r="B579" s="9" t="s">
        <v>23</v>
      </c>
      <c r="C579" s="9" t="s">
        <v>20</v>
      </c>
      <c r="D579" s="10">
        <v>193.87</v>
      </c>
      <c r="E579" s="9" t="s">
        <v>72</v>
      </c>
      <c r="F579" s="9" t="s">
        <v>26</v>
      </c>
      <c r="G579" s="9" t="str">
        <f t="shared" si="40"/>
        <v>Low Averg</v>
      </c>
      <c r="H579" s="11">
        <f t="shared" si="41"/>
        <v>206.14838709677423</v>
      </c>
      <c r="I579" s="9">
        <f t="shared" si="42"/>
        <v>31</v>
      </c>
      <c r="J579" s="12">
        <f>DATE(2025, MATCH(E579, {"January","February","March","April","May","June","July","August","September","October","November","December"},0),1)</f>
        <v>45901</v>
      </c>
      <c r="K579" s="13">
        <f t="shared" si="43"/>
        <v>6009.97</v>
      </c>
      <c r="L579" s="13">
        <v>345.49243080717099</v>
      </c>
      <c r="M579" s="14">
        <f t="shared" si="44"/>
        <v>-3.5538802016844E-2</v>
      </c>
    </row>
    <row r="580" spans="1:13" ht="15.5" x14ac:dyDescent="0.35">
      <c r="A580" s="8" t="s">
        <v>27</v>
      </c>
      <c r="B580" s="9" t="s">
        <v>28</v>
      </c>
      <c r="C580" s="9" t="s">
        <v>61</v>
      </c>
      <c r="D580" s="10">
        <v>115.58</v>
      </c>
      <c r="E580" s="9" t="s">
        <v>46</v>
      </c>
      <c r="F580" s="9" t="s">
        <v>36</v>
      </c>
      <c r="G580" s="9" t="str">
        <f t="shared" si="40"/>
        <v>Low Averg</v>
      </c>
      <c r="H580" s="11">
        <f t="shared" si="41"/>
        <v>113.26108695652174</v>
      </c>
      <c r="I580" s="9">
        <f t="shared" si="42"/>
        <v>46</v>
      </c>
      <c r="J580" s="12">
        <f>DATE(2025, MATCH(E580, {"January","February","March","April","May","June","July","August","September","October","November","December"},0),1)</f>
        <v>45870</v>
      </c>
      <c r="K580" s="13">
        <f t="shared" si="43"/>
        <v>5316.68</v>
      </c>
      <c r="L580" s="13">
        <v>345.73221497775597</v>
      </c>
      <c r="M580" s="14">
        <f t="shared" si="44"/>
        <v>6.7072518643582508E-3</v>
      </c>
    </row>
    <row r="581" spans="1:13" ht="15.5" x14ac:dyDescent="0.35">
      <c r="A581" s="8" t="s">
        <v>22</v>
      </c>
      <c r="B581" s="9" t="s">
        <v>23</v>
      </c>
      <c r="C581" s="9" t="s">
        <v>61</v>
      </c>
      <c r="D581" s="10">
        <v>285.13</v>
      </c>
      <c r="E581" s="9" t="s">
        <v>35</v>
      </c>
      <c r="F581" s="9" t="s">
        <v>36</v>
      </c>
      <c r="G581" s="9" t="str">
        <f t="shared" si="40"/>
        <v>Low Averg</v>
      </c>
      <c r="H581" s="11">
        <f t="shared" si="41"/>
        <v>257.40029411764709</v>
      </c>
      <c r="I581" s="9">
        <f t="shared" si="42"/>
        <v>34</v>
      </c>
      <c r="J581" s="12">
        <f>DATE(2025, MATCH(E581, {"January","February","March","April","May","June","July","August","September","October","November","December"},0),1)</f>
        <v>45778</v>
      </c>
      <c r="K581" s="13">
        <f t="shared" si="43"/>
        <v>9694.42</v>
      </c>
      <c r="L581" s="13">
        <v>345.87832640405497</v>
      </c>
      <c r="M581" s="14">
        <f t="shared" si="44"/>
        <v>8.0171851675837791E-2</v>
      </c>
    </row>
    <row r="582" spans="1:13" ht="15.5" x14ac:dyDescent="0.35">
      <c r="A582" s="8" t="s">
        <v>18</v>
      </c>
      <c r="B582" s="9" t="s">
        <v>19</v>
      </c>
      <c r="C582" s="9" t="s">
        <v>43</v>
      </c>
      <c r="D582" s="10">
        <v>821.71</v>
      </c>
      <c r="E582" s="9" t="s">
        <v>46</v>
      </c>
      <c r="F582" s="9" t="s">
        <v>30</v>
      </c>
      <c r="G582" s="9" t="str">
        <f t="shared" si="40"/>
        <v>Above Averg</v>
      </c>
      <c r="H582" s="11">
        <f t="shared" si="41"/>
        <v>920.12567567567555</v>
      </c>
      <c r="I582" s="9">
        <f t="shared" si="42"/>
        <v>37</v>
      </c>
      <c r="J582" s="12">
        <f>DATE(2025, MATCH(E582, {"January","February","March","April","May","June","July","August","September","October","November","December"},0),1)</f>
        <v>45870</v>
      </c>
      <c r="K582" s="13">
        <f t="shared" si="43"/>
        <v>30403.27</v>
      </c>
      <c r="L582" s="13">
        <v>346.18607204241198</v>
      </c>
      <c r="M582" s="14">
        <f t="shared" si="44"/>
        <v>-0.28428548582283347</v>
      </c>
    </row>
    <row r="583" spans="1:13" ht="15.5" x14ac:dyDescent="0.35">
      <c r="A583" s="8" t="s">
        <v>51</v>
      </c>
      <c r="B583" s="9" t="s">
        <v>28</v>
      </c>
      <c r="C583" s="9" t="s">
        <v>49</v>
      </c>
      <c r="D583" s="10">
        <v>128.09</v>
      </c>
      <c r="E583" s="9" t="s">
        <v>57</v>
      </c>
      <c r="F583" s="9" t="s">
        <v>36</v>
      </c>
      <c r="G583" s="9" t="str">
        <f t="shared" si="40"/>
        <v>Low Averg</v>
      </c>
      <c r="H583" s="11">
        <f t="shared" si="41"/>
        <v>122.0377142857143</v>
      </c>
      <c r="I583" s="9">
        <f t="shared" si="42"/>
        <v>35</v>
      </c>
      <c r="J583" s="12">
        <f>DATE(2025, MATCH(E583, {"January","February","March","April","May","June","July","August","September","October","November","December"},0),1)</f>
        <v>45839</v>
      </c>
      <c r="K583" s="13">
        <f t="shared" si="43"/>
        <v>4483.1500000000005</v>
      </c>
      <c r="L583" s="13">
        <v>345.96187464905103</v>
      </c>
      <c r="M583" s="14">
        <f t="shared" si="44"/>
        <v>1.7494082896923925E-2</v>
      </c>
    </row>
    <row r="584" spans="1:13" ht="15.5" x14ac:dyDescent="0.35">
      <c r="A584" s="8" t="s">
        <v>37</v>
      </c>
      <c r="B584" s="9" t="s">
        <v>38</v>
      </c>
      <c r="C584" s="9" t="s">
        <v>45</v>
      </c>
      <c r="D584" s="10">
        <v>1154.17</v>
      </c>
      <c r="E584" s="9" t="s">
        <v>55</v>
      </c>
      <c r="F584" s="9" t="s">
        <v>40</v>
      </c>
      <c r="G584" s="9" t="str">
        <f t="shared" ref="G584:G647" si="45">IF(D584&gt;AVERAGE(D:D),"Above Averg","Low Averg")</f>
        <v>Above Averg</v>
      </c>
      <c r="H584" s="11">
        <f t="shared" ref="H584:H647" si="46">AVERAGEIF(A:A,A584,D:D)</f>
        <v>1024.1451428571424</v>
      </c>
      <c r="I584" s="9">
        <f t="shared" ref="I584:I647" si="47">COUNTIF(A:A,A584)</f>
        <v>35</v>
      </c>
      <c r="J584" s="12">
        <f>DATE(2025, MATCH(E584, {"January","February","March","April","May","June","July","August","September","October","November","December"},0),1)</f>
        <v>45962</v>
      </c>
      <c r="K584" s="13">
        <f t="shared" ref="K584:K647" si="48">1*(D584*I584)</f>
        <v>40395.950000000004</v>
      </c>
      <c r="L584" s="13">
        <v>346.126819346697</v>
      </c>
      <c r="M584" s="14">
        <f t="shared" ref="M584:M647" si="49">(D584-H584)/L584</f>
        <v>0.3756566953935418</v>
      </c>
    </row>
    <row r="585" spans="1:13" ht="15.5" x14ac:dyDescent="0.35">
      <c r="A585" s="8" t="s">
        <v>58</v>
      </c>
      <c r="B585" s="9" t="s">
        <v>23</v>
      </c>
      <c r="C585" s="9" t="s">
        <v>24</v>
      </c>
      <c r="D585" s="10">
        <v>117.63</v>
      </c>
      <c r="E585" s="9" t="s">
        <v>25</v>
      </c>
      <c r="F585" s="9" t="s">
        <v>40</v>
      </c>
      <c r="G585" s="9" t="str">
        <f t="shared" si="45"/>
        <v>Low Averg</v>
      </c>
      <c r="H585" s="11">
        <f t="shared" si="46"/>
        <v>121.60903225806452</v>
      </c>
      <c r="I585" s="9">
        <f t="shared" si="47"/>
        <v>31</v>
      </c>
      <c r="J585" s="12">
        <f>DATE(2025, MATCH(E585, {"January","February","March","April","May","June","July","August","September","October","November","December"},0),1)</f>
        <v>45931</v>
      </c>
      <c r="K585" s="13">
        <f t="shared" si="48"/>
        <v>3646.5299999999997</v>
      </c>
      <c r="L585" s="13">
        <v>344.76479396037797</v>
      </c>
      <c r="M585" s="14">
        <f t="shared" si="49"/>
        <v>-1.1541295189559903E-2</v>
      </c>
    </row>
    <row r="586" spans="1:13" ht="15.5" x14ac:dyDescent="0.35">
      <c r="A586" s="8" t="s">
        <v>59</v>
      </c>
      <c r="B586" s="9" t="s">
        <v>60</v>
      </c>
      <c r="C586" s="9" t="s">
        <v>43</v>
      </c>
      <c r="D586" s="10">
        <v>197.77</v>
      </c>
      <c r="E586" s="9" t="s">
        <v>16</v>
      </c>
      <c r="F586" s="9" t="s">
        <v>26</v>
      </c>
      <c r="G586" s="9" t="str">
        <f t="shared" si="45"/>
        <v>Low Averg</v>
      </c>
      <c r="H586" s="11">
        <f t="shared" si="46"/>
        <v>203.25225806451613</v>
      </c>
      <c r="I586" s="9">
        <f t="shared" si="47"/>
        <v>31</v>
      </c>
      <c r="J586" s="12">
        <f>DATE(2025, MATCH(E586, {"January","February","March","April","May","June","July","August","September","October","November","December"},0),1)</f>
        <v>45809</v>
      </c>
      <c r="K586" s="13">
        <f t="shared" si="48"/>
        <v>6130.87</v>
      </c>
      <c r="L586" s="13">
        <v>344.91552674825402</v>
      </c>
      <c r="M586" s="14">
        <f t="shared" si="49"/>
        <v>-1.5894494852699084E-2</v>
      </c>
    </row>
    <row r="587" spans="1:13" ht="15.5" x14ac:dyDescent="0.35">
      <c r="A587" s="8" t="s">
        <v>47</v>
      </c>
      <c r="B587" s="9" t="s">
        <v>19</v>
      </c>
      <c r="C587" s="9" t="s">
        <v>24</v>
      </c>
      <c r="D587" s="10">
        <v>632.66999999999996</v>
      </c>
      <c r="E587" s="9" t="s">
        <v>25</v>
      </c>
      <c r="F587" s="9" t="s">
        <v>26</v>
      </c>
      <c r="G587" s="9" t="str">
        <f t="shared" si="45"/>
        <v>Above Averg</v>
      </c>
      <c r="H587" s="11">
        <f t="shared" si="46"/>
        <v>673.04079999999988</v>
      </c>
      <c r="I587" s="9">
        <f t="shared" si="47"/>
        <v>25</v>
      </c>
      <c r="J587" s="12">
        <f>DATE(2025, MATCH(E587, {"January","February","March","April","May","June","July","August","September","October","November","December"},0),1)</f>
        <v>45931</v>
      </c>
      <c r="K587" s="13">
        <f t="shared" si="48"/>
        <v>15816.749999999998</v>
      </c>
      <c r="L587" s="13">
        <v>345.16206940058697</v>
      </c>
      <c r="M587" s="14">
        <f t="shared" si="49"/>
        <v>-0.11696186684159236</v>
      </c>
    </row>
    <row r="588" spans="1:13" ht="15.5" x14ac:dyDescent="0.35">
      <c r="A588" s="8" t="s">
        <v>64</v>
      </c>
      <c r="B588" s="9" t="s">
        <v>60</v>
      </c>
      <c r="C588" s="9" t="s">
        <v>61</v>
      </c>
      <c r="D588" s="10">
        <v>233.73</v>
      </c>
      <c r="E588" s="9" t="s">
        <v>42</v>
      </c>
      <c r="F588" s="9" t="s">
        <v>40</v>
      </c>
      <c r="G588" s="9" t="str">
        <f t="shared" si="45"/>
        <v>Low Averg</v>
      </c>
      <c r="H588" s="11">
        <f t="shared" si="46"/>
        <v>249.29749999999999</v>
      </c>
      <c r="I588" s="9">
        <f t="shared" si="47"/>
        <v>32</v>
      </c>
      <c r="J588" s="12">
        <f>DATE(2025, MATCH(E588, {"January","February","March","April","May","June","July","August","September","October","November","December"},0),1)</f>
        <v>45658</v>
      </c>
      <c r="K588" s="13">
        <f t="shared" si="48"/>
        <v>7479.36</v>
      </c>
      <c r="L588" s="13">
        <v>345.30538044016203</v>
      </c>
      <c r="M588" s="14">
        <f t="shared" si="49"/>
        <v>-4.508328245611478E-2</v>
      </c>
    </row>
    <row r="589" spans="1:13" ht="15.5" x14ac:dyDescent="0.35">
      <c r="A589" s="8" t="s">
        <v>76</v>
      </c>
      <c r="B589" s="9" t="s">
        <v>60</v>
      </c>
      <c r="C589" s="9" t="s">
        <v>61</v>
      </c>
      <c r="D589" s="10">
        <v>301.77</v>
      </c>
      <c r="E589" s="9" t="s">
        <v>63</v>
      </c>
      <c r="F589" s="9" t="s">
        <v>30</v>
      </c>
      <c r="G589" s="9" t="str">
        <f t="shared" si="45"/>
        <v>Low Averg</v>
      </c>
      <c r="H589" s="11">
        <f t="shared" si="46"/>
        <v>304.90820512820511</v>
      </c>
      <c r="I589" s="9">
        <f t="shared" si="47"/>
        <v>39</v>
      </c>
      <c r="J589" s="12">
        <f>DATE(2025, MATCH(E589, {"January","February","March","April","May","June","July","August","September","October","November","December"},0),1)</f>
        <v>45717</v>
      </c>
      <c r="K589" s="13">
        <f t="shared" si="48"/>
        <v>11769.029999999999</v>
      </c>
      <c r="L589" s="13">
        <v>345.58497160169202</v>
      </c>
      <c r="M589" s="14">
        <f t="shared" si="49"/>
        <v>-9.080849533648426E-3</v>
      </c>
    </row>
    <row r="590" spans="1:13" ht="15.5" x14ac:dyDescent="0.35">
      <c r="A590" s="8" t="s">
        <v>59</v>
      </c>
      <c r="B590" s="9" t="s">
        <v>60</v>
      </c>
      <c r="C590" s="9" t="s">
        <v>61</v>
      </c>
      <c r="D590" s="10">
        <v>221.64</v>
      </c>
      <c r="E590" s="9" t="s">
        <v>39</v>
      </c>
      <c r="F590" s="9" t="s">
        <v>30</v>
      </c>
      <c r="G590" s="9" t="str">
        <f t="shared" si="45"/>
        <v>Low Averg</v>
      </c>
      <c r="H590" s="11">
        <f t="shared" si="46"/>
        <v>203.25225806451613</v>
      </c>
      <c r="I590" s="9">
        <f t="shared" si="47"/>
        <v>31</v>
      </c>
      <c r="J590" s="12">
        <f>DATE(2025, MATCH(E590, {"January","February","March","April","May","June","July","August","September","October","November","December"},0),1)</f>
        <v>45992</v>
      </c>
      <c r="K590" s="13">
        <f t="shared" si="48"/>
        <v>6870.8399999999992</v>
      </c>
      <c r="L590" s="13">
        <v>345.90508159740398</v>
      </c>
      <c r="M590" s="14">
        <f t="shared" si="49"/>
        <v>5.3158345782514979E-2</v>
      </c>
    </row>
    <row r="591" spans="1:13" ht="15.5" x14ac:dyDescent="0.35">
      <c r="A591" s="8" t="s">
        <v>52</v>
      </c>
      <c r="B591" s="9" t="s">
        <v>32</v>
      </c>
      <c r="C591" s="9" t="s">
        <v>20</v>
      </c>
      <c r="D591" s="10">
        <v>58.68</v>
      </c>
      <c r="E591" s="9" t="s">
        <v>35</v>
      </c>
      <c r="F591" s="9" t="s">
        <v>36</v>
      </c>
      <c r="G591" s="9" t="str">
        <f t="shared" si="45"/>
        <v>Low Averg</v>
      </c>
      <c r="H591" s="11">
        <f t="shared" si="46"/>
        <v>62.182121212121217</v>
      </c>
      <c r="I591" s="9">
        <f t="shared" si="47"/>
        <v>33</v>
      </c>
      <c r="J591" s="12">
        <f>DATE(2025, MATCH(E591, {"January","February","March","April","May","June","July","August","September","October","November","December"},0),1)</f>
        <v>45778</v>
      </c>
      <c r="K591" s="13">
        <f t="shared" si="48"/>
        <v>1936.44</v>
      </c>
      <c r="L591" s="13">
        <v>346.17629803935102</v>
      </c>
      <c r="M591" s="14">
        <f t="shared" si="49"/>
        <v>-1.0116582885530538E-2</v>
      </c>
    </row>
    <row r="592" spans="1:13" ht="15.5" x14ac:dyDescent="0.35">
      <c r="A592" s="8" t="s">
        <v>13</v>
      </c>
      <c r="B592" s="9" t="s">
        <v>14</v>
      </c>
      <c r="C592" s="9" t="s">
        <v>29</v>
      </c>
      <c r="D592" s="10">
        <v>227.89</v>
      </c>
      <c r="E592" s="9" t="s">
        <v>42</v>
      </c>
      <c r="F592" s="9" t="s">
        <v>17</v>
      </c>
      <c r="G592" s="9" t="str">
        <f t="shared" si="45"/>
        <v>Low Averg</v>
      </c>
      <c r="H592" s="11">
        <f t="shared" si="46"/>
        <v>206.78702702702708</v>
      </c>
      <c r="I592" s="9">
        <f t="shared" si="47"/>
        <v>37</v>
      </c>
      <c r="J592" s="12">
        <f>DATE(2025, MATCH(E592, {"January","February","March","April","May","June","July","August","September","October","November","December"},0),1)</f>
        <v>45658</v>
      </c>
      <c r="K592" s="13">
        <f t="shared" si="48"/>
        <v>8431.93</v>
      </c>
      <c r="L592" s="13">
        <v>346.23517905337201</v>
      </c>
      <c r="M592" s="14">
        <f t="shared" si="49"/>
        <v>6.0949823269460128E-2</v>
      </c>
    </row>
    <row r="593" spans="1:13" ht="15.5" x14ac:dyDescent="0.35">
      <c r="A593" s="8" t="s">
        <v>70</v>
      </c>
      <c r="B593" s="9" t="s">
        <v>71</v>
      </c>
      <c r="C593" s="9" t="s">
        <v>24</v>
      </c>
      <c r="D593" s="10">
        <v>840.79</v>
      </c>
      <c r="E593" s="9" t="s">
        <v>39</v>
      </c>
      <c r="F593" s="9" t="s">
        <v>30</v>
      </c>
      <c r="G593" s="9" t="str">
        <f t="shared" si="45"/>
        <v>Above Averg</v>
      </c>
      <c r="H593" s="11">
        <f t="shared" si="46"/>
        <v>911.5772916666665</v>
      </c>
      <c r="I593" s="9">
        <f t="shared" si="47"/>
        <v>48</v>
      </c>
      <c r="J593" s="12">
        <f>DATE(2025, MATCH(E593, {"January","February","March","April","May","June","July","August","September","October","November","December"},0),1)</f>
        <v>45992</v>
      </c>
      <c r="K593" s="13">
        <f t="shared" si="48"/>
        <v>40357.919999999998</v>
      </c>
      <c r="L593" s="13">
        <v>346.512290682806</v>
      </c>
      <c r="M593" s="14">
        <f t="shared" si="49"/>
        <v>-0.20428508185721048</v>
      </c>
    </row>
    <row r="594" spans="1:13" ht="15.5" x14ac:dyDescent="0.35">
      <c r="A594" s="8" t="s">
        <v>53</v>
      </c>
      <c r="B594" s="9" t="s">
        <v>54</v>
      </c>
      <c r="C594" s="9" t="s">
        <v>34</v>
      </c>
      <c r="D594" s="10">
        <v>810.62</v>
      </c>
      <c r="E594" s="9" t="s">
        <v>16</v>
      </c>
      <c r="F594" s="9" t="s">
        <v>17</v>
      </c>
      <c r="G594" s="9" t="str">
        <f t="shared" si="45"/>
        <v>Above Averg</v>
      </c>
      <c r="H594" s="11">
        <f t="shared" si="46"/>
        <v>810.77454545454566</v>
      </c>
      <c r="I594" s="9">
        <f t="shared" si="47"/>
        <v>33</v>
      </c>
      <c r="J594" s="12">
        <f>DATE(2025, MATCH(E594, {"January","February","March","April","May","June","July","August","September","October","November","December"},0),1)</f>
        <v>45809</v>
      </c>
      <c r="K594" s="13">
        <f t="shared" si="48"/>
        <v>26750.46</v>
      </c>
      <c r="L594" s="13">
        <v>346.23493541092301</v>
      </c>
      <c r="M594" s="14">
        <f t="shared" si="49"/>
        <v>-4.4636008311014434E-4</v>
      </c>
    </row>
    <row r="595" spans="1:13" ht="15.5" x14ac:dyDescent="0.35">
      <c r="A595" s="8" t="s">
        <v>13</v>
      </c>
      <c r="B595" s="9" t="s">
        <v>14</v>
      </c>
      <c r="C595" s="9" t="s">
        <v>24</v>
      </c>
      <c r="D595" s="10">
        <v>215.79</v>
      </c>
      <c r="E595" s="9" t="s">
        <v>62</v>
      </c>
      <c r="F595" s="9" t="s">
        <v>30</v>
      </c>
      <c r="G595" s="9" t="str">
        <f t="shared" si="45"/>
        <v>Low Averg</v>
      </c>
      <c r="H595" s="11">
        <f t="shared" si="46"/>
        <v>206.78702702702708</v>
      </c>
      <c r="I595" s="9">
        <f t="shared" si="47"/>
        <v>37</v>
      </c>
      <c r="J595" s="12">
        <f>DATE(2025, MATCH(E595, {"January","February","March","April","May","June","July","August","September","October","November","December"},0),1)</f>
        <v>45689</v>
      </c>
      <c r="K595" s="13">
        <f t="shared" si="48"/>
        <v>7984.23</v>
      </c>
      <c r="L595" s="13">
        <v>346.03116000111203</v>
      </c>
      <c r="M595" s="14">
        <f t="shared" si="49"/>
        <v>2.6017809994175033E-2</v>
      </c>
    </row>
    <row r="596" spans="1:13" ht="15.5" x14ac:dyDescent="0.35">
      <c r="A596" s="8" t="s">
        <v>13</v>
      </c>
      <c r="B596" s="9" t="s">
        <v>14</v>
      </c>
      <c r="C596" s="9" t="s">
        <v>20</v>
      </c>
      <c r="D596" s="10">
        <v>216.26</v>
      </c>
      <c r="E596" s="9" t="s">
        <v>21</v>
      </c>
      <c r="F596" s="9" t="s">
        <v>17</v>
      </c>
      <c r="G596" s="9" t="str">
        <f t="shared" si="45"/>
        <v>Low Averg</v>
      </c>
      <c r="H596" s="11">
        <f t="shared" si="46"/>
        <v>206.78702702702708</v>
      </c>
      <c r="I596" s="9">
        <f t="shared" si="47"/>
        <v>37</v>
      </c>
      <c r="J596" s="12">
        <f>DATE(2025, MATCH(E596, {"January","February","March","April","May","June","July","August","September","October","November","December"},0),1)</f>
        <v>45748</v>
      </c>
      <c r="K596" s="13">
        <f t="shared" si="48"/>
        <v>8001.62</v>
      </c>
      <c r="L596" s="13">
        <v>346.300594885056</v>
      </c>
      <c r="M596" s="14">
        <f t="shared" si="49"/>
        <v>2.7354769564046456E-2</v>
      </c>
    </row>
    <row r="597" spans="1:13" ht="15.5" x14ac:dyDescent="0.35">
      <c r="A597" s="8" t="s">
        <v>66</v>
      </c>
      <c r="B597" s="9" t="s">
        <v>32</v>
      </c>
      <c r="C597" s="9" t="s">
        <v>24</v>
      </c>
      <c r="D597" s="10">
        <v>150.91</v>
      </c>
      <c r="E597" s="9" t="s">
        <v>63</v>
      </c>
      <c r="F597" s="9" t="s">
        <v>26</v>
      </c>
      <c r="G597" s="9" t="str">
        <f t="shared" si="45"/>
        <v>Low Averg</v>
      </c>
      <c r="H597" s="11">
        <f t="shared" si="46"/>
        <v>141.74161290322584</v>
      </c>
      <c r="I597" s="9">
        <f t="shared" si="47"/>
        <v>31</v>
      </c>
      <c r="J597" s="12">
        <f>DATE(2025, MATCH(E597, {"January","February","March","April","May","June","July","August","September","October","November","December"},0),1)</f>
        <v>45717</v>
      </c>
      <c r="K597" s="13">
        <f t="shared" si="48"/>
        <v>4678.21</v>
      </c>
      <c r="L597" s="13">
        <v>346.57102144136502</v>
      </c>
      <c r="M597" s="14">
        <f t="shared" si="49"/>
        <v>2.6454569278883917E-2</v>
      </c>
    </row>
    <row r="598" spans="1:13" ht="15.5" x14ac:dyDescent="0.35">
      <c r="A598" s="8" t="s">
        <v>65</v>
      </c>
      <c r="B598" s="9" t="s">
        <v>23</v>
      </c>
      <c r="C598" s="9" t="s">
        <v>29</v>
      </c>
      <c r="D598" s="10">
        <v>146.61000000000001</v>
      </c>
      <c r="E598" s="9" t="s">
        <v>35</v>
      </c>
      <c r="F598" s="9" t="s">
        <v>40</v>
      </c>
      <c r="G598" s="9" t="str">
        <f t="shared" si="45"/>
        <v>Low Averg</v>
      </c>
      <c r="H598" s="11">
        <f t="shared" si="46"/>
        <v>151.26457142857143</v>
      </c>
      <c r="I598" s="9">
        <f t="shared" si="47"/>
        <v>35</v>
      </c>
      <c r="J598" s="12">
        <f>DATE(2025, MATCH(E598, {"January","February","March","April","May","June","July","August","September","October","November","December"},0),1)</f>
        <v>45778</v>
      </c>
      <c r="K598" s="13">
        <f t="shared" si="48"/>
        <v>5131.3500000000004</v>
      </c>
      <c r="L598" s="13">
        <v>346.77195182835402</v>
      </c>
      <c r="M598" s="14">
        <f t="shared" si="49"/>
        <v>-1.3422571819981986E-2</v>
      </c>
    </row>
    <row r="599" spans="1:13" ht="15.5" x14ac:dyDescent="0.35">
      <c r="A599" s="8" t="s">
        <v>22</v>
      </c>
      <c r="B599" s="9" t="s">
        <v>23</v>
      </c>
      <c r="C599" s="9" t="s">
        <v>49</v>
      </c>
      <c r="D599" s="10">
        <v>273.82</v>
      </c>
      <c r="E599" s="9" t="s">
        <v>62</v>
      </c>
      <c r="F599" s="9" t="s">
        <v>40</v>
      </c>
      <c r="G599" s="9" t="str">
        <f t="shared" si="45"/>
        <v>Low Averg</v>
      </c>
      <c r="H599" s="11">
        <f t="shared" si="46"/>
        <v>257.40029411764709</v>
      </c>
      <c r="I599" s="9">
        <f t="shared" si="47"/>
        <v>34</v>
      </c>
      <c r="J599" s="12">
        <f>DATE(2025, MATCH(E599, {"January","February","March","April","May","June","July","August","September","October","November","December"},0),1)</f>
        <v>45689</v>
      </c>
      <c r="K599" s="13">
        <f t="shared" si="48"/>
        <v>9309.8799999999992</v>
      </c>
      <c r="L599" s="13">
        <v>346.96752807695299</v>
      </c>
      <c r="M599" s="14">
        <f t="shared" si="49"/>
        <v>4.7323465608894728E-2</v>
      </c>
    </row>
    <row r="600" spans="1:13" ht="15.5" x14ac:dyDescent="0.35">
      <c r="A600" s="8" t="s">
        <v>74</v>
      </c>
      <c r="B600" s="9" t="s">
        <v>38</v>
      </c>
      <c r="C600" s="9" t="s">
        <v>49</v>
      </c>
      <c r="D600" s="10">
        <v>308</v>
      </c>
      <c r="E600" s="9" t="s">
        <v>46</v>
      </c>
      <c r="F600" s="9" t="s">
        <v>36</v>
      </c>
      <c r="G600" s="9" t="str">
        <f t="shared" si="45"/>
        <v>Low Averg</v>
      </c>
      <c r="H600" s="11">
        <f t="shared" si="46"/>
        <v>368.73933333333326</v>
      </c>
      <c r="I600" s="9">
        <f t="shared" si="47"/>
        <v>30</v>
      </c>
      <c r="J600" s="12">
        <f>DATE(2025, MATCH(E600, {"January","February","March","April","May","June","July","August","September","October","November","December"},0),1)</f>
        <v>45870</v>
      </c>
      <c r="K600" s="13">
        <f t="shared" si="48"/>
        <v>9240</v>
      </c>
      <c r="L600" s="13">
        <v>347.28133152405002</v>
      </c>
      <c r="M600" s="14">
        <f t="shared" si="49"/>
        <v>-0.1748995060194502</v>
      </c>
    </row>
    <row r="601" spans="1:13" ht="15.5" x14ac:dyDescent="0.35">
      <c r="A601" s="8" t="s">
        <v>80</v>
      </c>
      <c r="B601" s="9" t="s">
        <v>19</v>
      </c>
      <c r="C601" s="9" t="s">
        <v>29</v>
      </c>
      <c r="D601" s="10">
        <v>711.13</v>
      </c>
      <c r="E601" s="9" t="s">
        <v>39</v>
      </c>
      <c r="F601" s="9" t="s">
        <v>36</v>
      </c>
      <c r="G601" s="9" t="str">
        <f t="shared" si="45"/>
        <v>Above Averg</v>
      </c>
      <c r="H601" s="11">
        <f t="shared" si="46"/>
        <v>720.27689655172423</v>
      </c>
      <c r="I601" s="9">
        <f t="shared" si="47"/>
        <v>29</v>
      </c>
      <c r="J601" s="12">
        <f>DATE(2025, MATCH(E601, {"January","February","March","April","May","June","July","August","September","October","November","December"},0),1)</f>
        <v>45992</v>
      </c>
      <c r="K601" s="13">
        <f t="shared" si="48"/>
        <v>20622.77</v>
      </c>
      <c r="L601" s="13">
        <v>347.61207588116503</v>
      </c>
      <c r="M601" s="14">
        <f t="shared" si="49"/>
        <v>-2.6313517815909265E-2</v>
      </c>
    </row>
    <row r="602" spans="1:13" ht="15.5" x14ac:dyDescent="0.35">
      <c r="A602" s="8" t="s">
        <v>80</v>
      </c>
      <c r="B602" s="9" t="s">
        <v>19</v>
      </c>
      <c r="C602" s="9" t="s">
        <v>61</v>
      </c>
      <c r="D602" s="10">
        <v>630.28</v>
      </c>
      <c r="E602" s="9" t="s">
        <v>62</v>
      </c>
      <c r="F602" s="9" t="s">
        <v>40</v>
      </c>
      <c r="G602" s="9" t="str">
        <f t="shared" si="45"/>
        <v>Above Averg</v>
      </c>
      <c r="H602" s="11">
        <f t="shared" si="46"/>
        <v>720.27689655172423</v>
      </c>
      <c r="I602" s="9">
        <f t="shared" si="47"/>
        <v>29</v>
      </c>
      <c r="J602" s="12">
        <f>DATE(2025, MATCH(E602, {"January","February","March","April","May","June","July","August","September","October","November","December"},0),1)</f>
        <v>45689</v>
      </c>
      <c r="K602" s="13">
        <f t="shared" si="48"/>
        <v>18278.12</v>
      </c>
      <c r="L602" s="13">
        <v>347.63132077211299</v>
      </c>
      <c r="M602" s="14">
        <f t="shared" si="49"/>
        <v>-0.2588860415449189</v>
      </c>
    </row>
    <row r="603" spans="1:13" ht="15.5" x14ac:dyDescent="0.35">
      <c r="A603" s="8" t="s">
        <v>53</v>
      </c>
      <c r="B603" s="9" t="s">
        <v>54</v>
      </c>
      <c r="C603" s="9" t="s">
        <v>61</v>
      </c>
      <c r="D603" s="10">
        <v>912.99</v>
      </c>
      <c r="E603" s="9" t="s">
        <v>39</v>
      </c>
      <c r="F603" s="9" t="s">
        <v>26</v>
      </c>
      <c r="G603" s="9" t="str">
        <f t="shared" si="45"/>
        <v>Above Averg</v>
      </c>
      <c r="H603" s="11">
        <f t="shared" si="46"/>
        <v>810.77454545454566</v>
      </c>
      <c r="I603" s="9">
        <f t="shared" si="47"/>
        <v>33</v>
      </c>
      <c r="J603" s="12">
        <f>DATE(2025, MATCH(E603, {"January","February","March","April","May","June","July","August","September","October","November","December"},0),1)</f>
        <v>45992</v>
      </c>
      <c r="K603" s="13">
        <f t="shared" si="48"/>
        <v>30128.670000000002</v>
      </c>
      <c r="L603" s="13">
        <v>347.78694731426202</v>
      </c>
      <c r="M603" s="14">
        <f t="shared" si="49"/>
        <v>0.29390250362987874</v>
      </c>
    </row>
    <row r="604" spans="1:13" ht="15.5" x14ac:dyDescent="0.35">
      <c r="A604" s="8" t="s">
        <v>22</v>
      </c>
      <c r="B604" s="9" t="s">
        <v>23</v>
      </c>
      <c r="C604" s="9" t="s">
        <v>49</v>
      </c>
      <c r="D604" s="10">
        <v>262.89</v>
      </c>
      <c r="E604" s="9" t="s">
        <v>55</v>
      </c>
      <c r="F604" s="9" t="s">
        <v>30</v>
      </c>
      <c r="G604" s="9" t="str">
        <f t="shared" si="45"/>
        <v>Low Averg</v>
      </c>
      <c r="H604" s="11">
        <f t="shared" si="46"/>
        <v>257.40029411764709</v>
      </c>
      <c r="I604" s="9">
        <f t="shared" si="47"/>
        <v>34</v>
      </c>
      <c r="J604" s="12">
        <f>DATE(2025, MATCH(E604, {"January","February","March","April","May","June","July","August","September","October","November","December"},0),1)</f>
        <v>45962</v>
      </c>
      <c r="K604" s="13">
        <f t="shared" si="48"/>
        <v>8938.26</v>
      </c>
      <c r="L604" s="13">
        <v>347.29580394540102</v>
      </c>
      <c r="M604" s="14">
        <f t="shared" si="49"/>
        <v>1.5807003194360333E-2</v>
      </c>
    </row>
    <row r="605" spans="1:13" ht="15.5" x14ac:dyDescent="0.35">
      <c r="A605" s="8" t="s">
        <v>66</v>
      </c>
      <c r="B605" s="9" t="s">
        <v>32</v>
      </c>
      <c r="C605" s="9" t="s">
        <v>45</v>
      </c>
      <c r="D605" s="10">
        <v>141.22</v>
      </c>
      <c r="E605" s="9" t="s">
        <v>39</v>
      </c>
      <c r="F605" s="9" t="s">
        <v>26</v>
      </c>
      <c r="G605" s="9" t="str">
        <f t="shared" si="45"/>
        <v>Low Averg</v>
      </c>
      <c r="H605" s="11">
        <f t="shared" si="46"/>
        <v>141.74161290322584</v>
      </c>
      <c r="I605" s="9">
        <f t="shared" si="47"/>
        <v>31</v>
      </c>
      <c r="J605" s="12">
        <f>DATE(2025, MATCH(E605, {"January","February","March","April","May","June","July","August","September","October","November","December"},0),1)</f>
        <v>45992</v>
      </c>
      <c r="K605" s="13">
        <f t="shared" si="48"/>
        <v>4377.82</v>
      </c>
      <c r="L605" s="13">
        <v>347.60770255720502</v>
      </c>
      <c r="M605" s="14">
        <f t="shared" si="49"/>
        <v>-1.5005792431771645E-3</v>
      </c>
    </row>
    <row r="606" spans="1:13" ht="15.5" x14ac:dyDescent="0.35">
      <c r="A606" s="8" t="s">
        <v>33</v>
      </c>
      <c r="B606" s="9" t="s">
        <v>19</v>
      </c>
      <c r="C606" s="9" t="s">
        <v>61</v>
      </c>
      <c r="D606" s="10">
        <v>1049.1400000000001</v>
      </c>
      <c r="E606" s="9" t="s">
        <v>72</v>
      </c>
      <c r="F606" s="9" t="s">
        <v>26</v>
      </c>
      <c r="G606" s="9" t="str">
        <f t="shared" si="45"/>
        <v>Above Averg</v>
      </c>
      <c r="H606" s="11">
        <f t="shared" si="46"/>
        <v>1113.4854166666667</v>
      </c>
      <c r="I606" s="9">
        <f t="shared" si="47"/>
        <v>24</v>
      </c>
      <c r="J606" s="12">
        <f>DATE(2025, MATCH(E606, {"January","February","March","April","May","June","July","August","September","October","November","December"},0),1)</f>
        <v>45901</v>
      </c>
      <c r="K606" s="13">
        <f t="shared" si="48"/>
        <v>25179.360000000001</v>
      </c>
      <c r="L606" s="13">
        <v>347.80177477170503</v>
      </c>
      <c r="M606" s="14">
        <f t="shared" si="49"/>
        <v>-0.18500600437965703</v>
      </c>
    </row>
    <row r="607" spans="1:13" ht="15.5" x14ac:dyDescent="0.35">
      <c r="A607" s="8" t="s">
        <v>53</v>
      </c>
      <c r="B607" s="9" t="s">
        <v>54</v>
      </c>
      <c r="C607" s="9" t="s">
        <v>49</v>
      </c>
      <c r="D607" s="10">
        <v>755.66</v>
      </c>
      <c r="E607" s="9" t="s">
        <v>55</v>
      </c>
      <c r="F607" s="9" t="s">
        <v>17</v>
      </c>
      <c r="G607" s="9" t="str">
        <f t="shared" si="45"/>
        <v>Above Averg</v>
      </c>
      <c r="H607" s="11">
        <f t="shared" si="46"/>
        <v>810.77454545454566</v>
      </c>
      <c r="I607" s="9">
        <f t="shared" si="47"/>
        <v>33</v>
      </c>
      <c r="J607" s="12">
        <f>DATE(2025, MATCH(E607, {"January","February","March","April","May","June","July","August","September","October","November","December"},0),1)</f>
        <v>45962</v>
      </c>
      <c r="K607" s="13">
        <f t="shared" si="48"/>
        <v>24936.78</v>
      </c>
      <c r="L607" s="13">
        <v>346.82777999037199</v>
      </c>
      <c r="M607" s="14">
        <f t="shared" si="49"/>
        <v>-0.15891041212464493</v>
      </c>
    </row>
    <row r="608" spans="1:13" ht="15.5" x14ac:dyDescent="0.35">
      <c r="A608" s="8" t="s">
        <v>58</v>
      </c>
      <c r="B608" s="9" t="s">
        <v>23</v>
      </c>
      <c r="C608" s="9" t="s">
        <v>34</v>
      </c>
      <c r="D608" s="10">
        <v>112.27</v>
      </c>
      <c r="E608" s="9" t="s">
        <v>72</v>
      </c>
      <c r="F608" s="9" t="s">
        <v>26</v>
      </c>
      <c r="G608" s="9" t="str">
        <f t="shared" si="45"/>
        <v>Low Averg</v>
      </c>
      <c r="H608" s="11">
        <f t="shared" si="46"/>
        <v>121.60903225806452</v>
      </c>
      <c r="I608" s="9">
        <f t="shared" si="47"/>
        <v>31</v>
      </c>
      <c r="J608" s="12">
        <f>DATE(2025, MATCH(E608, {"January","February","March","April","May","June","July","August","September","October","November","December"},0),1)</f>
        <v>45901</v>
      </c>
      <c r="K608" s="13">
        <f t="shared" si="48"/>
        <v>3480.37</v>
      </c>
      <c r="L608" s="13">
        <v>346.746485435203</v>
      </c>
      <c r="M608" s="14">
        <f t="shared" si="49"/>
        <v>-2.6933314828968088E-2</v>
      </c>
    </row>
    <row r="609" spans="1:13" ht="15.5" x14ac:dyDescent="0.35">
      <c r="A609" s="8" t="s">
        <v>70</v>
      </c>
      <c r="B609" s="9" t="s">
        <v>71</v>
      </c>
      <c r="C609" s="9" t="s">
        <v>69</v>
      </c>
      <c r="D609" s="10">
        <v>1028.53</v>
      </c>
      <c r="E609" s="9" t="s">
        <v>63</v>
      </c>
      <c r="F609" s="9" t="s">
        <v>17</v>
      </c>
      <c r="G609" s="9" t="str">
        <f t="shared" si="45"/>
        <v>Above Averg</v>
      </c>
      <c r="H609" s="11">
        <f t="shared" si="46"/>
        <v>911.5772916666665</v>
      </c>
      <c r="I609" s="9">
        <f t="shared" si="47"/>
        <v>48</v>
      </c>
      <c r="J609" s="12">
        <f>DATE(2025, MATCH(E609, {"January","February","March","April","May","June","July","August","September","October","November","December"},0),1)</f>
        <v>45717</v>
      </c>
      <c r="K609" s="13">
        <f t="shared" si="48"/>
        <v>49369.440000000002</v>
      </c>
      <c r="L609" s="13">
        <v>346.90184634111699</v>
      </c>
      <c r="M609" s="14">
        <f t="shared" si="49"/>
        <v>0.33713486845593504</v>
      </c>
    </row>
    <row r="610" spans="1:13" ht="15.5" x14ac:dyDescent="0.35">
      <c r="A610" s="8" t="s">
        <v>78</v>
      </c>
      <c r="B610" s="9" t="s">
        <v>28</v>
      </c>
      <c r="C610" s="9" t="s">
        <v>24</v>
      </c>
      <c r="D610" s="10">
        <v>286.74</v>
      </c>
      <c r="E610" s="9" t="s">
        <v>55</v>
      </c>
      <c r="F610" s="9" t="s">
        <v>17</v>
      </c>
      <c r="G610" s="9" t="str">
        <f t="shared" si="45"/>
        <v>Low Averg</v>
      </c>
      <c r="H610" s="11">
        <f t="shared" si="46"/>
        <v>309.01727272727271</v>
      </c>
      <c r="I610" s="9">
        <f t="shared" si="47"/>
        <v>22</v>
      </c>
      <c r="J610" s="12">
        <f>DATE(2025, MATCH(E610, {"January","February","March","April","May","June","July","August","September","October","November","December"},0),1)</f>
        <v>45962</v>
      </c>
      <c r="K610" s="13">
        <f t="shared" si="48"/>
        <v>6308.2800000000007</v>
      </c>
      <c r="L610" s="13">
        <v>345.991511495194</v>
      </c>
      <c r="M610" s="14">
        <f t="shared" si="49"/>
        <v>-6.4386760909254687E-2</v>
      </c>
    </row>
    <row r="611" spans="1:13" ht="15.5" x14ac:dyDescent="0.35">
      <c r="A611" s="8" t="s">
        <v>31</v>
      </c>
      <c r="B611" s="9" t="s">
        <v>32</v>
      </c>
      <c r="C611" s="9" t="s">
        <v>61</v>
      </c>
      <c r="D611" s="10">
        <v>109.19</v>
      </c>
      <c r="E611" s="9" t="s">
        <v>42</v>
      </c>
      <c r="F611" s="9" t="s">
        <v>36</v>
      </c>
      <c r="G611" s="9" t="str">
        <f t="shared" si="45"/>
        <v>Low Averg</v>
      </c>
      <c r="H611" s="11">
        <f t="shared" si="46"/>
        <v>123.43305555555558</v>
      </c>
      <c r="I611" s="9">
        <f t="shared" si="47"/>
        <v>36</v>
      </c>
      <c r="J611" s="12">
        <f>DATE(2025, MATCH(E611, {"January","February","March","April","May","June","July","August","September","October","November","December"},0),1)</f>
        <v>45658</v>
      </c>
      <c r="K611" s="13">
        <f t="shared" si="48"/>
        <v>3930.84</v>
      </c>
      <c r="L611" s="13">
        <v>346.32028100638399</v>
      </c>
      <c r="M611" s="14">
        <f t="shared" si="49"/>
        <v>-4.1126830672942982E-2</v>
      </c>
    </row>
    <row r="612" spans="1:13" ht="15.5" x14ac:dyDescent="0.35">
      <c r="A612" s="8" t="s">
        <v>22</v>
      </c>
      <c r="B612" s="9" t="s">
        <v>23</v>
      </c>
      <c r="C612" s="9" t="s">
        <v>29</v>
      </c>
      <c r="D612" s="10">
        <v>255.8</v>
      </c>
      <c r="E612" s="9" t="s">
        <v>35</v>
      </c>
      <c r="F612" s="9" t="s">
        <v>40</v>
      </c>
      <c r="G612" s="9" t="str">
        <f t="shared" si="45"/>
        <v>Low Averg</v>
      </c>
      <c r="H612" s="11">
        <f t="shared" si="46"/>
        <v>257.40029411764709</v>
      </c>
      <c r="I612" s="9">
        <f t="shared" si="47"/>
        <v>34</v>
      </c>
      <c r="J612" s="12">
        <f>DATE(2025, MATCH(E612, {"January","February","March","April","May","June","July","August","September","October","November","December"},0),1)</f>
        <v>45778</v>
      </c>
      <c r="K612" s="13">
        <f t="shared" si="48"/>
        <v>8697.2000000000007</v>
      </c>
      <c r="L612" s="13">
        <v>346.47221851930499</v>
      </c>
      <c r="M612" s="14">
        <f t="shared" si="49"/>
        <v>-4.618823767418209E-3</v>
      </c>
    </row>
    <row r="613" spans="1:13" ht="15.5" x14ac:dyDescent="0.35">
      <c r="A613" s="8" t="s">
        <v>37</v>
      </c>
      <c r="B613" s="9" t="s">
        <v>38</v>
      </c>
      <c r="C613" s="9" t="s">
        <v>20</v>
      </c>
      <c r="D613" s="10">
        <v>1125.71</v>
      </c>
      <c r="E613" s="9" t="s">
        <v>72</v>
      </c>
      <c r="F613" s="9" t="s">
        <v>26</v>
      </c>
      <c r="G613" s="9" t="str">
        <f t="shared" si="45"/>
        <v>Above Averg</v>
      </c>
      <c r="H613" s="11">
        <f t="shared" si="46"/>
        <v>1024.1451428571424</v>
      </c>
      <c r="I613" s="9">
        <f t="shared" si="47"/>
        <v>35</v>
      </c>
      <c r="J613" s="12">
        <f>DATE(2025, MATCH(E613, {"January","February","March","April","May","June","July","August","September","October","November","December"},0),1)</f>
        <v>45901</v>
      </c>
      <c r="K613" s="13">
        <f t="shared" si="48"/>
        <v>39399.85</v>
      </c>
      <c r="L613" s="13">
        <v>346.784648827681</v>
      </c>
      <c r="M613" s="14">
        <f t="shared" si="49"/>
        <v>0.29287587407978277</v>
      </c>
    </row>
    <row r="614" spans="1:13" ht="15.5" x14ac:dyDescent="0.35">
      <c r="A614" s="8" t="s">
        <v>18</v>
      </c>
      <c r="B614" s="9" t="s">
        <v>19</v>
      </c>
      <c r="C614" s="9" t="s">
        <v>45</v>
      </c>
      <c r="D614" s="10">
        <v>991.1</v>
      </c>
      <c r="E614" s="9" t="s">
        <v>16</v>
      </c>
      <c r="F614" s="9" t="s">
        <v>17</v>
      </c>
      <c r="G614" s="9" t="str">
        <f t="shared" si="45"/>
        <v>Above Averg</v>
      </c>
      <c r="H614" s="11">
        <f t="shared" si="46"/>
        <v>920.12567567567555</v>
      </c>
      <c r="I614" s="9">
        <f t="shared" si="47"/>
        <v>37</v>
      </c>
      <c r="J614" s="12">
        <f>DATE(2025, MATCH(E614, {"January","February","March","April","May","June","July","August","September","October","November","December"},0),1)</f>
        <v>45809</v>
      </c>
      <c r="K614" s="13">
        <f t="shared" si="48"/>
        <v>36670.700000000004</v>
      </c>
      <c r="L614" s="13">
        <v>345.46081237225798</v>
      </c>
      <c r="M614" s="14">
        <f t="shared" si="49"/>
        <v>0.20544826441224459</v>
      </c>
    </row>
    <row r="615" spans="1:13" ht="15.5" x14ac:dyDescent="0.35">
      <c r="A615" s="8" t="s">
        <v>53</v>
      </c>
      <c r="B615" s="9" t="s">
        <v>54</v>
      </c>
      <c r="C615" s="9" t="s">
        <v>24</v>
      </c>
      <c r="D615" s="10">
        <v>793.87</v>
      </c>
      <c r="E615" s="9" t="s">
        <v>55</v>
      </c>
      <c r="F615" s="9" t="s">
        <v>30</v>
      </c>
      <c r="G615" s="9" t="str">
        <f t="shared" si="45"/>
        <v>Above Averg</v>
      </c>
      <c r="H615" s="11">
        <f t="shared" si="46"/>
        <v>810.77454545454566</v>
      </c>
      <c r="I615" s="9">
        <f t="shared" si="47"/>
        <v>33</v>
      </c>
      <c r="J615" s="12">
        <f>DATE(2025, MATCH(E615, {"January","February","March","April","May","June","July","August","September","October","November","December"},0),1)</f>
        <v>45962</v>
      </c>
      <c r="K615" s="13">
        <f t="shared" si="48"/>
        <v>26197.71</v>
      </c>
      <c r="L615" s="13">
        <v>344.66872996455203</v>
      </c>
      <c r="M615" s="14">
        <f t="shared" si="49"/>
        <v>-4.9045776378623694E-2</v>
      </c>
    </row>
    <row r="616" spans="1:13" ht="15.5" x14ac:dyDescent="0.35">
      <c r="A616" s="8" t="s">
        <v>52</v>
      </c>
      <c r="B616" s="9" t="s">
        <v>32</v>
      </c>
      <c r="C616" s="9" t="s">
        <v>29</v>
      </c>
      <c r="D616" s="10">
        <v>57.15</v>
      </c>
      <c r="E616" s="9" t="s">
        <v>57</v>
      </c>
      <c r="F616" s="9" t="s">
        <v>26</v>
      </c>
      <c r="G616" s="9" t="str">
        <f t="shared" si="45"/>
        <v>Low Averg</v>
      </c>
      <c r="H616" s="11">
        <f t="shared" si="46"/>
        <v>62.182121212121217</v>
      </c>
      <c r="I616" s="9">
        <f t="shared" si="47"/>
        <v>33</v>
      </c>
      <c r="J616" s="12">
        <f>DATE(2025, MATCH(E616, {"January","February","March","April","May","June","July","August","September","October","November","December"},0),1)</f>
        <v>45839</v>
      </c>
      <c r="K616" s="13">
        <f t="shared" si="48"/>
        <v>1885.95</v>
      </c>
      <c r="L616" s="13">
        <v>344.481062054049</v>
      </c>
      <c r="M616" s="14">
        <f t="shared" si="49"/>
        <v>-1.4607831217530558E-2</v>
      </c>
    </row>
    <row r="617" spans="1:13" ht="15.5" x14ac:dyDescent="0.35">
      <c r="A617" s="8" t="s">
        <v>44</v>
      </c>
      <c r="B617" s="9" t="s">
        <v>23</v>
      </c>
      <c r="C617" s="9" t="s">
        <v>29</v>
      </c>
      <c r="D617" s="10">
        <v>232.62</v>
      </c>
      <c r="E617" s="9" t="s">
        <v>21</v>
      </c>
      <c r="F617" s="9" t="s">
        <v>36</v>
      </c>
      <c r="G617" s="9" t="str">
        <f t="shared" si="45"/>
        <v>Low Averg</v>
      </c>
      <c r="H617" s="11">
        <f t="shared" si="46"/>
        <v>206.14838709677423</v>
      </c>
      <c r="I617" s="9">
        <f t="shared" si="47"/>
        <v>31</v>
      </c>
      <c r="J617" s="12">
        <f>DATE(2025, MATCH(E617, {"January","February","March","April","May","June","July","August","September","October","November","December"},0),1)</f>
        <v>45748</v>
      </c>
      <c r="K617" s="13">
        <f t="shared" si="48"/>
        <v>7211.22</v>
      </c>
      <c r="L617" s="13">
        <v>344.54856900025197</v>
      </c>
      <c r="M617" s="14">
        <f t="shared" si="49"/>
        <v>7.6829844280114884E-2</v>
      </c>
    </row>
    <row r="618" spans="1:13" ht="15.5" x14ac:dyDescent="0.35">
      <c r="A618" s="8" t="s">
        <v>73</v>
      </c>
      <c r="B618" s="9" t="s">
        <v>54</v>
      </c>
      <c r="C618" s="9" t="s">
        <v>15</v>
      </c>
      <c r="D618" s="10">
        <v>36.869999999999997</v>
      </c>
      <c r="E618" s="9" t="s">
        <v>35</v>
      </c>
      <c r="F618" s="9" t="s">
        <v>30</v>
      </c>
      <c r="G618" s="9" t="str">
        <f t="shared" si="45"/>
        <v>Low Averg</v>
      </c>
      <c r="H618" s="11">
        <f t="shared" si="46"/>
        <v>40.881379310344826</v>
      </c>
      <c r="I618" s="9">
        <f t="shared" si="47"/>
        <v>29</v>
      </c>
      <c r="J618" s="12">
        <f>DATE(2025, MATCH(E618, {"January","February","March","April","May","June","July","August","September","October","November","December"},0),1)</f>
        <v>45778</v>
      </c>
      <c r="K618" s="13">
        <f t="shared" si="48"/>
        <v>1069.23</v>
      </c>
      <c r="L618" s="13">
        <v>344.84695820449201</v>
      </c>
      <c r="M618" s="14">
        <f t="shared" si="49"/>
        <v>-1.1632346508813068E-2</v>
      </c>
    </row>
    <row r="619" spans="1:13" ht="15.5" x14ac:dyDescent="0.35">
      <c r="A619" s="8" t="s">
        <v>74</v>
      </c>
      <c r="B619" s="9" t="s">
        <v>38</v>
      </c>
      <c r="C619" s="9" t="s">
        <v>69</v>
      </c>
      <c r="D619" s="10">
        <v>345.7</v>
      </c>
      <c r="E619" s="9" t="s">
        <v>16</v>
      </c>
      <c r="F619" s="9" t="s">
        <v>30</v>
      </c>
      <c r="G619" s="9" t="str">
        <f t="shared" si="45"/>
        <v>Low Averg</v>
      </c>
      <c r="H619" s="11">
        <f t="shared" si="46"/>
        <v>368.73933333333326</v>
      </c>
      <c r="I619" s="9">
        <f t="shared" si="47"/>
        <v>30</v>
      </c>
      <c r="J619" s="12">
        <f>DATE(2025, MATCH(E619, {"January","February","March","April","May","June","July","August","September","October","November","December"},0),1)</f>
        <v>45809</v>
      </c>
      <c r="K619" s="13">
        <f t="shared" si="48"/>
        <v>10371</v>
      </c>
      <c r="L619" s="13">
        <v>344.87506790424902</v>
      </c>
      <c r="M619" s="14">
        <f t="shared" si="49"/>
        <v>-6.6804867841968513E-2</v>
      </c>
    </row>
    <row r="620" spans="1:13" ht="15.5" x14ac:dyDescent="0.35">
      <c r="A620" s="8" t="s">
        <v>75</v>
      </c>
      <c r="B620" s="9" t="s">
        <v>28</v>
      </c>
      <c r="C620" s="9" t="s">
        <v>20</v>
      </c>
      <c r="D620" s="10">
        <v>125.32</v>
      </c>
      <c r="E620" s="9" t="s">
        <v>25</v>
      </c>
      <c r="F620" s="9" t="s">
        <v>26</v>
      </c>
      <c r="G620" s="9" t="str">
        <f t="shared" si="45"/>
        <v>Low Averg</v>
      </c>
      <c r="H620" s="11">
        <f t="shared" si="46"/>
        <v>120.53625</v>
      </c>
      <c r="I620" s="9">
        <f t="shared" si="47"/>
        <v>24</v>
      </c>
      <c r="J620" s="12">
        <f>DATE(2025, MATCH(E620, {"January","February","March","April","May","June","July","August","September","October","November","December"},0),1)</f>
        <v>45931</v>
      </c>
      <c r="K620" s="13">
        <f t="shared" si="48"/>
        <v>3007.68</v>
      </c>
      <c r="L620" s="13">
        <v>345.22747854021702</v>
      </c>
      <c r="M620" s="14">
        <f t="shared" si="49"/>
        <v>1.3856805432255643E-2</v>
      </c>
    </row>
    <row r="621" spans="1:13" ht="15.5" x14ac:dyDescent="0.35">
      <c r="A621" s="8" t="s">
        <v>33</v>
      </c>
      <c r="B621" s="9" t="s">
        <v>19</v>
      </c>
      <c r="C621" s="9" t="s">
        <v>43</v>
      </c>
      <c r="D621" s="10">
        <v>1257.53</v>
      </c>
      <c r="E621" s="9" t="s">
        <v>72</v>
      </c>
      <c r="F621" s="9" t="s">
        <v>30</v>
      </c>
      <c r="G621" s="9" t="str">
        <f t="shared" si="45"/>
        <v>Above Averg</v>
      </c>
      <c r="H621" s="11">
        <f t="shared" si="46"/>
        <v>1113.4854166666667</v>
      </c>
      <c r="I621" s="9">
        <f t="shared" si="47"/>
        <v>24</v>
      </c>
      <c r="J621" s="12">
        <f>DATE(2025, MATCH(E621, {"January","February","March","April","May","June","July","August","September","October","November","December"},0),1)</f>
        <v>45901</v>
      </c>
      <c r="K621" s="13">
        <f t="shared" si="48"/>
        <v>30180.720000000001</v>
      </c>
      <c r="L621" s="13">
        <v>345.40659342199598</v>
      </c>
      <c r="M621" s="14">
        <f t="shared" si="49"/>
        <v>0.41702904946388425</v>
      </c>
    </row>
    <row r="622" spans="1:13" ht="15.5" x14ac:dyDescent="0.35">
      <c r="A622" s="8" t="s">
        <v>56</v>
      </c>
      <c r="B622" s="9" t="s">
        <v>19</v>
      </c>
      <c r="C622" s="9" t="s">
        <v>45</v>
      </c>
      <c r="D622" s="10">
        <v>471.42</v>
      </c>
      <c r="E622" s="9" t="s">
        <v>72</v>
      </c>
      <c r="F622" s="9" t="s">
        <v>40</v>
      </c>
      <c r="G622" s="9" t="str">
        <f t="shared" si="45"/>
        <v>Above Averg</v>
      </c>
      <c r="H622" s="11">
        <f t="shared" si="46"/>
        <v>533.4588235294118</v>
      </c>
      <c r="I622" s="9">
        <f t="shared" si="47"/>
        <v>34</v>
      </c>
      <c r="J622" s="12">
        <f>DATE(2025, MATCH(E622, {"January","February","March","April","May","June","July","August","September","October","November","December"},0),1)</f>
        <v>45901</v>
      </c>
      <c r="K622" s="13">
        <f t="shared" si="48"/>
        <v>16028.28</v>
      </c>
      <c r="L622" s="13">
        <v>343.39346436792101</v>
      </c>
      <c r="M622" s="14">
        <f t="shared" si="49"/>
        <v>-0.18066396121896403</v>
      </c>
    </row>
    <row r="623" spans="1:13" ht="15.5" x14ac:dyDescent="0.35">
      <c r="A623" s="8" t="s">
        <v>66</v>
      </c>
      <c r="B623" s="9" t="s">
        <v>32</v>
      </c>
      <c r="C623" s="9" t="s">
        <v>24</v>
      </c>
      <c r="D623" s="10">
        <v>126.17</v>
      </c>
      <c r="E623" s="9" t="s">
        <v>42</v>
      </c>
      <c r="F623" s="9" t="s">
        <v>36</v>
      </c>
      <c r="G623" s="9" t="str">
        <f t="shared" si="45"/>
        <v>Low Averg</v>
      </c>
      <c r="H623" s="11">
        <f t="shared" si="46"/>
        <v>141.74161290322584</v>
      </c>
      <c r="I623" s="9">
        <f t="shared" si="47"/>
        <v>31</v>
      </c>
      <c r="J623" s="12">
        <f>DATE(2025, MATCH(E623, {"January","February","March","April","May","June","July","August","September","October","November","December"},0),1)</f>
        <v>45658</v>
      </c>
      <c r="K623" s="13">
        <f t="shared" si="48"/>
        <v>3911.27</v>
      </c>
      <c r="L623" s="13">
        <v>343.71504324144502</v>
      </c>
      <c r="M623" s="14">
        <f t="shared" si="49"/>
        <v>-4.5303844592822939E-2</v>
      </c>
    </row>
    <row r="624" spans="1:13" ht="15.5" x14ac:dyDescent="0.35">
      <c r="A624" s="8" t="s">
        <v>68</v>
      </c>
      <c r="B624" s="9" t="s">
        <v>28</v>
      </c>
      <c r="C624" s="9" t="s">
        <v>49</v>
      </c>
      <c r="D624" s="10">
        <v>103.53</v>
      </c>
      <c r="E624" s="9" t="s">
        <v>63</v>
      </c>
      <c r="F624" s="9" t="s">
        <v>26</v>
      </c>
      <c r="G624" s="9" t="str">
        <f t="shared" si="45"/>
        <v>Low Averg</v>
      </c>
      <c r="H624" s="11">
        <f t="shared" si="46"/>
        <v>102.25285714285715</v>
      </c>
      <c r="I624" s="9">
        <f t="shared" si="47"/>
        <v>28</v>
      </c>
      <c r="J624" s="12">
        <f>DATE(2025, MATCH(E624, {"January","February","March","April","May","June","July","August","September","October","November","December"},0),1)</f>
        <v>45717</v>
      </c>
      <c r="K624" s="13">
        <f t="shared" si="48"/>
        <v>2898.84</v>
      </c>
      <c r="L624" s="13">
        <v>343.896416609102</v>
      </c>
      <c r="M624" s="14">
        <f t="shared" si="49"/>
        <v>3.7137428465692426E-3</v>
      </c>
    </row>
    <row r="625" spans="1:13" ht="15.5" x14ac:dyDescent="0.35">
      <c r="A625" s="8" t="s">
        <v>37</v>
      </c>
      <c r="B625" s="9" t="s">
        <v>38</v>
      </c>
      <c r="C625" s="9" t="s">
        <v>29</v>
      </c>
      <c r="D625" s="10">
        <v>1103.53</v>
      </c>
      <c r="E625" s="9" t="s">
        <v>62</v>
      </c>
      <c r="F625" s="9" t="s">
        <v>40</v>
      </c>
      <c r="G625" s="9" t="str">
        <f t="shared" si="45"/>
        <v>Above Averg</v>
      </c>
      <c r="H625" s="11">
        <f t="shared" si="46"/>
        <v>1024.1451428571424</v>
      </c>
      <c r="I625" s="9">
        <f t="shared" si="47"/>
        <v>35</v>
      </c>
      <c r="J625" s="12">
        <f>DATE(2025, MATCH(E625, {"January","February","March","April","May","June","July","August","September","October","November","December"},0),1)</f>
        <v>45689</v>
      </c>
      <c r="K625" s="13">
        <f t="shared" si="48"/>
        <v>38623.549999999996</v>
      </c>
      <c r="L625" s="13">
        <v>344.04322217400698</v>
      </c>
      <c r="M625" s="14">
        <f t="shared" si="49"/>
        <v>0.23074094191196418</v>
      </c>
    </row>
    <row r="626" spans="1:13" ht="15.5" x14ac:dyDescent="0.35">
      <c r="A626" s="8" t="s">
        <v>64</v>
      </c>
      <c r="B626" s="9" t="s">
        <v>60</v>
      </c>
      <c r="C626" s="9" t="s">
        <v>49</v>
      </c>
      <c r="D626" s="10">
        <v>286.3</v>
      </c>
      <c r="E626" s="9" t="s">
        <v>55</v>
      </c>
      <c r="F626" s="9" t="s">
        <v>40</v>
      </c>
      <c r="G626" s="9" t="str">
        <f t="shared" si="45"/>
        <v>Low Averg</v>
      </c>
      <c r="H626" s="11">
        <f t="shared" si="46"/>
        <v>249.29749999999999</v>
      </c>
      <c r="I626" s="9">
        <f t="shared" si="47"/>
        <v>32</v>
      </c>
      <c r="J626" s="12">
        <f>DATE(2025, MATCH(E626, {"January","February","March","April","May","June","July","August","September","October","November","December"},0),1)</f>
        <v>45962</v>
      </c>
      <c r="K626" s="13">
        <f t="shared" si="48"/>
        <v>9161.6</v>
      </c>
      <c r="L626" s="13">
        <v>342.75865453151999</v>
      </c>
      <c r="M626" s="14">
        <f t="shared" si="49"/>
        <v>0.10795496922047022</v>
      </c>
    </row>
    <row r="627" spans="1:13" ht="15.5" x14ac:dyDescent="0.35">
      <c r="A627" s="8" t="s">
        <v>73</v>
      </c>
      <c r="B627" s="9" t="s">
        <v>54</v>
      </c>
      <c r="C627" s="9" t="s">
        <v>69</v>
      </c>
      <c r="D627" s="10">
        <v>43.35</v>
      </c>
      <c r="E627" s="9" t="s">
        <v>57</v>
      </c>
      <c r="F627" s="9" t="s">
        <v>30</v>
      </c>
      <c r="G627" s="9" t="str">
        <f t="shared" si="45"/>
        <v>Low Averg</v>
      </c>
      <c r="H627" s="11">
        <f t="shared" si="46"/>
        <v>40.881379310344826</v>
      </c>
      <c r="I627" s="9">
        <f t="shared" si="47"/>
        <v>29</v>
      </c>
      <c r="J627" s="12">
        <f>DATE(2025, MATCH(E627, {"January","February","March","April","May","June","July","August","September","October","November","December"},0),1)</f>
        <v>45839</v>
      </c>
      <c r="K627" s="13">
        <f t="shared" si="48"/>
        <v>1257.1500000000001</v>
      </c>
      <c r="L627" s="13">
        <v>343.09615125904202</v>
      </c>
      <c r="M627" s="14">
        <f t="shared" si="49"/>
        <v>7.1951278981014707E-3</v>
      </c>
    </row>
    <row r="628" spans="1:13" ht="15.5" x14ac:dyDescent="0.35">
      <c r="A628" s="8" t="s">
        <v>27</v>
      </c>
      <c r="B628" s="9" t="s">
        <v>28</v>
      </c>
      <c r="C628" s="9" t="s">
        <v>61</v>
      </c>
      <c r="D628" s="10">
        <v>105.08</v>
      </c>
      <c r="E628" s="9" t="s">
        <v>16</v>
      </c>
      <c r="F628" s="9" t="s">
        <v>17</v>
      </c>
      <c r="G628" s="9" t="str">
        <f t="shared" si="45"/>
        <v>Low Averg</v>
      </c>
      <c r="H628" s="11">
        <f t="shared" si="46"/>
        <v>113.26108695652174</v>
      </c>
      <c r="I628" s="9">
        <f t="shared" si="47"/>
        <v>46</v>
      </c>
      <c r="J628" s="12">
        <f>DATE(2025, MATCH(E628, {"January","February","March","April","May","June","July","August","September","October","November","December"},0),1)</f>
        <v>45809</v>
      </c>
      <c r="K628" s="13">
        <f t="shared" si="48"/>
        <v>4833.68</v>
      </c>
      <c r="L628" s="13">
        <v>343.13644289139597</v>
      </c>
      <c r="M628" s="14">
        <f t="shared" si="49"/>
        <v>-2.3842081265355673E-2</v>
      </c>
    </row>
    <row r="629" spans="1:13" ht="15.5" x14ac:dyDescent="0.35">
      <c r="A629" s="8" t="s">
        <v>70</v>
      </c>
      <c r="B629" s="9" t="s">
        <v>71</v>
      </c>
      <c r="C629" s="9" t="s">
        <v>15</v>
      </c>
      <c r="D629" s="10">
        <v>910.09</v>
      </c>
      <c r="E629" s="9" t="s">
        <v>63</v>
      </c>
      <c r="F629" s="9" t="s">
        <v>26</v>
      </c>
      <c r="G629" s="9" t="str">
        <f t="shared" si="45"/>
        <v>Above Averg</v>
      </c>
      <c r="H629" s="11">
        <f t="shared" si="46"/>
        <v>911.5772916666665</v>
      </c>
      <c r="I629" s="9">
        <f t="shared" si="47"/>
        <v>48</v>
      </c>
      <c r="J629" s="12">
        <f>DATE(2025, MATCH(E629, {"January","February","March","April","May","June","July","August","September","October","November","December"},0),1)</f>
        <v>45717</v>
      </c>
      <c r="K629" s="13">
        <f t="shared" si="48"/>
        <v>43684.32</v>
      </c>
      <c r="L629" s="13">
        <v>343.28592513816</v>
      </c>
      <c r="M629" s="14">
        <f t="shared" si="49"/>
        <v>-4.3325157186910141E-3</v>
      </c>
    </row>
    <row r="630" spans="1:13" ht="15.5" x14ac:dyDescent="0.35">
      <c r="A630" s="8" t="s">
        <v>76</v>
      </c>
      <c r="B630" s="9" t="s">
        <v>60</v>
      </c>
      <c r="C630" s="9" t="s">
        <v>15</v>
      </c>
      <c r="D630" s="10">
        <v>278.57</v>
      </c>
      <c r="E630" s="9" t="s">
        <v>46</v>
      </c>
      <c r="F630" s="9" t="s">
        <v>40</v>
      </c>
      <c r="G630" s="9" t="str">
        <f t="shared" si="45"/>
        <v>Low Averg</v>
      </c>
      <c r="H630" s="11">
        <f t="shared" si="46"/>
        <v>304.90820512820511</v>
      </c>
      <c r="I630" s="9">
        <f t="shared" si="47"/>
        <v>39</v>
      </c>
      <c r="J630" s="12">
        <f>DATE(2025, MATCH(E630, {"January","February","March","April","May","June","July","August","September","October","November","December"},0),1)</f>
        <v>45870</v>
      </c>
      <c r="K630" s="13">
        <f t="shared" si="48"/>
        <v>10864.23</v>
      </c>
      <c r="L630" s="13">
        <v>342.74434108590202</v>
      </c>
      <c r="M630" s="14">
        <f t="shared" si="49"/>
        <v>-7.6845047374841921E-2</v>
      </c>
    </row>
    <row r="631" spans="1:13" ht="15.5" x14ac:dyDescent="0.35">
      <c r="A631" s="8" t="s">
        <v>81</v>
      </c>
      <c r="B631" s="9" t="s">
        <v>28</v>
      </c>
      <c r="C631" s="9" t="s">
        <v>45</v>
      </c>
      <c r="D631" s="10">
        <v>140.07</v>
      </c>
      <c r="E631" s="9" t="s">
        <v>16</v>
      </c>
      <c r="F631" s="9" t="s">
        <v>40</v>
      </c>
      <c r="G631" s="9" t="str">
        <f t="shared" si="45"/>
        <v>Low Averg</v>
      </c>
      <c r="H631" s="11">
        <f t="shared" si="46"/>
        <v>140.29840000000002</v>
      </c>
      <c r="I631" s="9">
        <f t="shared" si="47"/>
        <v>25</v>
      </c>
      <c r="J631" s="12">
        <f>DATE(2025, MATCH(E631, {"January","February","March","April","May","June","July","August","September","October","November","December"},0),1)</f>
        <v>45809</v>
      </c>
      <c r="K631" s="13">
        <f t="shared" si="48"/>
        <v>3501.75</v>
      </c>
      <c r="L631" s="13">
        <v>343.08055499980202</v>
      </c>
      <c r="M631" s="14">
        <f t="shared" si="49"/>
        <v>-6.6573286265132021E-4</v>
      </c>
    </row>
    <row r="632" spans="1:13" ht="15.5" x14ac:dyDescent="0.35">
      <c r="A632" s="8" t="s">
        <v>52</v>
      </c>
      <c r="B632" s="9" t="s">
        <v>32</v>
      </c>
      <c r="C632" s="9" t="s">
        <v>45</v>
      </c>
      <c r="D632" s="10">
        <v>69.430000000000007</v>
      </c>
      <c r="E632" s="9" t="s">
        <v>55</v>
      </c>
      <c r="F632" s="9" t="s">
        <v>36</v>
      </c>
      <c r="G632" s="9" t="str">
        <f t="shared" si="45"/>
        <v>Low Averg</v>
      </c>
      <c r="H632" s="11">
        <f t="shared" si="46"/>
        <v>62.182121212121217</v>
      </c>
      <c r="I632" s="9">
        <f t="shared" si="47"/>
        <v>33</v>
      </c>
      <c r="J632" s="12">
        <f>DATE(2025, MATCH(E632, {"January","February","March","April","May","June","July","August","September","October","November","December"},0),1)</f>
        <v>45962</v>
      </c>
      <c r="K632" s="13">
        <f t="shared" si="48"/>
        <v>2291.19</v>
      </c>
      <c r="L632" s="13">
        <v>343.28399258418801</v>
      </c>
      <c r="M632" s="14">
        <f t="shared" si="49"/>
        <v>2.1113360787136902E-2</v>
      </c>
    </row>
    <row r="633" spans="1:13" ht="15.5" x14ac:dyDescent="0.35">
      <c r="A633" s="8" t="s">
        <v>48</v>
      </c>
      <c r="B633" s="9" t="s">
        <v>19</v>
      </c>
      <c r="C633" s="9" t="s">
        <v>24</v>
      </c>
      <c r="D633" s="10">
        <v>1152.3499999999999</v>
      </c>
      <c r="E633" s="9" t="s">
        <v>55</v>
      </c>
      <c r="F633" s="9" t="s">
        <v>17</v>
      </c>
      <c r="G633" s="9" t="str">
        <f t="shared" si="45"/>
        <v>Above Averg</v>
      </c>
      <c r="H633" s="11">
        <f t="shared" si="46"/>
        <v>1235.856</v>
      </c>
      <c r="I633" s="9">
        <f t="shared" si="47"/>
        <v>25</v>
      </c>
      <c r="J633" s="12">
        <f>DATE(2025, MATCH(E633, {"January","February","March","April","May","June","July","August","September","October","November","December"},0),1)</f>
        <v>45962</v>
      </c>
      <c r="K633" s="13">
        <f t="shared" si="48"/>
        <v>28808.749999999996</v>
      </c>
      <c r="L633" s="13">
        <v>343.37347154502498</v>
      </c>
      <c r="M633" s="14">
        <f t="shared" si="49"/>
        <v>-0.24319292816728366</v>
      </c>
    </row>
    <row r="634" spans="1:13" ht="15.5" x14ac:dyDescent="0.35">
      <c r="A634" s="8" t="s">
        <v>56</v>
      </c>
      <c r="B634" s="9" t="s">
        <v>19</v>
      </c>
      <c r="C634" s="9" t="s">
        <v>15</v>
      </c>
      <c r="D634" s="10">
        <v>515.34</v>
      </c>
      <c r="E634" s="9" t="s">
        <v>57</v>
      </c>
      <c r="F634" s="9" t="s">
        <v>17</v>
      </c>
      <c r="G634" s="9" t="str">
        <f t="shared" si="45"/>
        <v>Above Averg</v>
      </c>
      <c r="H634" s="11">
        <f t="shared" si="46"/>
        <v>533.4588235294118</v>
      </c>
      <c r="I634" s="9">
        <f t="shared" si="47"/>
        <v>34</v>
      </c>
      <c r="J634" s="12">
        <f>DATE(2025, MATCH(E634, {"January","February","March","April","May","June","July","August","September","October","November","December"},0),1)</f>
        <v>45839</v>
      </c>
      <c r="K634" s="13">
        <f t="shared" si="48"/>
        <v>17521.560000000001</v>
      </c>
      <c r="L634" s="13">
        <v>341.83315475395</v>
      </c>
      <c r="M634" s="14">
        <f t="shared" si="49"/>
        <v>-5.3004874680613177E-2</v>
      </c>
    </row>
    <row r="635" spans="1:13" ht="15.5" x14ac:dyDescent="0.35">
      <c r="A635" s="8" t="s">
        <v>48</v>
      </c>
      <c r="B635" s="9" t="s">
        <v>19</v>
      </c>
      <c r="C635" s="9" t="s">
        <v>43</v>
      </c>
      <c r="D635" s="10">
        <v>1359.06</v>
      </c>
      <c r="E635" s="9" t="s">
        <v>57</v>
      </c>
      <c r="F635" s="9" t="s">
        <v>36</v>
      </c>
      <c r="G635" s="9" t="str">
        <f t="shared" si="45"/>
        <v>Above Averg</v>
      </c>
      <c r="H635" s="11">
        <f t="shared" si="46"/>
        <v>1235.856</v>
      </c>
      <c r="I635" s="9">
        <f t="shared" si="47"/>
        <v>25</v>
      </c>
      <c r="J635" s="12">
        <f>DATE(2025, MATCH(E635, {"January","February","March","April","May","June","July","August","September","October","November","December"},0),1)</f>
        <v>45839</v>
      </c>
      <c r="K635" s="13">
        <f t="shared" si="48"/>
        <v>33976.5</v>
      </c>
      <c r="L635" s="13">
        <v>342.125832434865</v>
      </c>
      <c r="M635" s="14">
        <f t="shared" si="49"/>
        <v>0.36011311722114969</v>
      </c>
    </row>
    <row r="636" spans="1:13" ht="15.5" x14ac:dyDescent="0.35">
      <c r="A636" s="8" t="s">
        <v>52</v>
      </c>
      <c r="B636" s="9" t="s">
        <v>32</v>
      </c>
      <c r="C636" s="9" t="s">
        <v>15</v>
      </c>
      <c r="D636" s="10">
        <v>64.040000000000006</v>
      </c>
      <c r="E636" s="9" t="s">
        <v>35</v>
      </c>
      <c r="F636" s="9" t="s">
        <v>36</v>
      </c>
      <c r="G636" s="9" t="str">
        <f t="shared" si="45"/>
        <v>Low Averg</v>
      </c>
      <c r="H636" s="11">
        <f t="shared" si="46"/>
        <v>62.182121212121217</v>
      </c>
      <c r="I636" s="9">
        <f t="shared" si="47"/>
        <v>33</v>
      </c>
      <c r="J636" s="12">
        <f>DATE(2025, MATCH(E636, {"January","February","March","April","May","June","July","August","September","October","November","December"},0),1)</f>
        <v>45778</v>
      </c>
      <c r="K636" s="13">
        <f t="shared" si="48"/>
        <v>2113.3200000000002</v>
      </c>
      <c r="L636" s="13">
        <v>339.40953590095</v>
      </c>
      <c r="M636" s="14">
        <f t="shared" si="49"/>
        <v>5.4738555973305788E-3</v>
      </c>
    </row>
    <row r="637" spans="1:13" ht="15.5" x14ac:dyDescent="0.35">
      <c r="A637" s="8" t="s">
        <v>50</v>
      </c>
      <c r="B637" s="9" t="s">
        <v>32</v>
      </c>
      <c r="C637" s="9" t="s">
        <v>20</v>
      </c>
      <c r="D637" s="10">
        <v>81.67</v>
      </c>
      <c r="E637" s="9" t="s">
        <v>25</v>
      </c>
      <c r="F637" s="9" t="s">
        <v>26</v>
      </c>
      <c r="G637" s="9" t="str">
        <f t="shared" si="45"/>
        <v>Low Averg</v>
      </c>
      <c r="H637" s="11">
        <f t="shared" si="46"/>
        <v>81.934666666666672</v>
      </c>
      <c r="I637" s="9">
        <f t="shared" si="47"/>
        <v>30</v>
      </c>
      <c r="J637" s="12">
        <f>DATE(2025, MATCH(E637, {"January","February","March","April","May","June","July","August","September","October","November","December"},0),1)</f>
        <v>45931</v>
      </c>
      <c r="K637" s="13">
        <f t="shared" si="48"/>
        <v>2450.1</v>
      </c>
      <c r="L637" s="13">
        <v>339.48887501569999</v>
      </c>
      <c r="M637" s="14">
        <f t="shared" si="49"/>
        <v>-7.7960335711864078E-4</v>
      </c>
    </row>
    <row r="638" spans="1:13" ht="15.5" x14ac:dyDescent="0.35">
      <c r="A638" s="8" t="s">
        <v>80</v>
      </c>
      <c r="B638" s="9" t="s">
        <v>19</v>
      </c>
      <c r="C638" s="9" t="s">
        <v>29</v>
      </c>
      <c r="D638" s="10">
        <v>792.85</v>
      </c>
      <c r="E638" s="9" t="s">
        <v>39</v>
      </c>
      <c r="F638" s="9" t="s">
        <v>40</v>
      </c>
      <c r="G638" s="9" t="str">
        <f t="shared" si="45"/>
        <v>Above Averg</v>
      </c>
      <c r="H638" s="11">
        <f t="shared" si="46"/>
        <v>720.27689655172423</v>
      </c>
      <c r="I638" s="9">
        <f t="shared" si="47"/>
        <v>29</v>
      </c>
      <c r="J638" s="12">
        <f>DATE(2025, MATCH(E638, {"January","February","March","April","May","June","July","August","September","October","November","December"},0),1)</f>
        <v>45992</v>
      </c>
      <c r="K638" s="13">
        <f t="shared" si="48"/>
        <v>22992.65</v>
      </c>
      <c r="L638" s="13">
        <v>339.59964831967199</v>
      </c>
      <c r="M638" s="14">
        <f t="shared" si="49"/>
        <v>0.21370193934936371</v>
      </c>
    </row>
    <row r="639" spans="1:13" ht="15.5" x14ac:dyDescent="0.35">
      <c r="A639" s="8" t="s">
        <v>66</v>
      </c>
      <c r="B639" s="9" t="s">
        <v>32</v>
      </c>
      <c r="C639" s="9" t="s">
        <v>49</v>
      </c>
      <c r="D639" s="10">
        <v>150.52000000000001</v>
      </c>
      <c r="E639" s="9" t="s">
        <v>35</v>
      </c>
      <c r="F639" s="9" t="s">
        <v>17</v>
      </c>
      <c r="G639" s="9" t="str">
        <f t="shared" si="45"/>
        <v>Low Averg</v>
      </c>
      <c r="H639" s="11">
        <f t="shared" si="46"/>
        <v>141.74161290322584</v>
      </c>
      <c r="I639" s="9">
        <f t="shared" si="47"/>
        <v>31</v>
      </c>
      <c r="J639" s="12">
        <f>DATE(2025, MATCH(E639, {"January","February","March","April","May","June","July","August","September","October","November","December"},0),1)</f>
        <v>45778</v>
      </c>
      <c r="K639" s="13">
        <f t="shared" si="48"/>
        <v>4666.12</v>
      </c>
      <c r="L639" s="13">
        <v>339.38464583919898</v>
      </c>
      <c r="M639" s="14">
        <f t="shared" si="49"/>
        <v>2.5865598825391124E-2</v>
      </c>
    </row>
    <row r="640" spans="1:13" ht="15.5" x14ac:dyDescent="0.35">
      <c r="A640" s="8" t="s">
        <v>74</v>
      </c>
      <c r="B640" s="9" t="s">
        <v>38</v>
      </c>
      <c r="C640" s="9" t="s">
        <v>43</v>
      </c>
      <c r="D640" s="10">
        <v>399.98</v>
      </c>
      <c r="E640" s="9" t="s">
        <v>25</v>
      </c>
      <c r="F640" s="9" t="s">
        <v>17</v>
      </c>
      <c r="G640" s="9" t="str">
        <f t="shared" si="45"/>
        <v>Above Averg</v>
      </c>
      <c r="H640" s="11">
        <f t="shared" si="46"/>
        <v>368.73933333333326</v>
      </c>
      <c r="I640" s="9">
        <f t="shared" si="47"/>
        <v>30</v>
      </c>
      <c r="J640" s="12">
        <f>DATE(2025, MATCH(E640, {"January","February","March","April","May","June","July","August","September","October","November","December"},0),1)</f>
        <v>45931</v>
      </c>
      <c r="K640" s="13">
        <f t="shared" si="48"/>
        <v>11999.400000000001</v>
      </c>
      <c r="L640" s="13">
        <v>339.60406256119302</v>
      </c>
      <c r="M640" s="14">
        <f t="shared" si="49"/>
        <v>9.1991439769768715E-2</v>
      </c>
    </row>
    <row r="641" spans="1:13" ht="15.5" x14ac:dyDescent="0.35">
      <c r="A641" s="8" t="s">
        <v>56</v>
      </c>
      <c r="B641" s="9" t="s">
        <v>19</v>
      </c>
      <c r="C641" s="9" t="s">
        <v>15</v>
      </c>
      <c r="D641" s="10">
        <v>436.31</v>
      </c>
      <c r="E641" s="9" t="s">
        <v>57</v>
      </c>
      <c r="F641" s="9" t="s">
        <v>17</v>
      </c>
      <c r="G641" s="9" t="str">
        <f t="shared" si="45"/>
        <v>Above Averg</v>
      </c>
      <c r="H641" s="11">
        <f t="shared" si="46"/>
        <v>533.4588235294118</v>
      </c>
      <c r="I641" s="9">
        <f t="shared" si="47"/>
        <v>34</v>
      </c>
      <c r="J641" s="12">
        <f>DATE(2025, MATCH(E641, {"January","February","March","April","May","June","July","August","September","October","November","December"},0),1)</f>
        <v>45839</v>
      </c>
      <c r="K641" s="13">
        <f t="shared" si="48"/>
        <v>14834.54</v>
      </c>
      <c r="L641" s="13">
        <v>339.96422449861097</v>
      </c>
      <c r="M641" s="14">
        <f t="shared" si="49"/>
        <v>-0.28576190236690252</v>
      </c>
    </row>
    <row r="642" spans="1:13" ht="15.5" x14ac:dyDescent="0.35">
      <c r="A642" s="8" t="s">
        <v>73</v>
      </c>
      <c r="B642" s="9" t="s">
        <v>54</v>
      </c>
      <c r="C642" s="9" t="s">
        <v>45</v>
      </c>
      <c r="D642" s="10">
        <v>46.32</v>
      </c>
      <c r="E642" s="9" t="s">
        <v>21</v>
      </c>
      <c r="F642" s="9" t="s">
        <v>36</v>
      </c>
      <c r="G642" s="9" t="str">
        <f t="shared" si="45"/>
        <v>Low Averg</v>
      </c>
      <c r="H642" s="11">
        <f t="shared" si="46"/>
        <v>40.881379310344826</v>
      </c>
      <c r="I642" s="9">
        <f t="shared" si="47"/>
        <v>29</v>
      </c>
      <c r="J642" s="12">
        <f>DATE(2025, MATCH(E642, {"January","February","March","April","May","June","July","August","September","October","November","December"},0),1)</f>
        <v>45748</v>
      </c>
      <c r="K642" s="13">
        <f t="shared" si="48"/>
        <v>1343.28</v>
      </c>
      <c r="L642" s="13">
        <v>340.31313070402302</v>
      </c>
      <c r="M642" s="14">
        <f t="shared" si="49"/>
        <v>1.5981224933648678E-2</v>
      </c>
    </row>
    <row r="643" spans="1:13" ht="15.5" x14ac:dyDescent="0.35">
      <c r="A643" s="8" t="s">
        <v>50</v>
      </c>
      <c r="B643" s="9" t="s">
        <v>32</v>
      </c>
      <c r="C643" s="9" t="s">
        <v>45</v>
      </c>
      <c r="D643" s="10">
        <v>91.73</v>
      </c>
      <c r="E643" s="9" t="s">
        <v>63</v>
      </c>
      <c r="F643" s="9" t="s">
        <v>40</v>
      </c>
      <c r="G643" s="9" t="str">
        <f t="shared" si="45"/>
        <v>Low Averg</v>
      </c>
      <c r="H643" s="11">
        <f t="shared" si="46"/>
        <v>81.934666666666672</v>
      </c>
      <c r="I643" s="9">
        <f t="shared" si="47"/>
        <v>30</v>
      </c>
      <c r="J643" s="12">
        <f>DATE(2025, MATCH(E643, {"January","February","March","April","May","June","July","August","September","October","November","December"},0),1)</f>
        <v>45717</v>
      </c>
      <c r="K643" s="13">
        <f t="shared" si="48"/>
        <v>2751.9</v>
      </c>
      <c r="L643" s="13">
        <v>340.35944271101698</v>
      </c>
      <c r="M643" s="14">
        <f t="shared" si="49"/>
        <v>2.8779378809977909E-2</v>
      </c>
    </row>
    <row r="644" spans="1:13" ht="15.5" x14ac:dyDescent="0.35">
      <c r="A644" s="8" t="s">
        <v>83</v>
      </c>
      <c r="B644" s="9" t="s">
        <v>23</v>
      </c>
      <c r="C644" s="9" t="s">
        <v>24</v>
      </c>
      <c r="D644" s="10">
        <v>126.4</v>
      </c>
      <c r="E644" s="9" t="s">
        <v>42</v>
      </c>
      <c r="F644" s="9" t="s">
        <v>30</v>
      </c>
      <c r="G644" s="9" t="str">
        <f t="shared" si="45"/>
        <v>Low Averg</v>
      </c>
      <c r="H644" s="11">
        <f t="shared" si="46"/>
        <v>132.90272727272728</v>
      </c>
      <c r="I644" s="9">
        <f t="shared" si="47"/>
        <v>22</v>
      </c>
      <c r="J644" s="12">
        <f>DATE(2025, MATCH(E644, {"January","February","March","April","May","June","July","August","September","October","November","December"},0),1)</f>
        <v>45658</v>
      </c>
      <c r="K644" s="13">
        <f t="shared" si="48"/>
        <v>2780.8</v>
      </c>
      <c r="L644" s="13">
        <v>340.48994511623198</v>
      </c>
      <c r="M644" s="14">
        <f t="shared" si="49"/>
        <v>-1.9098147730933594E-2</v>
      </c>
    </row>
    <row r="645" spans="1:13" ht="15.5" x14ac:dyDescent="0.35">
      <c r="A645" s="8" t="s">
        <v>80</v>
      </c>
      <c r="B645" s="9" t="s">
        <v>19</v>
      </c>
      <c r="C645" s="9" t="s">
        <v>34</v>
      </c>
      <c r="D645" s="10">
        <v>672.13</v>
      </c>
      <c r="E645" s="9" t="s">
        <v>55</v>
      </c>
      <c r="F645" s="9" t="s">
        <v>40</v>
      </c>
      <c r="G645" s="9" t="str">
        <f t="shared" si="45"/>
        <v>Above Averg</v>
      </c>
      <c r="H645" s="11">
        <f t="shared" si="46"/>
        <v>720.27689655172423</v>
      </c>
      <c r="I645" s="9">
        <f t="shared" si="47"/>
        <v>29</v>
      </c>
      <c r="J645" s="12">
        <f>DATE(2025, MATCH(E645, {"January","February","March","April","May","June","July","August","September","October","November","December"},0),1)</f>
        <v>45962</v>
      </c>
      <c r="K645" s="13">
        <f t="shared" si="48"/>
        <v>19491.77</v>
      </c>
      <c r="L645" s="13">
        <v>340.67651678197399</v>
      </c>
      <c r="M645" s="14">
        <f t="shared" si="49"/>
        <v>-0.14132731250900182</v>
      </c>
    </row>
    <row r="646" spans="1:13" ht="15.5" x14ac:dyDescent="0.35">
      <c r="A646" s="8" t="s">
        <v>56</v>
      </c>
      <c r="B646" s="9" t="s">
        <v>19</v>
      </c>
      <c r="C646" s="9" t="s">
        <v>29</v>
      </c>
      <c r="D646" s="10">
        <v>608.46</v>
      </c>
      <c r="E646" s="9" t="s">
        <v>63</v>
      </c>
      <c r="F646" s="9" t="s">
        <v>40</v>
      </c>
      <c r="G646" s="9" t="str">
        <f t="shared" si="45"/>
        <v>Above Averg</v>
      </c>
      <c r="H646" s="11">
        <f t="shared" si="46"/>
        <v>533.4588235294118</v>
      </c>
      <c r="I646" s="9">
        <f t="shared" si="47"/>
        <v>34</v>
      </c>
      <c r="J646" s="12">
        <f>DATE(2025, MATCH(E646, {"January","February","March","April","May","June","July","August","September","October","November","December"},0),1)</f>
        <v>45717</v>
      </c>
      <c r="K646" s="13">
        <f t="shared" si="48"/>
        <v>20687.64</v>
      </c>
      <c r="L646" s="13">
        <v>340.74673698430098</v>
      </c>
      <c r="M646" s="14">
        <f t="shared" si="49"/>
        <v>0.22010827494451904</v>
      </c>
    </row>
    <row r="647" spans="1:13" ht="15.5" x14ac:dyDescent="0.35">
      <c r="A647" s="8" t="s">
        <v>51</v>
      </c>
      <c r="B647" s="9" t="s">
        <v>28</v>
      </c>
      <c r="C647" s="9" t="s">
        <v>69</v>
      </c>
      <c r="D647" s="10">
        <v>120.75</v>
      </c>
      <c r="E647" s="9" t="s">
        <v>42</v>
      </c>
      <c r="F647" s="9" t="s">
        <v>30</v>
      </c>
      <c r="G647" s="9" t="str">
        <f t="shared" si="45"/>
        <v>Low Averg</v>
      </c>
      <c r="H647" s="11">
        <f t="shared" si="46"/>
        <v>122.0377142857143</v>
      </c>
      <c r="I647" s="9">
        <f t="shared" si="47"/>
        <v>35</v>
      </c>
      <c r="J647" s="12">
        <f>DATE(2025, MATCH(E647, {"January","February","March","April","May","June","July","August","September","October","November","December"},0),1)</f>
        <v>45658</v>
      </c>
      <c r="K647" s="13">
        <f t="shared" si="48"/>
        <v>4226.25</v>
      </c>
      <c r="L647" s="13">
        <v>340.92789302710401</v>
      </c>
      <c r="M647" s="14">
        <f t="shared" si="49"/>
        <v>-3.7770869208754569E-3</v>
      </c>
    </row>
    <row r="648" spans="1:13" ht="15.5" x14ac:dyDescent="0.35">
      <c r="A648" s="8" t="s">
        <v>67</v>
      </c>
      <c r="B648" s="9" t="s">
        <v>23</v>
      </c>
      <c r="C648" s="9" t="s">
        <v>69</v>
      </c>
      <c r="D648" s="10">
        <v>221.47</v>
      </c>
      <c r="E648" s="9" t="s">
        <v>39</v>
      </c>
      <c r="F648" s="9" t="s">
        <v>40</v>
      </c>
      <c r="G648" s="9" t="str">
        <f t="shared" ref="G648:G711" si="50">IF(D648&gt;AVERAGE(D:D),"Above Averg","Low Averg")</f>
        <v>Low Averg</v>
      </c>
      <c r="H648" s="11">
        <f t="shared" ref="H648:H711" si="51">AVERAGEIF(A:A,A648,D:D)</f>
        <v>226.566129032258</v>
      </c>
      <c r="I648" s="9">
        <f t="shared" ref="I648:I711" si="52">COUNTIF(A:A,A648)</f>
        <v>31</v>
      </c>
      <c r="J648" s="12">
        <f>DATE(2025, MATCH(E648, {"January","February","March","April","May","June","July","August","September","October","November","December"},0),1)</f>
        <v>45992</v>
      </c>
      <c r="K648" s="13">
        <f t="shared" ref="K648:K711" si="53">1*(D648*I648)</f>
        <v>6865.57</v>
      </c>
      <c r="L648" s="13">
        <v>341.10870408985301</v>
      </c>
      <c r="M648" s="14">
        <f t="shared" ref="M648:M711" si="54">(D648-H648)/L648</f>
        <v>-1.4939897373347621E-2</v>
      </c>
    </row>
    <row r="649" spans="1:13" ht="15.5" x14ac:dyDescent="0.35">
      <c r="A649" s="8" t="s">
        <v>66</v>
      </c>
      <c r="B649" s="9" t="s">
        <v>32</v>
      </c>
      <c r="C649" s="9" t="s">
        <v>29</v>
      </c>
      <c r="D649" s="10">
        <v>145.65</v>
      </c>
      <c r="E649" s="9" t="s">
        <v>39</v>
      </c>
      <c r="F649" s="9" t="s">
        <v>17</v>
      </c>
      <c r="G649" s="9" t="str">
        <f t="shared" si="50"/>
        <v>Low Averg</v>
      </c>
      <c r="H649" s="11">
        <f t="shared" si="51"/>
        <v>141.74161290322584</v>
      </c>
      <c r="I649" s="9">
        <f t="shared" si="52"/>
        <v>31</v>
      </c>
      <c r="J649" s="12">
        <f>DATE(2025, MATCH(E649, {"January","February","March","April","May","June","July","August","September","October","November","December"},0),1)</f>
        <v>45992</v>
      </c>
      <c r="K649" s="13">
        <f t="shared" si="53"/>
        <v>4515.1500000000005</v>
      </c>
      <c r="L649" s="13">
        <v>341.414692670497</v>
      </c>
      <c r="M649" s="14">
        <f t="shared" si="54"/>
        <v>1.1447624196262079E-2</v>
      </c>
    </row>
    <row r="650" spans="1:13" ht="15.5" x14ac:dyDescent="0.35">
      <c r="A650" s="8" t="s">
        <v>48</v>
      </c>
      <c r="B650" s="9" t="s">
        <v>19</v>
      </c>
      <c r="C650" s="9" t="s">
        <v>61</v>
      </c>
      <c r="D650" s="10">
        <v>1169.8800000000001</v>
      </c>
      <c r="E650" s="9" t="s">
        <v>16</v>
      </c>
      <c r="F650" s="9" t="s">
        <v>17</v>
      </c>
      <c r="G650" s="9" t="str">
        <f t="shared" si="50"/>
        <v>Above Averg</v>
      </c>
      <c r="H650" s="11">
        <f t="shared" si="51"/>
        <v>1235.856</v>
      </c>
      <c r="I650" s="9">
        <f t="shared" si="52"/>
        <v>25</v>
      </c>
      <c r="J650" s="12">
        <f>DATE(2025, MATCH(E650, {"January","February","March","April","May","June","July","August","September","October","November","December"},0),1)</f>
        <v>45809</v>
      </c>
      <c r="K650" s="13">
        <f t="shared" si="53"/>
        <v>29247.000000000004</v>
      </c>
      <c r="L650" s="13">
        <v>341.63290938503201</v>
      </c>
      <c r="M650" s="14">
        <f t="shared" si="54"/>
        <v>-0.19311956836582939</v>
      </c>
    </row>
    <row r="651" spans="1:13" ht="15.5" x14ac:dyDescent="0.35">
      <c r="A651" s="8" t="s">
        <v>33</v>
      </c>
      <c r="B651" s="9" t="s">
        <v>19</v>
      </c>
      <c r="C651" s="9" t="s">
        <v>15</v>
      </c>
      <c r="D651" s="10">
        <v>1065.04</v>
      </c>
      <c r="E651" s="9" t="s">
        <v>55</v>
      </c>
      <c r="F651" s="9" t="s">
        <v>17</v>
      </c>
      <c r="G651" s="9" t="str">
        <f t="shared" si="50"/>
        <v>Above Averg</v>
      </c>
      <c r="H651" s="11">
        <f t="shared" si="51"/>
        <v>1113.4854166666667</v>
      </c>
      <c r="I651" s="9">
        <f t="shared" si="52"/>
        <v>24</v>
      </c>
      <c r="J651" s="12">
        <f>DATE(2025, MATCH(E651, {"January","February","March","April","May","June","July","August","September","October","November","December"},0),1)</f>
        <v>45962</v>
      </c>
      <c r="K651" s="13">
        <f t="shared" si="53"/>
        <v>25560.959999999999</v>
      </c>
      <c r="L651" s="13">
        <v>339.92459046181301</v>
      </c>
      <c r="M651" s="14">
        <f t="shared" si="54"/>
        <v>-0.14251812909695635</v>
      </c>
    </row>
    <row r="652" spans="1:13" ht="15.5" x14ac:dyDescent="0.35">
      <c r="A652" s="8" t="s">
        <v>81</v>
      </c>
      <c r="B652" s="9" t="s">
        <v>28</v>
      </c>
      <c r="C652" s="9" t="s">
        <v>15</v>
      </c>
      <c r="D652" s="10">
        <v>149.80000000000001</v>
      </c>
      <c r="E652" s="9" t="s">
        <v>21</v>
      </c>
      <c r="F652" s="9" t="s">
        <v>26</v>
      </c>
      <c r="G652" s="9" t="str">
        <f t="shared" si="50"/>
        <v>Low Averg</v>
      </c>
      <c r="H652" s="11">
        <f t="shared" si="51"/>
        <v>140.29840000000002</v>
      </c>
      <c r="I652" s="9">
        <f t="shared" si="52"/>
        <v>25</v>
      </c>
      <c r="J652" s="12">
        <f>DATE(2025, MATCH(E652, {"January","February","March","April","May","June","July","August","September","October","November","December"},0),1)</f>
        <v>45748</v>
      </c>
      <c r="K652" s="13">
        <f t="shared" si="53"/>
        <v>3745.0000000000005</v>
      </c>
      <c r="L652" s="13">
        <v>338.70476997417899</v>
      </c>
      <c r="M652" s="14">
        <f t="shared" si="54"/>
        <v>2.8052749303543456E-2</v>
      </c>
    </row>
    <row r="653" spans="1:13" ht="15.5" x14ac:dyDescent="0.35">
      <c r="A653" s="8" t="s">
        <v>27</v>
      </c>
      <c r="B653" s="9" t="s">
        <v>28</v>
      </c>
      <c r="C653" s="9" t="s">
        <v>20</v>
      </c>
      <c r="D653" s="10">
        <v>132.06</v>
      </c>
      <c r="E653" s="9" t="s">
        <v>16</v>
      </c>
      <c r="F653" s="9" t="s">
        <v>40</v>
      </c>
      <c r="G653" s="9" t="str">
        <f t="shared" si="50"/>
        <v>Low Averg</v>
      </c>
      <c r="H653" s="11">
        <f t="shared" si="51"/>
        <v>113.26108695652174</v>
      </c>
      <c r="I653" s="9">
        <f t="shared" si="52"/>
        <v>46</v>
      </c>
      <c r="J653" s="12">
        <f>DATE(2025, MATCH(E653, {"January","February","March","April","May","June","July","August","September","October","November","December"},0),1)</f>
        <v>45809</v>
      </c>
      <c r="K653" s="13">
        <f t="shared" si="53"/>
        <v>6074.76</v>
      </c>
      <c r="L653" s="13">
        <v>338.93001052291999</v>
      </c>
      <c r="M653" s="14">
        <f t="shared" si="54"/>
        <v>5.5465472102851743E-2</v>
      </c>
    </row>
    <row r="654" spans="1:13" ht="15.5" x14ac:dyDescent="0.35">
      <c r="A654" s="8" t="s">
        <v>37</v>
      </c>
      <c r="B654" s="9" t="s">
        <v>38</v>
      </c>
      <c r="C654" s="9" t="s">
        <v>61</v>
      </c>
      <c r="D654" s="10">
        <v>1136.26</v>
      </c>
      <c r="E654" s="9" t="s">
        <v>16</v>
      </c>
      <c r="F654" s="9" t="s">
        <v>36</v>
      </c>
      <c r="G654" s="9" t="str">
        <f t="shared" si="50"/>
        <v>Above Averg</v>
      </c>
      <c r="H654" s="11">
        <f t="shared" si="51"/>
        <v>1024.1451428571424</v>
      </c>
      <c r="I654" s="9">
        <f t="shared" si="52"/>
        <v>35</v>
      </c>
      <c r="J654" s="12">
        <f>DATE(2025, MATCH(E654, {"January","February","March","April","May","June","July","August","September","October","November","December"},0),1)</f>
        <v>45809</v>
      </c>
      <c r="K654" s="13">
        <f t="shared" si="53"/>
        <v>39769.1</v>
      </c>
      <c r="L654" s="13">
        <v>339.12972496684699</v>
      </c>
      <c r="M654" s="14">
        <f t="shared" si="54"/>
        <v>0.33059578352743274</v>
      </c>
    </row>
    <row r="655" spans="1:13" ht="15.5" x14ac:dyDescent="0.35">
      <c r="A655" s="8" t="s">
        <v>78</v>
      </c>
      <c r="B655" s="9" t="s">
        <v>28</v>
      </c>
      <c r="C655" s="9" t="s">
        <v>45</v>
      </c>
      <c r="D655" s="10">
        <v>330.64</v>
      </c>
      <c r="E655" s="9" t="s">
        <v>16</v>
      </c>
      <c r="F655" s="9" t="s">
        <v>36</v>
      </c>
      <c r="G655" s="9" t="str">
        <f t="shared" si="50"/>
        <v>Low Averg</v>
      </c>
      <c r="H655" s="11">
        <f t="shared" si="51"/>
        <v>309.01727272727271</v>
      </c>
      <c r="I655" s="9">
        <f t="shared" si="52"/>
        <v>22</v>
      </c>
      <c r="J655" s="12">
        <f>DATE(2025, MATCH(E655, {"January","February","March","April","May","June","July","August","September","October","November","December"},0),1)</f>
        <v>45809</v>
      </c>
      <c r="K655" s="13">
        <f t="shared" si="53"/>
        <v>7274.08</v>
      </c>
      <c r="L655" s="13">
        <v>337.549941241152</v>
      </c>
      <c r="M655" s="14">
        <f t="shared" si="54"/>
        <v>6.4057861166326183E-2</v>
      </c>
    </row>
    <row r="656" spans="1:13" ht="15.5" x14ac:dyDescent="0.35">
      <c r="A656" s="8" t="s">
        <v>82</v>
      </c>
      <c r="B656" s="9" t="s">
        <v>14</v>
      </c>
      <c r="C656" s="9" t="s">
        <v>43</v>
      </c>
      <c r="D656" s="10">
        <v>914.3</v>
      </c>
      <c r="E656" s="9" t="s">
        <v>72</v>
      </c>
      <c r="F656" s="9" t="s">
        <v>17</v>
      </c>
      <c r="G656" s="9" t="str">
        <f t="shared" si="50"/>
        <v>Above Averg</v>
      </c>
      <c r="H656" s="11">
        <f t="shared" si="51"/>
        <v>905.6025925925926</v>
      </c>
      <c r="I656" s="9">
        <f t="shared" si="52"/>
        <v>27</v>
      </c>
      <c r="J656" s="12">
        <f>DATE(2025, MATCH(E656, {"January","February","March","April","May","June","July","August","September","October","November","December"},0),1)</f>
        <v>45901</v>
      </c>
      <c r="K656" s="13">
        <f t="shared" si="53"/>
        <v>24686.1</v>
      </c>
      <c r="L656" s="13">
        <v>337.92072993341299</v>
      </c>
      <c r="M656" s="14">
        <f t="shared" si="54"/>
        <v>2.5738010832070501E-2</v>
      </c>
    </row>
    <row r="657" spans="1:13" ht="15.5" x14ac:dyDescent="0.35">
      <c r="A657" s="8" t="s">
        <v>81</v>
      </c>
      <c r="B657" s="9" t="s">
        <v>28</v>
      </c>
      <c r="C657" s="9" t="s">
        <v>45</v>
      </c>
      <c r="D657" s="10">
        <v>143.85</v>
      </c>
      <c r="E657" s="9" t="s">
        <v>57</v>
      </c>
      <c r="F657" s="9" t="s">
        <v>26</v>
      </c>
      <c r="G657" s="9" t="str">
        <f t="shared" si="50"/>
        <v>Low Averg</v>
      </c>
      <c r="H657" s="11">
        <f t="shared" si="51"/>
        <v>140.29840000000002</v>
      </c>
      <c r="I657" s="9">
        <f t="shared" si="52"/>
        <v>25</v>
      </c>
      <c r="J657" s="12">
        <f>DATE(2025, MATCH(E657, {"January","February","March","April","May","June","July","August","September","October","November","December"},0),1)</f>
        <v>45839</v>
      </c>
      <c r="K657" s="13">
        <f t="shared" si="53"/>
        <v>3596.25</v>
      </c>
      <c r="L657" s="13">
        <v>337.29055759741101</v>
      </c>
      <c r="M657" s="14">
        <f t="shared" si="54"/>
        <v>1.0529793734217601E-2</v>
      </c>
    </row>
    <row r="658" spans="1:13" ht="15.5" x14ac:dyDescent="0.35">
      <c r="A658" s="8" t="s">
        <v>59</v>
      </c>
      <c r="B658" s="9" t="s">
        <v>60</v>
      </c>
      <c r="C658" s="9" t="s">
        <v>20</v>
      </c>
      <c r="D658" s="10">
        <v>241.01</v>
      </c>
      <c r="E658" s="9" t="s">
        <v>21</v>
      </c>
      <c r="F658" s="9" t="s">
        <v>30</v>
      </c>
      <c r="G658" s="9" t="str">
        <f t="shared" si="50"/>
        <v>Low Averg</v>
      </c>
      <c r="H658" s="11">
        <f t="shared" si="51"/>
        <v>203.25225806451613</v>
      </c>
      <c r="I658" s="9">
        <f t="shared" si="52"/>
        <v>31</v>
      </c>
      <c r="J658" s="12">
        <f>DATE(2025, MATCH(E658, {"January","February","March","April","May","June","July","August","September","October","November","December"},0),1)</f>
        <v>45748</v>
      </c>
      <c r="K658" s="13">
        <f t="shared" si="53"/>
        <v>7471.3099999999995</v>
      </c>
      <c r="L658" s="13">
        <v>337.51032195624902</v>
      </c>
      <c r="M658" s="14">
        <f t="shared" si="54"/>
        <v>0.11187136949363684</v>
      </c>
    </row>
    <row r="659" spans="1:13" ht="15.5" x14ac:dyDescent="0.35">
      <c r="A659" s="8" t="s">
        <v>58</v>
      </c>
      <c r="B659" s="9" t="s">
        <v>23</v>
      </c>
      <c r="C659" s="9" t="s">
        <v>61</v>
      </c>
      <c r="D659" s="10">
        <v>112.71</v>
      </c>
      <c r="E659" s="9" t="s">
        <v>72</v>
      </c>
      <c r="F659" s="9" t="s">
        <v>26</v>
      </c>
      <c r="G659" s="9" t="str">
        <f t="shared" si="50"/>
        <v>Low Averg</v>
      </c>
      <c r="H659" s="11">
        <f t="shared" si="51"/>
        <v>121.60903225806452</v>
      </c>
      <c r="I659" s="9">
        <f t="shared" si="52"/>
        <v>31</v>
      </c>
      <c r="J659" s="12">
        <f>DATE(2025, MATCH(E659, {"January","February","March","April","May","June","July","August","September","October","November","December"},0),1)</f>
        <v>45901</v>
      </c>
      <c r="K659" s="13">
        <f t="shared" si="53"/>
        <v>3494.0099999999998</v>
      </c>
      <c r="L659" s="13">
        <v>337.83889338087999</v>
      </c>
      <c r="M659" s="14">
        <f t="shared" si="54"/>
        <v>-2.6341053183689369E-2</v>
      </c>
    </row>
    <row r="660" spans="1:13" ht="15.5" x14ac:dyDescent="0.35">
      <c r="A660" s="8" t="s">
        <v>77</v>
      </c>
      <c r="B660" s="9" t="s">
        <v>14</v>
      </c>
      <c r="C660" s="9" t="s">
        <v>34</v>
      </c>
      <c r="D660" s="10">
        <v>228.23</v>
      </c>
      <c r="E660" s="9" t="s">
        <v>46</v>
      </c>
      <c r="F660" s="9" t="s">
        <v>30</v>
      </c>
      <c r="G660" s="9" t="str">
        <f t="shared" si="50"/>
        <v>Low Averg</v>
      </c>
      <c r="H660" s="11">
        <f t="shared" si="51"/>
        <v>226.49633333333335</v>
      </c>
      <c r="I660" s="9">
        <f t="shared" si="52"/>
        <v>30</v>
      </c>
      <c r="J660" s="12">
        <f>DATE(2025, MATCH(E660, {"January","February","March","April","May","June","July","August","September","October","November","December"},0),1)</f>
        <v>45870</v>
      </c>
      <c r="K660" s="13">
        <f t="shared" si="53"/>
        <v>6846.9</v>
      </c>
      <c r="L660" s="13">
        <v>338.01124015235501</v>
      </c>
      <c r="M660" s="14">
        <f t="shared" si="54"/>
        <v>5.1290207564849144E-3</v>
      </c>
    </row>
    <row r="661" spans="1:13" ht="15.5" x14ac:dyDescent="0.35">
      <c r="A661" s="8" t="s">
        <v>59</v>
      </c>
      <c r="B661" s="9" t="s">
        <v>60</v>
      </c>
      <c r="C661" s="9" t="s">
        <v>15</v>
      </c>
      <c r="D661" s="10">
        <v>206.49</v>
      </c>
      <c r="E661" s="9" t="s">
        <v>39</v>
      </c>
      <c r="F661" s="9" t="s">
        <v>17</v>
      </c>
      <c r="G661" s="9" t="str">
        <f t="shared" si="50"/>
        <v>Low Averg</v>
      </c>
      <c r="H661" s="11">
        <f t="shared" si="51"/>
        <v>203.25225806451613</v>
      </c>
      <c r="I661" s="9">
        <f t="shared" si="52"/>
        <v>31</v>
      </c>
      <c r="J661" s="12">
        <f>DATE(2025, MATCH(E661, {"January","February","March","April","May","June","July","August","September","October","November","December"},0),1)</f>
        <v>45992</v>
      </c>
      <c r="K661" s="13">
        <f t="shared" si="53"/>
        <v>6401.1900000000005</v>
      </c>
      <c r="L661" s="13">
        <v>338.33043350410401</v>
      </c>
      <c r="M661" s="14">
        <f t="shared" si="54"/>
        <v>9.5697626191957926E-3</v>
      </c>
    </row>
    <row r="662" spans="1:13" ht="15.5" x14ac:dyDescent="0.35">
      <c r="A662" s="8" t="s">
        <v>76</v>
      </c>
      <c r="B662" s="9" t="s">
        <v>60</v>
      </c>
      <c r="C662" s="9" t="s">
        <v>24</v>
      </c>
      <c r="D662" s="10">
        <v>282.33</v>
      </c>
      <c r="E662" s="9" t="s">
        <v>35</v>
      </c>
      <c r="F662" s="9" t="s">
        <v>40</v>
      </c>
      <c r="G662" s="9" t="str">
        <f t="shared" si="50"/>
        <v>Low Averg</v>
      </c>
      <c r="H662" s="11">
        <f t="shared" si="51"/>
        <v>304.90820512820511</v>
      </c>
      <c r="I662" s="9">
        <f t="shared" si="52"/>
        <v>39</v>
      </c>
      <c r="J662" s="12">
        <f>DATE(2025, MATCH(E662, {"January","February","March","April","May","June","July","August","September","October","November","December"},0),1)</f>
        <v>45778</v>
      </c>
      <c r="K662" s="13">
        <f t="shared" si="53"/>
        <v>11010.869999999999</v>
      </c>
      <c r="L662" s="13">
        <v>338.62951684075898</v>
      </c>
      <c r="M662" s="14">
        <f t="shared" si="54"/>
        <v>-6.6675242426733172E-2</v>
      </c>
    </row>
    <row r="663" spans="1:13" ht="15.5" x14ac:dyDescent="0.35">
      <c r="A663" s="8" t="s">
        <v>66</v>
      </c>
      <c r="B663" s="9" t="s">
        <v>32</v>
      </c>
      <c r="C663" s="9" t="s">
        <v>34</v>
      </c>
      <c r="D663" s="10">
        <v>140.49</v>
      </c>
      <c r="E663" s="9" t="s">
        <v>63</v>
      </c>
      <c r="F663" s="9" t="s">
        <v>40</v>
      </c>
      <c r="G663" s="9" t="str">
        <f t="shared" si="50"/>
        <v>Low Averg</v>
      </c>
      <c r="H663" s="11">
        <f t="shared" si="51"/>
        <v>141.74161290322584</v>
      </c>
      <c r="I663" s="9">
        <f t="shared" si="52"/>
        <v>31</v>
      </c>
      <c r="J663" s="12">
        <f>DATE(2025, MATCH(E663, {"January","February","March","April","May","June","July","August","September","October","November","December"},0),1)</f>
        <v>45717</v>
      </c>
      <c r="K663" s="13">
        <f t="shared" si="53"/>
        <v>4355.1900000000005</v>
      </c>
      <c r="L663" s="13">
        <v>338.98909774252797</v>
      </c>
      <c r="M663" s="14">
        <f t="shared" si="54"/>
        <v>-3.692192201934676E-3</v>
      </c>
    </row>
    <row r="664" spans="1:13" ht="15.5" x14ac:dyDescent="0.35">
      <c r="A664" s="8" t="s">
        <v>22</v>
      </c>
      <c r="B664" s="9" t="s">
        <v>23</v>
      </c>
      <c r="C664" s="9" t="s">
        <v>29</v>
      </c>
      <c r="D664" s="10">
        <v>251.19</v>
      </c>
      <c r="E664" s="9" t="s">
        <v>21</v>
      </c>
      <c r="F664" s="9" t="s">
        <v>36</v>
      </c>
      <c r="G664" s="9" t="str">
        <f t="shared" si="50"/>
        <v>Low Averg</v>
      </c>
      <c r="H664" s="11">
        <f t="shared" si="51"/>
        <v>257.40029411764709</v>
      </c>
      <c r="I664" s="9">
        <f t="shared" si="52"/>
        <v>34</v>
      </c>
      <c r="J664" s="12">
        <f>DATE(2025, MATCH(E664, {"January","February","March","April","May","June","July","August","September","October","November","December"},0),1)</f>
        <v>45748</v>
      </c>
      <c r="K664" s="13">
        <f t="shared" si="53"/>
        <v>8540.4599999999991</v>
      </c>
      <c r="L664" s="13">
        <v>339.20648641799801</v>
      </c>
      <c r="M664" s="14">
        <f t="shared" si="54"/>
        <v>-1.8308300006958777E-2</v>
      </c>
    </row>
    <row r="665" spans="1:13" ht="15.5" x14ac:dyDescent="0.35">
      <c r="A665" s="8" t="s">
        <v>76</v>
      </c>
      <c r="B665" s="9" t="s">
        <v>60</v>
      </c>
      <c r="C665" s="9" t="s">
        <v>20</v>
      </c>
      <c r="D665" s="10">
        <v>339.82</v>
      </c>
      <c r="E665" s="9" t="s">
        <v>55</v>
      </c>
      <c r="F665" s="9" t="s">
        <v>40</v>
      </c>
      <c r="G665" s="9" t="str">
        <f t="shared" si="50"/>
        <v>Low Averg</v>
      </c>
      <c r="H665" s="11">
        <f t="shared" si="51"/>
        <v>304.90820512820511</v>
      </c>
      <c r="I665" s="9">
        <f t="shared" si="52"/>
        <v>39</v>
      </c>
      <c r="J665" s="12">
        <f>DATE(2025, MATCH(E665, {"January","February","March","April","May","June","July","August","September","October","November","December"},0),1)</f>
        <v>45962</v>
      </c>
      <c r="K665" s="13">
        <f t="shared" si="53"/>
        <v>13252.98</v>
      </c>
      <c r="L665" s="13">
        <v>339.54790698304498</v>
      </c>
      <c r="M665" s="14">
        <f t="shared" si="54"/>
        <v>0.10281846583003137</v>
      </c>
    </row>
    <row r="666" spans="1:13" ht="15.5" x14ac:dyDescent="0.35">
      <c r="A666" s="8" t="s">
        <v>76</v>
      </c>
      <c r="B666" s="9" t="s">
        <v>60</v>
      </c>
      <c r="C666" s="9" t="s">
        <v>61</v>
      </c>
      <c r="D666" s="10">
        <v>291.39999999999998</v>
      </c>
      <c r="E666" s="9" t="s">
        <v>25</v>
      </c>
      <c r="F666" s="9" t="s">
        <v>17</v>
      </c>
      <c r="G666" s="9" t="str">
        <f t="shared" si="50"/>
        <v>Low Averg</v>
      </c>
      <c r="H666" s="11">
        <f t="shared" si="51"/>
        <v>304.90820512820511</v>
      </c>
      <c r="I666" s="9">
        <f t="shared" si="52"/>
        <v>39</v>
      </c>
      <c r="J666" s="12">
        <f>DATE(2025, MATCH(E666, {"January","February","March","April","May","June","July","August","September","October","November","December"},0),1)</f>
        <v>45931</v>
      </c>
      <c r="K666" s="13">
        <f t="shared" si="53"/>
        <v>11364.599999999999</v>
      </c>
      <c r="L666" s="13">
        <v>339.93075646910103</v>
      </c>
      <c r="M666" s="14">
        <f t="shared" si="54"/>
        <v>-3.9738108044462872E-2</v>
      </c>
    </row>
    <row r="667" spans="1:13" ht="15.5" x14ac:dyDescent="0.35">
      <c r="A667" s="8" t="s">
        <v>27</v>
      </c>
      <c r="B667" s="9" t="s">
        <v>28</v>
      </c>
      <c r="C667" s="9" t="s">
        <v>61</v>
      </c>
      <c r="D667" s="10">
        <v>111.34</v>
      </c>
      <c r="E667" s="9" t="s">
        <v>62</v>
      </c>
      <c r="F667" s="9" t="s">
        <v>30</v>
      </c>
      <c r="G667" s="9" t="str">
        <f t="shared" si="50"/>
        <v>Low Averg</v>
      </c>
      <c r="H667" s="11">
        <f t="shared" si="51"/>
        <v>113.26108695652174</v>
      </c>
      <c r="I667" s="9">
        <f t="shared" si="52"/>
        <v>46</v>
      </c>
      <c r="J667" s="12">
        <f>DATE(2025, MATCH(E667, {"January","February","March","April","May","June","July","August","September","October","November","December"},0),1)</f>
        <v>45689</v>
      </c>
      <c r="K667" s="13">
        <f t="shared" si="53"/>
        <v>5121.6400000000003</v>
      </c>
      <c r="L667" s="13">
        <v>340.299297795038</v>
      </c>
      <c r="M667" s="14">
        <f t="shared" si="54"/>
        <v>-5.6452862787827523E-3</v>
      </c>
    </row>
    <row r="668" spans="1:13" ht="15.5" x14ac:dyDescent="0.35">
      <c r="A668" s="8" t="s">
        <v>56</v>
      </c>
      <c r="B668" s="9" t="s">
        <v>19</v>
      </c>
      <c r="C668" s="9" t="s">
        <v>69</v>
      </c>
      <c r="D668" s="10">
        <v>535.02</v>
      </c>
      <c r="E668" s="9" t="s">
        <v>72</v>
      </c>
      <c r="F668" s="9" t="s">
        <v>26</v>
      </c>
      <c r="G668" s="9" t="str">
        <f t="shared" si="50"/>
        <v>Above Averg</v>
      </c>
      <c r="H668" s="11">
        <f t="shared" si="51"/>
        <v>533.4588235294118</v>
      </c>
      <c r="I668" s="9">
        <f t="shared" si="52"/>
        <v>34</v>
      </c>
      <c r="J668" s="12">
        <f>DATE(2025, MATCH(E668, {"January","February","March","April","May","June","July","August","September","October","November","December"},0),1)</f>
        <v>45901</v>
      </c>
      <c r="K668" s="13">
        <f t="shared" si="53"/>
        <v>18190.68</v>
      </c>
      <c r="L668" s="13">
        <v>340.47282169844698</v>
      </c>
      <c r="M668" s="14">
        <f t="shared" si="54"/>
        <v>4.585318918556432E-3</v>
      </c>
    </row>
    <row r="669" spans="1:13" ht="15.5" x14ac:dyDescent="0.35">
      <c r="A669" s="8" t="s">
        <v>27</v>
      </c>
      <c r="B669" s="9" t="s">
        <v>28</v>
      </c>
      <c r="C669" s="9" t="s">
        <v>49</v>
      </c>
      <c r="D669" s="10">
        <v>103.57</v>
      </c>
      <c r="E669" s="9" t="s">
        <v>46</v>
      </c>
      <c r="F669" s="9" t="s">
        <v>40</v>
      </c>
      <c r="G669" s="9" t="str">
        <f t="shared" si="50"/>
        <v>Low Averg</v>
      </c>
      <c r="H669" s="11">
        <f t="shared" si="51"/>
        <v>113.26108695652174</v>
      </c>
      <c r="I669" s="9">
        <f t="shared" si="52"/>
        <v>46</v>
      </c>
      <c r="J669" s="12">
        <f>DATE(2025, MATCH(E669, {"January","February","March","April","May","June","July","August","September","October","November","December"},0),1)</f>
        <v>45870</v>
      </c>
      <c r="K669" s="13">
        <f t="shared" si="53"/>
        <v>4764.2199999999993</v>
      </c>
      <c r="L669" s="13">
        <v>340.76365161794598</v>
      </c>
      <c r="M669" s="14">
        <f t="shared" si="54"/>
        <v>-2.843932124364925E-2</v>
      </c>
    </row>
    <row r="670" spans="1:13" ht="15.5" x14ac:dyDescent="0.35">
      <c r="A670" s="8" t="s">
        <v>78</v>
      </c>
      <c r="B670" s="9" t="s">
        <v>28</v>
      </c>
      <c r="C670" s="9" t="s">
        <v>34</v>
      </c>
      <c r="D670" s="10">
        <v>286.05</v>
      </c>
      <c r="E670" s="9" t="s">
        <v>72</v>
      </c>
      <c r="F670" s="9" t="s">
        <v>40</v>
      </c>
      <c r="G670" s="9" t="str">
        <f t="shared" si="50"/>
        <v>Low Averg</v>
      </c>
      <c r="H670" s="11">
        <f t="shared" si="51"/>
        <v>309.01727272727271</v>
      </c>
      <c r="I670" s="9">
        <f t="shared" si="52"/>
        <v>22</v>
      </c>
      <c r="J670" s="12">
        <f>DATE(2025, MATCH(E670, {"January","February","March","April","May","June","July","August","September","October","November","December"},0),1)</f>
        <v>45901</v>
      </c>
      <c r="K670" s="13">
        <f t="shared" si="53"/>
        <v>6293.1</v>
      </c>
      <c r="L670" s="13">
        <v>340.92505990366197</v>
      </c>
      <c r="M670" s="14">
        <f t="shared" si="54"/>
        <v>-6.7367511011841588E-2</v>
      </c>
    </row>
    <row r="671" spans="1:13" ht="15.5" x14ac:dyDescent="0.35">
      <c r="A671" s="8" t="s">
        <v>74</v>
      </c>
      <c r="B671" s="9" t="s">
        <v>38</v>
      </c>
      <c r="C671" s="9" t="s">
        <v>43</v>
      </c>
      <c r="D671" s="10">
        <v>418.22</v>
      </c>
      <c r="E671" s="9" t="s">
        <v>16</v>
      </c>
      <c r="F671" s="9" t="s">
        <v>26</v>
      </c>
      <c r="G671" s="9" t="str">
        <f t="shared" si="50"/>
        <v>Above Averg</v>
      </c>
      <c r="H671" s="11">
        <f t="shared" si="51"/>
        <v>368.73933333333326</v>
      </c>
      <c r="I671" s="9">
        <f t="shared" si="52"/>
        <v>30</v>
      </c>
      <c r="J671" s="12">
        <f>DATE(2025, MATCH(E671, {"January","February","March","April","May","June","July","August","September","October","November","December"},0),1)</f>
        <v>45809</v>
      </c>
      <c r="K671" s="13">
        <f t="shared" si="53"/>
        <v>12546.6</v>
      </c>
      <c r="L671" s="13">
        <v>341.29496993981502</v>
      </c>
      <c r="M671" s="14">
        <f t="shared" si="54"/>
        <v>0.1449791852349665</v>
      </c>
    </row>
    <row r="672" spans="1:13" ht="15.5" x14ac:dyDescent="0.35">
      <c r="A672" s="8" t="s">
        <v>18</v>
      </c>
      <c r="B672" s="9" t="s">
        <v>19</v>
      </c>
      <c r="C672" s="9" t="s">
        <v>29</v>
      </c>
      <c r="D672" s="10">
        <v>1015.62</v>
      </c>
      <c r="E672" s="9" t="s">
        <v>25</v>
      </c>
      <c r="F672" s="9" t="s">
        <v>26</v>
      </c>
      <c r="G672" s="9" t="str">
        <f t="shared" si="50"/>
        <v>Above Averg</v>
      </c>
      <c r="H672" s="11">
        <f t="shared" si="51"/>
        <v>920.12567567567555</v>
      </c>
      <c r="I672" s="9">
        <f t="shared" si="52"/>
        <v>37</v>
      </c>
      <c r="J672" s="12">
        <f>DATE(2025, MATCH(E672, {"January","February","March","April","May","June","July","August","September","October","November","December"},0),1)</f>
        <v>45931</v>
      </c>
      <c r="K672" s="13">
        <f t="shared" si="53"/>
        <v>37577.94</v>
      </c>
      <c r="L672" s="13">
        <v>341.67744685242201</v>
      </c>
      <c r="M672" s="14">
        <f t="shared" si="54"/>
        <v>0.27948676508804093</v>
      </c>
    </row>
    <row r="673" spans="1:13" ht="15.5" x14ac:dyDescent="0.35">
      <c r="A673" s="8" t="s">
        <v>51</v>
      </c>
      <c r="B673" s="9" t="s">
        <v>28</v>
      </c>
      <c r="C673" s="9" t="s">
        <v>34</v>
      </c>
      <c r="D673" s="10">
        <v>132.09</v>
      </c>
      <c r="E673" s="9" t="s">
        <v>62</v>
      </c>
      <c r="F673" s="9" t="s">
        <v>40</v>
      </c>
      <c r="G673" s="9" t="str">
        <f t="shared" si="50"/>
        <v>Low Averg</v>
      </c>
      <c r="H673" s="11">
        <f t="shared" si="51"/>
        <v>122.0377142857143</v>
      </c>
      <c r="I673" s="9">
        <f t="shared" si="52"/>
        <v>35</v>
      </c>
      <c r="J673" s="12">
        <f>DATE(2025, MATCH(E673, {"January","February","March","April","May","June","July","August","September","October","November","December"},0),1)</f>
        <v>45689</v>
      </c>
      <c r="K673" s="13">
        <f t="shared" si="53"/>
        <v>4623.1500000000005</v>
      </c>
      <c r="L673" s="13">
        <v>340.63787066561503</v>
      </c>
      <c r="M673" s="14">
        <f t="shared" si="54"/>
        <v>2.9510182454591093E-2</v>
      </c>
    </row>
    <row r="674" spans="1:13" ht="15.5" x14ac:dyDescent="0.35">
      <c r="A674" s="8" t="s">
        <v>52</v>
      </c>
      <c r="B674" s="9" t="s">
        <v>32</v>
      </c>
      <c r="C674" s="9" t="s">
        <v>61</v>
      </c>
      <c r="D674" s="10">
        <v>61.28</v>
      </c>
      <c r="E674" s="9" t="s">
        <v>16</v>
      </c>
      <c r="F674" s="9" t="s">
        <v>40</v>
      </c>
      <c r="G674" s="9" t="str">
        <f t="shared" si="50"/>
        <v>Low Averg</v>
      </c>
      <c r="H674" s="11">
        <f t="shared" si="51"/>
        <v>62.182121212121217</v>
      </c>
      <c r="I674" s="9">
        <f t="shared" si="52"/>
        <v>33</v>
      </c>
      <c r="J674" s="12">
        <f>DATE(2025, MATCH(E674, {"January","February","March","April","May","June","July","August","September","October","November","December"},0),1)</f>
        <v>45809</v>
      </c>
      <c r="K674" s="13">
        <f t="shared" si="53"/>
        <v>2022.24</v>
      </c>
      <c r="L674" s="13">
        <v>340.84956633079298</v>
      </c>
      <c r="M674" s="14">
        <f t="shared" si="54"/>
        <v>-2.646684347679971E-3</v>
      </c>
    </row>
    <row r="675" spans="1:13" ht="15.5" x14ac:dyDescent="0.35">
      <c r="A675" s="8" t="s">
        <v>48</v>
      </c>
      <c r="B675" s="9" t="s">
        <v>19</v>
      </c>
      <c r="C675" s="9" t="s">
        <v>69</v>
      </c>
      <c r="D675" s="10">
        <v>1119.33</v>
      </c>
      <c r="E675" s="9" t="s">
        <v>42</v>
      </c>
      <c r="F675" s="9" t="s">
        <v>30</v>
      </c>
      <c r="G675" s="9" t="str">
        <f t="shared" si="50"/>
        <v>Above Averg</v>
      </c>
      <c r="H675" s="11">
        <f t="shared" si="51"/>
        <v>1235.856</v>
      </c>
      <c r="I675" s="9">
        <f t="shared" si="52"/>
        <v>25</v>
      </c>
      <c r="J675" s="12">
        <f>DATE(2025, MATCH(E675, {"January","February","March","April","May","June","July","August","September","October","November","December"},0),1)</f>
        <v>45658</v>
      </c>
      <c r="K675" s="13">
        <f t="shared" si="53"/>
        <v>27983.25</v>
      </c>
      <c r="L675" s="13">
        <v>340.93257543453097</v>
      </c>
      <c r="M675" s="14">
        <f t="shared" si="54"/>
        <v>-0.34178605506230503</v>
      </c>
    </row>
    <row r="676" spans="1:13" ht="15.5" x14ac:dyDescent="0.35">
      <c r="A676" s="8" t="s">
        <v>44</v>
      </c>
      <c r="B676" s="9" t="s">
        <v>23</v>
      </c>
      <c r="C676" s="9" t="s">
        <v>43</v>
      </c>
      <c r="D676" s="10">
        <v>196.8</v>
      </c>
      <c r="E676" s="9" t="s">
        <v>21</v>
      </c>
      <c r="F676" s="9" t="s">
        <v>36</v>
      </c>
      <c r="G676" s="9" t="str">
        <f t="shared" si="50"/>
        <v>Low Averg</v>
      </c>
      <c r="H676" s="11">
        <f t="shared" si="51"/>
        <v>206.14838709677423</v>
      </c>
      <c r="I676" s="9">
        <f t="shared" si="52"/>
        <v>31</v>
      </c>
      <c r="J676" s="12">
        <f>DATE(2025, MATCH(E676, {"January","February","March","April","May","June","July","August","September","October","November","December"},0),1)</f>
        <v>45748</v>
      </c>
      <c r="K676" s="13">
        <f t="shared" si="53"/>
        <v>6100.8</v>
      </c>
      <c r="L676" s="13">
        <v>339.38131216292999</v>
      </c>
      <c r="M676" s="14">
        <f t="shared" si="54"/>
        <v>-2.7545379671012202E-2</v>
      </c>
    </row>
    <row r="677" spans="1:13" ht="15.5" x14ac:dyDescent="0.35">
      <c r="A677" s="8" t="s">
        <v>51</v>
      </c>
      <c r="B677" s="9" t="s">
        <v>28</v>
      </c>
      <c r="C677" s="9" t="s">
        <v>45</v>
      </c>
      <c r="D677" s="10">
        <v>125.02</v>
      </c>
      <c r="E677" s="9" t="s">
        <v>39</v>
      </c>
      <c r="F677" s="9" t="s">
        <v>40</v>
      </c>
      <c r="G677" s="9" t="str">
        <f t="shared" si="50"/>
        <v>Low Averg</v>
      </c>
      <c r="H677" s="11">
        <f t="shared" si="51"/>
        <v>122.0377142857143</v>
      </c>
      <c r="I677" s="9">
        <f t="shared" si="52"/>
        <v>35</v>
      </c>
      <c r="J677" s="12">
        <f>DATE(2025, MATCH(E677, {"January","February","March","April","May","June","July","August","September","October","November","December"},0),1)</f>
        <v>45992</v>
      </c>
      <c r="K677" s="13">
        <f t="shared" si="53"/>
        <v>4375.7</v>
      </c>
      <c r="L677" s="13">
        <v>339.68123278734402</v>
      </c>
      <c r="M677" s="14">
        <f t="shared" si="54"/>
        <v>8.7796599471032365E-3</v>
      </c>
    </row>
    <row r="678" spans="1:13" ht="15.5" x14ac:dyDescent="0.35">
      <c r="A678" s="8" t="s">
        <v>83</v>
      </c>
      <c r="B678" s="9" t="s">
        <v>23</v>
      </c>
      <c r="C678" s="9" t="s">
        <v>15</v>
      </c>
      <c r="D678" s="10">
        <v>129.24</v>
      </c>
      <c r="E678" s="9" t="s">
        <v>16</v>
      </c>
      <c r="F678" s="9" t="s">
        <v>36</v>
      </c>
      <c r="G678" s="9" t="str">
        <f t="shared" si="50"/>
        <v>Low Averg</v>
      </c>
      <c r="H678" s="11">
        <f t="shared" si="51"/>
        <v>132.90272727272728</v>
      </c>
      <c r="I678" s="9">
        <f t="shared" si="52"/>
        <v>22</v>
      </c>
      <c r="J678" s="12">
        <f>DATE(2025, MATCH(E678, {"January","February","March","April","May","June","July","August","September","October","November","December"},0),1)</f>
        <v>45809</v>
      </c>
      <c r="K678" s="13">
        <f t="shared" si="53"/>
        <v>2843.28</v>
      </c>
      <c r="L678" s="13">
        <v>339.88207483014401</v>
      </c>
      <c r="M678" s="14">
        <f t="shared" si="54"/>
        <v>-1.0776464968203205E-2</v>
      </c>
    </row>
    <row r="679" spans="1:13" ht="15.5" x14ac:dyDescent="0.35">
      <c r="A679" s="8" t="s">
        <v>53</v>
      </c>
      <c r="B679" s="9" t="s">
        <v>54</v>
      </c>
      <c r="C679" s="9" t="s">
        <v>45</v>
      </c>
      <c r="D679" s="10">
        <v>876.29</v>
      </c>
      <c r="E679" s="9" t="s">
        <v>46</v>
      </c>
      <c r="F679" s="9" t="s">
        <v>30</v>
      </c>
      <c r="G679" s="9" t="str">
        <f t="shared" si="50"/>
        <v>Above Averg</v>
      </c>
      <c r="H679" s="11">
        <f t="shared" si="51"/>
        <v>810.77454545454566</v>
      </c>
      <c r="I679" s="9">
        <f t="shared" si="52"/>
        <v>33</v>
      </c>
      <c r="J679" s="12">
        <f>DATE(2025, MATCH(E679, {"January","February","March","April","May","June","July","August","September","October","November","December"},0),1)</f>
        <v>45870</v>
      </c>
      <c r="K679" s="13">
        <f t="shared" si="53"/>
        <v>28917.57</v>
      </c>
      <c r="L679" s="13">
        <v>340.08970018229701</v>
      </c>
      <c r="M679" s="14">
        <f t="shared" si="54"/>
        <v>0.19264168985516555</v>
      </c>
    </row>
    <row r="680" spans="1:13" ht="15.5" x14ac:dyDescent="0.35">
      <c r="A680" s="8" t="s">
        <v>75</v>
      </c>
      <c r="B680" s="9" t="s">
        <v>28</v>
      </c>
      <c r="C680" s="9" t="s">
        <v>15</v>
      </c>
      <c r="D680" s="10">
        <v>106.22</v>
      </c>
      <c r="E680" s="9" t="s">
        <v>57</v>
      </c>
      <c r="F680" s="9" t="s">
        <v>26</v>
      </c>
      <c r="G680" s="9" t="str">
        <f t="shared" si="50"/>
        <v>Low Averg</v>
      </c>
      <c r="H680" s="11">
        <f t="shared" si="51"/>
        <v>120.53625</v>
      </c>
      <c r="I680" s="9">
        <f t="shared" si="52"/>
        <v>24</v>
      </c>
      <c r="J680" s="12">
        <f>DATE(2025, MATCH(E680, {"January","February","March","April","May","June","July","August","September","October","November","December"},0),1)</f>
        <v>45839</v>
      </c>
      <c r="K680" s="13">
        <f t="shared" si="53"/>
        <v>2549.2799999999997</v>
      </c>
      <c r="L680" s="13">
        <v>339.58267076334101</v>
      </c>
      <c r="M680" s="14">
        <f t="shared" si="54"/>
        <v>-4.2158364464885051E-2</v>
      </c>
    </row>
    <row r="681" spans="1:13" ht="15.5" x14ac:dyDescent="0.35">
      <c r="A681" s="8" t="s">
        <v>68</v>
      </c>
      <c r="B681" s="9" t="s">
        <v>28</v>
      </c>
      <c r="C681" s="9" t="s">
        <v>43</v>
      </c>
      <c r="D681" s="10">
        <v>105.49</v>
      </c>
      <c r="E681" s="9" t="s">
        <v>63</v>
      </c>
      <c r="F681" s="9" t="s">
        <v>17</v>
      </c>
      <c r="G681" s="9" t="str">
        <f t="shared" si="50"/>
        <v>Low Averg</v>
      </c>
      <c r="H681" s="11">
        <f t="shared" si="51"/>
        <v>102.25285714285715</v>
      </c>
      <c r="I681" s="9">
        <f t="shared" si="52"/>
        <v>28</v>
      </c>
      <c r="J681" s="12">
        <f>DATE(2025, MATCH(E681, {"January","February","March","April","May","June","July","August","September","October","November","December"},0),1)</f>
        <v>45717</v>
      </c>
      <c r="K681" s="13">
        <f t="shared" si="53"/>
        <v>2953.72</v>
      </c>
      <c r="L681" s="13">
        <v>339.75269755404003</v>
      </c>
      <c r="M681" s="14">
        <f t="shared" si="54"/>
        <v>9.5279386461028827E-3</v>
      </c>
    </row>
    <row r="682" spans="1:13" ht="15.5" x14ac:dyDescent="0.35">
      <c r="A682" s="8" t="s">
        <v>70</v>
      </c>
      <c r="B682" s="9" t="s">
        <v>71</v>
      </c>
      <c r="C682" s="9" t="s">
        <v>61</v>
      </c>
      <c r="D682" s="10">
        <v>978.39</v>
      </c>
      <c r="E682" s="9" t="s">
        <v>21</v>
      </c>
      <c r="F682" s="9" t="s">
        <v>26</v>
      </c>
      <c r="G682" s="9" t="str">
        <f t="shared" si="50"/>
        <v>Above Averg</v>
      </c>
      <c r="H682" s="11">
        <f t="shared" si="51"/>
        <v>911.5772916666665</v>
      </c>
      <c r="I682" s="9">
        <f t="shared" si="52"/>
        <v>48</v>
      </c>
      <c r="J682" s="12">
        <f>DATE(2025, MATCH(E682, {"January","February","March","April","May","June","July","August","September","October","November","December"},0),1)</f>
        <v>45748</v>
      </c>
      <c r="K682" s="13">
        <f t="shared" si="53"/>
        <v>46962.720000000001</v>
      </c>
      <c r="L682" s="13">
        <v>339.92105892526001</v>
      </c>
      <c r="M682" s="14">
        <f t="shared" si="54"/>
        <v>0.1965536014290421</v>
      </c>
    </row>
    <row r="683" spans="1:13" ht="15.5" x14ac:dyDescent="0.35">
      <c r="A683" s="8" t="s">
        <v>82</v>
      </c>
      <c r="B683" s="9" t="s">
        <v>14</v>
      </c>
      <c r="C683" s="9" t="s">
        <v>61</v>
      </c>
      <c r="D683" s="10">
        <v>813.03</v>
      </c>
      <c r="E683" s="9" t="s">
        <v>62</v>
      </c>
      <c r="F683" s="9" t="s">
        <v>40</v>
      </c>
      <c r="G683" s="9" t="str">
        <f t="shared" si="50"/>
        <v>Above Averg</v>
      </c>
      <c r="H683" s="11">
        <f t="shared" si="51"/>
        <v>905.6025925925926</v>
      </c>
      <c r="I683" s="9">
        <f t="shared" si="52"/>
        <v>27</v>
      </c>
      <c r="J683" s="12">
        <f>DATE(2025, MATCH(E683, {"January","February","March","April","May","June","July","August","September","October","November","December"},0),1)</f>
        <v>45689</v>
      </c>
      <c r="K683" s="13">
        <f t="shared" si="53"/>
        <v>21951.809999999998</v>
      </c>
      <c r="L683" s="13">
        <v>339.00913675463403</v>
      </c>
      <c r="M683" s="14">
        <f t="shared" si="54"/>
        <v>-0.27306813461961132</v>
      </c>
    </row>
    <row r="684" spans="1:13" ht="15.5" x14ac:dyDescent="0.35">
      <c r="A684" s="8" t="s">
        <v>76</v>
      </c>
      <c r="B684" s="9" t="s">
        <v>60</v>
      </c>
      <c r="C684" s="9" t="s">
        <v>49</v>
      </c>
      <c r="D684" s="10">
        <v>305.68</v>
      </c>
      <c r="E684" s="9" t="s">
        <v>16</v>
      </c>
      <c r="F684" s="9" t="s">
        <v>30</v>
      </c>
      <c r="G684" s="9" t="str">
        <f t="shared" si="50"/>
        <v>Low Averg</v>
      </c>
      <c r="H684" s="11">
        <f t="shared" si="51"/>
        <v>304.90820512820511</v>
      </c>
      <c r="I684" s="9">
        <f t="shared" si="52"/>
        <v>39</v>
      </c>
      <c r="J684" s="12">
        <f>DATE(2025, MATCH(E684, {"January","February","March","April","May","June","July","August","September","October","November","December"},0),1)</f>
        <v>45809</v>
      </c>
      <c r="K684" s="13">
        <f t="shared" si="53"/>
        <v>11921.52</v>
      </c>
      <c r="L684" s="13">
        <v>338.70127415369501</v>
      </c>
      <c r="M684" s="14">
        <f t="shared" si="54"/>
        <v>2.2786890120899649E-3</v>
      </c>
    </row>
    <row r="685" spans="1:13" ht="15.5" x14ac:dyDescent="0.35">
      <c r="A685" s="8" t="s">
        <v>37</v>
      </c>
      <c r="B685" s="9" t="s">
        <v>38</v>
      </c>
      <c r="C685" s="9" t="s">
        <v>34</v>
      </c>
      <c r="D685" s="10">
        <v>1047.04</v>
      </c>
      <c r="E685" s="9" t="s">
        <v>63</v>
      </c>
      <c r="F685" s="9" t="s">
        <v>30</v>
      </c>
      <c r="G685" s="9" t="str">
        <f t="shared" si="50"/>
        <v>Above Averg</v>
      </c>
      <c r="H685" s="11">
        <f t="shared" si="51"/>
        <v>1024.1451428571424</v>
      </c>
      <c r="I685" s="9">
        <f t="shared" si="52"/>
        <v>35</v>
      </c>
      <c r="J685" s="12">
        <f>DATE(2025, MATCH(E685, {"January","February","March","April","May","June","July","August","September","October","November","December"},0),1)</f>
        <v>45717</v>
      </c>
      <c r="K685" s="13">
        <f t="shared" si="53"/>
        <v>36646.400000000001</v>
      </c>
      <c r="L685" s="13">
        <v>339.091334249255</v>
      </c>
      <c r="M685" s="14">
        <f t="shared" si="54"/>
        <v>6.751826080588734E-2</v>
      </c>
    </row>
    <row r="686" spans="1:13" ht="15.5" x14ac:dyDescent="0.35">
      <c r="A686" s="8" t="s">
        <v>13</v>
      </c>
      <c r="B686" s="9" t="s">
        <v>14</v>
      </c>
      <c r="C686" s="9" t="s">
        <v>29</v>
      </c>
      <c r="D686" s="10">
        <v>207.46</v>
      </c>
      <c r="E686" s="9" t="s">
        <v>55</v>
      </c>
      <c r="F686" s="9" t="s">
        <v>17</v>
      </c>
      <c r="G686" s="9" t="str">
        <f t="shared" si="50"/>
        <v>Low Averg</v>
      </c>
      <c r="H686" s="11">
        <f t="shared" si="51"/>
        <v>206.78702702702708</v>
      </c>
      <c r="I686" s="9">
        <f t="shared" si="52"/>
        <v>37</v>
      </c>
      <c r="J686" s="12">
        <f>DATE(2025, MATCH(E686, {"January","February","March","April","May","June","July","August","September","October","November","December"},0),1)</f>
        <v>45962</v>
      </c>
      <c r="K686" s="13">
        <f t="shared" si="53"/>
        <v>7676.02</v>
      </c>
      <c r="L686" s="13">
        <v>337.84363015922702</v>
      </c>
      <c r="M686" s="14">
        <f t="shared" si="54"/>
        <v>1.9919658472049742E-3</v>
      </c>
    </row>
    <row r="687" spans="1:13" ht="15.5" x14ac:dyDescent="0.35">
      <c r="A687" s="8" t="s">
        <v>50</v>
      </c>
      <c r="B687" s="9" t="s">
        <v>32</v>
      </c>
      <c r="C687" s="9" t="s">
        <v>61</v>
      </c>
      <c r="D687" s="10">
        <v>72.73</v>
      </c>
      <c r="E687" s="9" t="s">
        <v>46</v>
      </c>
      <c r="F687" s="9" t="s">
        <v>30</v>
      </c>
      <c r="G687" s="9" t="str">
        <f t="shared" si="50"/>
        <v>Low Averg</v>
      </c>
      <c r="H687" s="11">
        <f t="shared" si="51"/>
        <v>81.934666666666672</v>
      </c>
      <c r="I687" s="9">
        <f t="shared" si="52"/>
        <v>30</v>
      </c>
      <c r="J687" s="12">
        <f>DATE(2025, MATCH(E687, {"January","February","March","April","May","June","July","August","September","October","November","December"},0),1)</f>
        <v>45870</v>
      </c>
      <c r="K687" s="13">
        <f t="shared" si="53"/>
        <v>2181.9</v>
      </c>
      <c r="L687" s="13">
        <v>338.16321742052202</v>
      </c>
      <c r="M687" s="14">
        <f t="shared" si="54"/>
        <v>-2.7219597497560557E-2</v>
      </c>
    </row>
    <row r="688" spans="1:13" ht="15.5" x14ac:dyDescent="0.35">
      <c r="A688" s="8" t="s">
        <v>47</v>
      </c>
      <c r="B688" s="9" t="s">
        <v>19</v>
      </c>
      <c r="C688" s="9" t="s">
        <v>45</v>
      </c>
      <c r="D688" s="10">
        <v>619.4</v>
      </c>
      <c r="E688" s="9" t="s">
        <v>55</v>
      </c>
      <c r="F688" s="9" t="s">
        <v>26</v>
      </c>
      <c r="G688" s="9" t="str">
        <f t="shared" si="50"/>
        <v>Above Averg</v>
      </c>
      <c r="H688" s="11">
        <f t="shared" si="51"/>
        <v>673.04079999999988</v>
      </c>
      <c r="I688" s="9">
        <f t="shared" si="52"/>
        <v>25</v>
      </c>
      <c r="J688" s="12">
        <f>DATE(2025, MATCH(E688, {"January","February","March","April","May","June","July","August","September","October","November","December"},0),1)</f>
        <v>45962</v>
      </c>
      <c r="K688" s="13">
        <f t="shared" si="53"/>
        <v>15485</v>
      </c>
      <c r="L688" s="13">
        <v>338.27358288924597</v>
      </c>
      <c r="M688" s="14">
        <f t="shared" si="54"/>
        <v>-0.15857224067527145</v>
      </c>
    </row>
    <row r="689" spans="1:13" ht="15.5" x14ac:dyDescent="0.35">
      <c r="A689" s="8" t="s">
        <v>56</v>
      </c>
      <c r="B689" s="9" t="s">
        <v>19</v>
      </c>
      <c r="C689" s="9" t="s">
        <v>45</v>
      </c>
      <c r="D689" s="10">
        <v>554.73</v>
      </c>
      <c r="E689" s="9" t="s">
        <v>57</v>
      </c>
      <c r="F689" s="9" t="s">
        <v>26</v>
      </c>
      <c r="G689" s="9" t="str">
        <f t="shared" si="50"/>
        <v>Above Averg</v>
      </c>
      <c r="H689" s="11">
        <f t="shared" si="51"/>
        <v>533.4588235294118</v>
      </c>
      <c r="I689" s="9">
        <f t="shared" si="52"/>
        <v>34</v>
      </c>
      <c r="J689" s="12">
        <f>DATE(2025, MATCH(E689, {"January","February","March","April","May","June","July","August","September","October","November","December"},0),1)</f>
        <v>45839</v>
      </c>
      <c r="K689" s="13">
        <f t="shared" si="53"/>
        <v>18860.82</v>
      </c>
      <c r="L689" s="13">
        <v>338.44204884975102</v>
      </c>
      <c r="M689" s="14">
        <f t="shared" si="54"/>
        <v>6.2850276857978143E-2</v>
      </c>
    </row>
    <row r="690" spans="1:13" ht="15.5" x14ac:dyDescent="0.35">
      <c r="A690" s="8" t="s">
        <v>80</v>
      </c>
      <c r="B690" s="9" t="s">
        <v>19</v>
      </c>
      <c r="C690" s="9" t="s">
        <v>15</v>
      </c>
      <c r="D690" s="10">
        <v>663.97</v>
      </c>
      <c r="E690" s="9" t="s">
        <v>16</v>
      </c>
      <c r="F690" s="9" t="s">
        <v>40</v>
      </c>
      <c r="G690" s="9" t="str">
        <f t="shared" si="50"/>
        <v>Above Averg</v>
      </c>
      <c r="H690" s="11">
        <f t="shared" si="51"/>
        <v>720.27689655172423</v>
      </c>
      <c r="I690" s="9">
        <f t="shared" si="52"/>
        <v>29</v>
      </c>
      <c r="J690" s="12">
        <f>DATE(2025, MATCH(E690, {"January","February","March","April","May","June","July","August","September","October","November","December"},0),1)</f>
        <v>45809</v>
      </c>
      <c r="K690" s="13">
        <f t="shared" si="53"/>
        <v>19255.13</v>
      </c>
      <c r="L690" s="13">
        <v>338.714022774954</v>
      </c>
      <c r="M690" s="14">
        <f t="shared" si="54"/>
        <v>-0.1662372761848577</v>
      </c>
    </row>
    <row r="691" spans="1:13" ht="15.5" x14ac:dyDescent="0.35">
      <c r="A691" s="8" t="s">
        <v>44</v>
      </c>
      <c r="B691" s="9" t="s">
        <v>23</v>
      </c>
      <c r="C691" s="9" t="s">
        <v>45</v>
      </c>
      <c r="D691" s="10">
        <v>218.89</v>
      </c>
      <c r="E691" s="9" t="s">
        <v>39</v>
      </c>
      <c r="F691" s="9" t="s">
        <v>26</v>
      </c>
      <c r="G691" s="9" t="str">
        <f t="shared" si="50"/>
        <v>Low Averg</v>
      </c>
      <c r="H691" s="11">
        <f t="shared" si="51"/>
        <v>206.14838709677423</v>
      </c>
      <c r="I691" s="9">
        <f t="shared" si="52"/>
        <v>31</v>
      </c>
      <c r="J691" s="12">
        <f>DATE(2025, MATCH(E691, {"January","February","March","April","May","June","July","August","September","October","November","December"},0),1)</f>
        <v>45992</v>
      </c>
      <c r="K691" s="13">
        <f t="shared" si="53"/>
        <v>6785.5899999999992</v>
      </c>
      <c r="L691" s="13">
        <v>338.79293422573397</v>
      </c>
      <c r="M691" s="14">
        <f t="shared" si="54"/>
        <v>3.7608850764095814E-2</v>
      </c>
    </row>
    <row r="692" spans="1:13" ht="15.5" x14ac:dyDescent="0.35">
      <c r="A692" s="8" t="s">
        <v>44</v>
      </c>
      <c r="B692" s="9" t="s">
        <v>23</v>
      </c>
      <c r="C692" s="9" t="s">
        <v>34</v>
      </c>
      <c r="D692" s="10">
        <v>185.56</v>
      </c>
      <c r="E692" s="9" t="s">
        <v>63</v>
      </c>
      <c r="F692" s="9" t="s">
        <v>17</v>
      </c>
      <c r="G692" s="9" t="str">
        <f t="shared" si="50"/>
        <v>Low Averg</v>
      </c>
      <c r="H692" s="11">
        <f t="shared" si="51"/>
        <v>206.14838709677423</v>
      </c>
      <c r="I692" s="9">
        <f t="shared" si="52"/>
        <v>31</v>
      </c>
      <c r="J692" s="12">
        <f>DATE(2025, MATCH(E692, {"January","February","March","April","May","June","July","August","September","October","November","December"},0),1)</f>
        <v>45717</v>
      </c>
      <c r="K692" s="13">
        <f t="shared" si="53"/>
        <v>5752.36</v>
      </c>
      <c r="L692" s="13">
        <v>339.13048132998603</v>
      </c>
      <c r="M692" s="14">
        <f t="shared" si="54"/>
        <v>-6.0709338234745683E-2</v>
      </c>
    </row>
    <row r="693" spans="1:13" ht="15.5" x14ac:dyDescent="0.35">
      <c r="A693" s="8" t="s">
        <v>79</v>
      </c>
      <c r="B693" s="9" t="s">
        <v>32</v>
      </c>
      <c r="C693" s="9" t="s">
        <v>43</v>
      </c>
      <c r="D693" s="10">
        <v>92.14</v>
      </c>
      <c r="E693" s="9" t="s">
        <v>39</v>
      </c>
      <c r="F693" s="9" t="s">
        <v>30</v>
      </c>
      <c r="G693" s="9" t="str">
        <f t="shared" si="50"/>
        <v>Low Averg</v>
      </c>
      <c r="H693" s="11">
        <f t="shared" si="51"/>
        <v>90.269599999999997</v>
      </c>
      <c r="I693" s="9">
        <f t="shared" si="52"/>
        <v>25</v>
      </c>
      <c r="J693" s="12">
        <f>DATE(2025, MATCH(E693, {"January","February","March","April","May","June","July","August","September","October","November","December"},0),1)</f>
        <v>45992</v>
      </c>
      <c r="K693" s="13">
        <f t="shared" si="53"/>
        <v>2303.5</v>
      </c>
      <c r="L693" s="13">
        <v>339.431512692083</v>
      </c>
      <c r="M693" s="14">
        <f t="shared" si="54"/>
        <v>5.5103899610427342E-3</v>
      </c>
    </row>
    <row r="694" spans="1:13" ht="15.5" x14ac:dyDescent="0.35">
      <c r="A694" s="8" t="s">
        <v>51</v>
      </c>
      <c r="B694" s="9" t="s">
        <v>28</v>
      </c>
      <c r="C694" s="9" t="s">
        <v>69</v>
      </c>
      <c r="D694" s="10">
        <v>129.19999999999999</v>
      </c>
      <c r="E694" s="9" t="s">
        <v>21</v>
      </c>
      <c r="F694" s="9" t="s">
        <v>40</v>
      </c>
      <c r="G694" s="9" t="str">
        <f t="shared" si="50"/>
        <v>Low Averg</v>
      </c>
      <c r="H694" s="11">
        <f t="shared" si="51"/>
        <v>122.0377142857143</v>
      </c>
      <c r="I694" s="9">
        <f t="shared" si="52"/>
        <v>35</v>
      </c>
      <c r="J694" s="12">
        <f>DATE(2025, MATCH(E694, {"January","February","March","April","May","June","July","August","September","October","November","December"},0),1)</f>
        <v>45748</v>
      </c>
      <c r="K694" s="13">
        <f t="shared" si="53"/>
        <v>4522</v>
      </c>
      <c r="L694" s="13">
        <v>339.58541173370003</v>
      </c>
      <c r="M694" s="14">
        <f t="shared" si="54"/>
        <v>2.1091264426583468E-2</v>
      </c>
    </row>
    <row r="695" spans="1:13" ht="15.5" x14ac:dyDescent="0.35">
      <c r="A695" s="8" t="s">
        <v>74</v>
      </c>
      <c r="B695" s="9" t="s">
        <v>38</v>
      </c>
      <c r="C695" s="9" t="s">
        <v>29</v>
      </c>
      <c r="D695" s="10">
        <v>334.31</v>
      </c>
      <c r="E695" s="9" t="s">
        <v>25</v>
      </c>
      <c r="F695" s="9" t="s">
        <v>30</v>
      </c>
      <c r="G695" s="9" t="str">
        <f t="shared" si="50"/>
        <v>Low Averg</v>
      </c>
      <c r="H695" s="11">
        <f t="shared" si="51"/>
        <v>368.73933333333326</v>
      </c>
      <c r="I695" s="9">
        <f t="shared" si="52"/>
        <v>30</v>
      </c>
      <c r="J695" s="12">
        <f>DATE(2025, MATCH(E695, {"January","February","March","April","May","June","July","August","September","October","November","December"},0),1)</f>
        <v>45931</v>
      </c>
      <c r="K695" s="13">
        <f t="shared" si="53"/>
        <v>10029.299999999999</v>
      </c>
      <c r="L695" s="13">
        <v>339.80514634091998</v>
      </c>
      <c r="M695" s="14">
        <f t="shared" si="54"/>
        <v>-0.10132081195377475</v>
      </c>
    </row>
    <row r="696" spans="1:13" ht="15.5" x14ac:dyDescent="0.35">
      <c r="A696" s="8" t="s">
        <v>33</v>
      </c>
      <c r="B696" s="9" t="s">
        <v>19</v>
      </c>
      <c r="C696" s="9" t="s">
        <v>34</v>
      </c>
      <c r="D696" s="10">
        <v>991.07</v>
      </c>
      <c r="E696" s="9" t="s">
        <v>55</v>
      </c>
      <c r="F696" s="9" t="s">
        <v>30</v>
      </c>
      <c r="G696" s="9" t="str">
        <f t="shared" si="50"/>
        <v>Above Averg</v>
      </c>
      <c r="H696" s="11">
        <f t="shared" si="51"/>
        <v>1113.4854166666667</v>
      </c>
      <c r="I696" s="9">
        <f t="shared" si="52"/>
        <v>24</v>
      </c>
      <c r="J696" s="12">
        <f>DATE(2025, MATCH(E696, {"January","February","March","April","May","June","July","August","September","October","November","December"},0),1)</f>
        <v>45962</v>
      </c>
      <c r="K696" s="13">
        <f t="shared" si="53"/>
        <v>23785.68</v>
      </c>
      <c r="L696" s="13">
        <v>340.21564202353397</v>
      </c>
      <c r="M696" s="14">
        <f t="shared" si="54"/>
        <v>-0.35981713227106316</v>
      </c>
    </row>
    <row r="697" spans="1:13" ht="15.5" x14ac:dyDescent="0.35">
      <c r="A697" s="8" t="s">
        <v>77</v>
      </c>
      <c r="B697" s="9" t="s">
        <v>14</v>
      </c>
      <c r="C697" s="9" t="s">
        <v>69</v>
      </c>
      <c r="D697" s="10">
        <v>228.57</v>
      </c>
      <c r="E697" s="9" t="s">
        <v>16</v>
      </c>
      <c r="F697" s="9" t="s">
        <v>30</v>
      </c>
      <c r="G697" s="9" t="str">
        <f t="shared" si="50"/>
        <v>Low Averg</v>
      </c>
      <c r="H697" s="11">
        <f t="shared" si="51"/>
        <v>226.49633333333335</v>
      </c>
      <c r="I697" s="9">
        <f t="shared" si="52"/>
        <v>30</v>
      </c>
      <c r="J697" s="12">
        <f>DATE(2025, MATCH(E697, {"January","February","March","April","May","June","July","August","September","October","November","December"},0),1)</f>
        <v>45809</v>
      </c>
      <c r="K697" s="13">
        <f t="shared" si="53"/>
        <v>6857.0999999999995</v>
      </c>
      <c r="L697" s="13">
        <v>339.204922877532</v>
      </c>
      <c r="M697" s="14">
        <f t="shared" si="54"/>
        <v>6.1133153642800317E-3</v>
      </c>
    </row>
    <row r="698" spans="1:13" ht="15.5" x14ac:dyDescent="0.35">
      <c r="A698" s="8" t="s">
        <v>75</v>
      </c>
      <c r="B698" s="9" t="s">
        <v>28</v>
      </c>
      <c r="C698" s="9" t="s">
        <v>15</v>
      </c>
      <c r="D698" s="10">
        <v>110.57</v>
      </c>
      <c r="E698" s="9" t="s">
        <v>21</v>
      </c>
      <c r="F698" s="9" t="s">
        <v>36</v>
      </c>
      <c r="G698" s="9" t="str">
        <f t="shared" si="50"/>
        <v>Low Averg</v>
      </c>
      <c r="H698" s="11">
        <f t="shared" si="51"/>
        <v>120.53625</v>
      </c>
      <c r="I698" s="9">
        <f t="shared" si="52"/>
        <v>24</v>
      </c>
      <c r="J698" s="12">
        <f>DATE(2025, MATCH(E698, {"January","February","March","April","May","June","July","August","September","October","November","December"},0),1)</f>
        <v>45748</v>
      </c>
      <c r="K698" s="13">
        <f t="shared" si="53"/>
        <v>2653.68</v>
      </c>
      <c r="L698" s="13">
        <v>339.557018650575</v>
      </c>
      <c r="M698" s="14">
        <f t="shared" si="54"/>
        <v>-2.9350740678565933E-2</v>
      </c>
    </row>
    <row r="699" spans="1:13" ht="15.5" x14ac:dyDescent="0.35">
      <c r="A699" s="8" t="s">
        <v>53</v>
      </c>
      <c r="B699" s="9" t="s">
        <v>54</v>
      </c>
      <c r="C699" s="9" t="s">
        <v>49</v>
      </c>
      <c r="D699" s="10">
        <v>755.7</v>
      </c>
      <c r="E699" s="9" t="s">
        <v>16</v>
      </c>
      <c r="F699" s="9" t="s">
        <v>17</v>
      </c>
      <c r="G699" s="9" t="str">
        <f t="shared" si="50"/>
        <v>Above Averg</v>
      </c>
      <c r="H699" s="11">
        <f t="shared" si="51"/>
        <v>810.77454545454566</v>
      </c>
      <c r="I699" s="9">
        <f t="shared" si="52"/>
        <v>33</v>
      </c>
      <c r="J699" s="12">
        <f>DATE(2025, MATCH(E699, {"January","February","March","April","May","June","July","August","September","October","November","December"},0),1)</f>
        <v>45809</v>
      </c>
      <c r="K699" s="13">
        <f t="shared" si="53"/>
        <v>24938.100000000002</v>
      </c>
      <c r="L699" s="13">
        <v>339.74743848375903</v>
      </c>
      <c r="M699" s="14">
        <f t="shared" si="54"/>
        <v>-0.16210437288456067</v>
      </c>
    </row>
    <row r="700" spans="1:13" ht="15.5" x14ac:dyDescent="0.35">
      <c r="A700" s="8" t="s">
        <v>18</v>
      </c>
      <c r="B700" s="9" t="s">
        <v>19</v>
      </c>
      <c r="C700" s="9" t="s">
        <v>61</v>
      </c>
      <c r="D700" s="10">
        <v>956.77</v>
      </c>
      <c r="E700" s="9" t="s">
        <v>55</v>
      </c>
      <c r="F700" s="9" t="s">
        <v>26</v>
      </c>
      <c r="G700" s="9" t="str">
        <f t="shared" si="50"/>
        <v>Above Averg</v>
      </c>
      <c r="H700" s="11">
        <f t="shared" si="51"/>
        <v>920.12567567567555</v>
      </c>
      <c r="I700" s="9">
        <f t="shared" si="52"/>
        <v>37</v>
      </c>
      <c r="J700" s="12">
        <f>DATE(2025, MATCH(E700, {"January","February","March","April","May","June","July","August","September","October","November","December"},0),1)</f>
        <v>45962</v>
      </c>
      <c r="K700" s="13">
        <f t="shared" si="53"/>
        <v>35400.49</v>
      </c>
      <c r="L700" s="13">
        <v>339.59986277306598</v>
      </c>
      <c r="M700" s="14">
        <f t="shared" si="54"/>
        <v>0.10790441440434742</v>
      </c>
    </row>
    <row r="701" spans="1:13" ht="15.5" x14ac:dyDescent="0.35">
      <c r="A701" s="8" t="s">
        <v>75</v>
      </c>
      <c r="B701" s="9" t="s">
        <v>28</v>
      </c>
      <c r="C701" s="9" t="s">
        <v>43</v>
      </c>
      <c r="D701" s="10">
        <v>116.13</v>
      </c>
      <c r="E701" s="9" t="s">
        <v>21</v>
      </c>
      <c r="F701" s="9" t="s">
        <v>36</v>
      </c>
      <c r="G701" s="9" t="str">
        <f t="shared" si="50"/>
        <v>Low Averg</v>
      </c>
      <c r="H701" s="11">
        <f t="shared" si="51"/>
        <v>120.53625</v>
      </c>
      <c r="I701" s="9">
        <f t="shared" si="52"/>
        <v>24</v>
      </c>
      <c r="J701" s="12">
        <f>DATE(2025, MATCH(E701, {"January","February","March","April","May","June","July","August","September","October","November","December"},0),1)</f>
        <v>45748</v>
      </c>
      <c r="K701" s="13">
        <f t="shared" si="53"/>
        <v>2787.12</v>
      </c>
      <c r="L701" s="13">
        <v>338.72209277621198</v>
      </c>
      <c r="M701" s="14">
        <f t="shared" si="54"/>
        <v>-1.3008451748410563E-2</v>
      </c>
    </row>
    <row r="702" spans="1:13" ht="15.5" x14ac:dyDescent="0.35">
      <c r="A702" s="8" t="s">
        <v>59</v>
      </c>
      <c r="B702" s="9" t="s">
        <v>60</v>
      </c>
      <c r="C702" s="9" t="s">
        <v>69</v>
      </c>
      <c r="D702" s="10">
        <v>195.16</v>
      </c>
      <c r="E702" s="9" t="s">
        <v>63</v>
      </c>
      <c r="F702" s="9" t="s">
        <v>40</v>
      </c>
      <c r="G702" s="9" t="str">
        <f t="shared" si="50"/>
        <v>Low Averg</v>
      </c>
      <c r="H702" s="11">
        <f t="shared" si="51"/>
        <v>203.25225806451613</v>
      </c>
      <c r="I702" s="9">
        <f t="shared" si="52"/>
        <v>31</v>
      </c>
      <c r="J702" s="12">
        <f>DATE(2025, MATCH(E702, {"January","February","March","April","May","June","July","August","September","October","November","December"},0),1)</f>
        <v>45717</v>
      </c>
      <c r="K702" s="13">
        <f t="shared" si="53"/>
        <v>6049.96</v>
      </c>
      <c r="L702" s="13">
        <v>338.92559590913601</v>
      </c>
      <c r="M702" s="14">
        <f t="shared" si="54"/>
        <v>-2.3876208118213702E-2</v>
      </c>
    </row>
    <row r="703" spans="1:13" ht="15.5" x14ac:dyDescent="0.35">
      <c r="A703" s="8" t="s">
        <v>44</v>
      </c>
      <c r="B703" s="9" t="s">
        <v>23</v>
      </c>
      <c r="C703" s="9" t="s">
        <v>49</v>
      </c>
      <c r="D703" s="10">
        <v>217.66</v>
      </c>
      <c r="E703" s="9" t="s">
        <v>25</v>
      </c>
      <c r="F703" s="9" t="s">
        <v>26</v>
      </c>
      <c r="G703" s="9" t="str">
        <f t="shared" si="50"/>
        <v>Low Averg</v>
      </c>
      <c r="H703" s="11">
        <f t="shared" si="51"/>
        <v>206.14838709677423</v>
      </c>
      <c r="I703" s="9">
        <f t="shared" si="52"/>
        <v>31</v>
      </c>
      <c r="J703" s="12">
        <f>DATE(2025, MATCH(E703, {"January","February","March","April","May","June","July","August","September","October","November","December"},0),1)</f>
        <v>45931</v>
      </c>
      <c r="K703" s="13">
        <f t="shared" si="53"/>
        <v>6747.46</v>
      </c>
      <c r="L703" s="13">
        <v>339.24654100049497</v>
      </c>
      <c r="M703" s="14">
        <f t="shared" si="54"/>
        <v>3.3932882172581891E-2</v>
      </c>
    </row>
    <row r="704" spans="1:13" ht="15.5" x14ac:dyDescent="0.35">
      <c r="A704" s="8" t="s">
        <v>56</v>
      </c>
      <c r="B704" s="9" t="s">
        <v>19</v>
      </c>
      <c r="C704" s="9" t="s">
        <v>43</v>
      </c>
      <c r="D704" s="10">
        <v>585.86</v>
      </c>
      <c r="E704" s="9" t="s">
        <v>42</v>
      </c>
      <c r="F704" s="9" t="s">
        <v>36</v>
      </c>
      <c r="G704" s="9" t="str">
        <f t="shared" si="50"/>
        <v>Above Averg</v>
      </c>
      <c r="H704" s="11">
        <f t="shared" si="51"/>
        <v>533.4588235294118</v>
      </c>
      <c r="I704" s="9">
        <f t="shared" si="52"/>
        <v>34</v>
      </c>
      <c r="J704" s="12">
        <f>DATE(2025, MATCH(E704, {"January","February","March","April","May","June","July","August","September","October","November","December"},0),1)</f>
        <v>45658</v>
      </c>
      <c r="K704" s="13">
        <f t="shared" si="53"/>
        <v>19919.240000000002</v>
      </c>
      <c r="L704" s="13">
        <v>339.59351639848097</v>
      </c>
      <c r="M704" s="14">
        <f t="shared" si="54"/>
        <v>0.15430558576713335</v>
      </c>
    </row>
    <row r="705" spans="1:13" ht="15.5" x14ac:dyDescent="0.35">
      <c r="A705" s="8" t="s">
        <v>33</v>
      </c>
      <c r="B705" s="9" t="s">
        <v>19</v>
      </c>
      <c r="C705" s="9" t="s">
        <v>24</v>
      </c>
      <c r="D705" s="10">
        <v>1178.68</v>
      </c>
      <c r="E705" s="9" t="s">
        <v>16</v>
      </c>
      <c r="F705" s="9" t="s">
        <v>17</v>
      </c>
      <c r="G705" s="9" t="str">
        <f t="shared" si="50"/>
        <v>Above Averg</v>
      </c>
      <c r="H705" s="11">
        <f t="shared" si="51"/>
        <v>1113.4854166666667</v>
      </c>
      <c r="I705" s="9">
        <f t="shared" si="52"/>
        <v>24</v>
      </c>
      <c r="J705" s="12">
        <f>DATE(2025, MATCH(E705, {"January","February","March","April","May","June","July","August","September","October","November","December"},0),1)</f>
        <v>45809</v>
      </c>
      <c r="K705" s="13">
        <f t="shared" si="53"/>
        <v>28288.32</v>
      </c>
      <c r="L705" s="13">
        <v>339.82824925580701</v>
      </c>
      <c r="M705" s="14">
        <f t="shared" si="54"/>
        <v>0.19184568521335005</v>
      </c>
    </row>
    <row r="706" spans="1:13" ht="15.5" x14ac:dyDescent="0.35">
      <c r="A706" s="8" t="s">
        <v>44</v>
      </c>
      <c r="B706" s="9" t="s">
        <v>23</v>
      </c>
      <c r="C706" s="9" t="s">
        <v>69</v>
      </c>
      <c r="D706" s="10">
        <v>229.74</v>
      </c>
      <c r="E706" s="9" t="s">
        <v>55</v>
      </c>
      <c r="F706" s="9" t="s">
        <v>36</v>
      </c>
      <c r="G706" s="9" t="str">
        <f t="shared" si="50"/>
        <v>Low Averg</v>
      </c>
      <c r="H706" s="11">
        <f t="shared" si="51"/>
        <v>206.14838709677423</v>
      </c>
      <c r="I706" s="9">
        <f t="shared" si="52"/>
        <v>31</v>
      </c>
      <c r="J706" s="12">
        <f>DATE(2025, MATCH(E706, {"January","February","March","April","May","June","July","August","September","October","November","December"},0),1)</f>
        <v>45962</v>
      </c>
      <c r="K706" s="13">
        <f t="shared" si="53"/>
        <v>7121.9400000000005</v>
      </c>
      <c r="L706" s="13">
        <v>337.77611534352599</v>
      </c>
      <c r="M706" s="14">
        <f t="shared" si="54"/>
        <v>6.9843934581438866E-2</v>
      </c>
    </row>
    <row r="707" spans="1:13" ht="15.5" x14ac:dyDescent="0.35">
      <c r="A707" s="8" t="s">
        <v>66</v>
      </c>
      <c r="B707" s="9" t="s">
        <v>32</v>
      </c>
      <c r="C707" s="9" t="s">
        <v>49</v>
      </c>
      <c r="D707" s="10">
        <v>134.29</v>
      </c>
      <c r="E707" s="9" t="s">
        <v>63</v>
      </c>
      <c r="F707" s="9" t="s">
        <v>26</v>
      </c>
      <c r="G707" s="9" t="str">
        <f t="shared" si="50"/>
        <v>Low Averg</v>
      </c>
      <c r="H707" s="11">
        <f t="shared" si="51"/>
        <v>141.74161290322584</v>
      </c>
      <c r="I707" s="9">
        <f t="shared" si="52"/>
        <v>31</v>
      </c>
      <c r="J707" s="12">
        <f>DATE(2025, MATCH(E707, {"January","February","March","April","May","June","July","August","September","October","November","December"},0),1)</f>
        <v>45717</v>
      </c>
      <c r="K707" s="13">
        <f t="shared" si="53"/>
        <v>4162.99</v>
      </c>
      <c r="L707" s="13">
        <v>338.13783175444502</v>
      </c>
      <c r="M707" s="14">
        <f t="shared" si="54"/>
        <v>-2.2037205551838978E-2</v>
      </c>
    </row>
    <row r="708" spans="1:13" ht="15.5" x14ac:dyDescent="0.35">
      <c r="A708" s="8" t="s">
        <v>82</v>
      </c>
      <c r="B708" s="9" t="s">
        <v>14</v>
      </c>
      <c r="C708" s="9" t="s">
        <v>34</v>
      </c>
      <c r="D708" s="10">
        <v>999.98</v>
      </c>
      <c r="E708" s="9" t="s">
        <v>55</v>
      </c>
      <c r="F708" s="9" t="s">
        <v>26</v>
      </c>
      <c r="G708" s="9" t="str">
        <f t="shared" si="50"/>
        <v>Above Averg</v>
      </c>
      <c r="H708" s="11">
        <f t="shared" si="51"/>
        <v>905.6025925925926</v>
      </c>
      <c r="I708" s="9">
        <f t="shared" si="52"/>
        <v>27</v>
      </c>
      <c r="J708" s="12">
        <f>DATE(2025, MATCH(E708, {"January","February","March","April","May","June","July","August","September","October","November","December"},0),1)</f>
        <v>45962</v>
      </c>
      <c r="K708" s="13">
        <f t="shared" si="53"/>
        <v>26999.46</v>
      </c>
      <c r="L708" s="13">
        <v>338.37627788555</v>
      </c>
      <c r="M708" s="14">
        <f t="shared" si="54"/>
        <v>0.27891259989368689</v>
      </c>
    </row>
    <row r="709" spans="1:13" ht="15.5" x14ac:dyDescent="0.35">
      <c r="A709" s="8" t="s">
        <v>18</v>
      </c>
      <c r="B709" s="9" t="s">
        <v>19</v>
      </c>
      <c r="C709" s="9" t="s">
        <v>45</v>
      </c>
      <c r="D709" s="10">
        <v>868.04</v>
      </c>
      <c r="E709" s="9" t="s">
        <v>16</v>
      </c>
      <c r="F709" s="9" t="s">
        <v>36</v>
      </c>
      <c r="G709" s="9" t="str">
        <f t="shared" si="50"/>
        <v>Above Averg</v>
      </c>
      <c r="H709" s="11">
        <f t="shared" si="51"/>
        <v>920.12567567567555</v>
      </c>
      <c r="I709" s="9">
        <f t="shared" si="52"/>
        <v>37</v>
      </c>
      <c r="J709" s="12">
        <f>DATE(2025, MATCH(E709, {"January","February","March","April","May","June","July","August","September","October","November","December"},0),1)</f>
        <v>45809</v>
      </c>
      <c r="K709" s="13">
        <f t="shared" si="53"/>
        <v>32117.48</v>
      </c>
      <c r="L709" s="13">
        <v>337.26614133085502</v>
      </c>
      <c r="M709" s="14">
        <f t="shared" si="54"/>
        <v>-0.15443493814749704</v>
      </c>
    </row>
    <row r="710" spans="1:13" ht="15.5" x14ac:dyDescent="0.35">
      <c r="A710" s="8" t="s">
        <v>70</v>
      </c>
      <c r="B710" s="9" t="s">
        <v>71</v>
      </c>
      <c r="C710" s="9" t="s">
        <v>29</v>
      </c>
      <c r="D710" s="10">
        <v>834.83</v>
      </c>
      <c r="E710" s="9" t="s">
        <v>46</v>
      </c>
      <c r="F710" s="9" t="s">
        <v>30</v>
      </c>
      <c r="G710" s="9" t="str">
        <f t="shared" si="50"/>
        <v>Above Averg</v>
      </c>
      <c r="H710" s="11">
        <f t="shared" si="51"/>
        <v>911.5772916666665</v>
      </c>
      <c r="I710" s="9">
        <f t="shared" si="52"/>
        <v>48</v>
      </c>
      <c r="J710" s="12">
        <f>DATE(2025, MATCH(E710, {"January","February","March","April","May","June","July","August","September","October","November","December"},0),1)</f>
        <v>45870</v>
      </c>
      <c r="K710" s="13">
        <f t="shared" si="53"/>
        <v>40071.840000000004</v>
      </c>
      <c r="L710" s="13">
        <v>336.71086913849001</v>
      </c>
      <c r="M710" s="14">
        <f t="shared" si="54"/>
        <v>-0.22793232622110604</v>
      </c>
    </row>
    <row r="711" spans="1:13" ht="15.5" x14ac:dyDescent="0.35">
      <c r="A711" s="8" t="s">
        <v>52</v>
      </c>
      <c r="B711" s="9" t="s">
        <v>32</v>
      </c>
      <c r="C711" s="9" t="s">
        <v>15</v>
      </c>
      <c r="D711" s="10">
        <v>53.38</v>
      </c>
      <c r="E711" s="9" t="s">
        <v>72</v>
      </c>
      <c r="F711" s="9" t="s">
        <v>17</v>
      </c>
      <c r="G711" s="9" t="str">
        <f t="shared" si="50"/>
        <v>Low Averg</v>
      </c>
      <c r="H711" s="11">
        <f t="shared" si="51"/>
        <v>62.182121212121217</v>
      </c>
      <c r="I711" s="9">
        <f t="shared" si="52"/>
        <v>33</v>
      </c>
      <c r="J711" s="12">
        <f>DATE(2025, MATCH(E711, {"January","February","March","April","May","June","July","August","September","October","November","December"},0),1)</f>
        <v>45901</v>
      </c>
      <c r="K711" s="13">
        <f t="shared" si="53"/>
        <v>1761.5400000000002</v>
      </c>
      <c r="L711" s="13">
        <v>336.27099090547603</v>
      </c>
      <c r="M711" s="14">
        <f t="shared" si="54"/>
        <v>-2.6175678099439281E-2</v>
      </c>
    </row>
    <row r="712" spans="1:13" ht="15.5" x14ac:dyDescent="0.35">
      <c r="A712" s="8" t="s">
        <v>70</v>
      </c>
      <c r="B712" s="9" t="s">
        <v>71</v>
      </c>
      <c r="C712" s="9" t="s">
        <v>43</v>
      </c>
      <c r="D712" s="10">
        <v>829.06</v>
      </c>
      <c r="E712" s="9" t="s">
        <v>46</v>
      </c>
      <c r="F712" s="9" t="s">
        <v>26</v>
      </c>
      <c r="G712" s="9" t="str">
        <f t="shared" ref="G712:G775" si="55">IF(D712&gt;AVERAGE(D:D),"Above Averg","Low Averg")</f>
        <v>Above Averg</v>
      </c>
      <c r="H712" s="11">
        <f t="shared" ref="H712:H775" si="56">AVERAGEIF(A:A,A712,D:D)</f>
        <v>911.5772916666665</v>
      </c>
      <c r="I712" s="9">
        <f t="shared" ref="I712:I775" si="57">COUNTIF(A:A,A712)</f>
        <v>48</v>
      </c>
      <c r="J712" s="12">
        <f>DATE(2025, MATCH(E712, {"January","February","March","April","May","June","July","August","September","October","November","December"},0),1)</f>
        <v>45870</v>
      </c>
      <c r="K712" s="13">
        <f t="shared" ref="K712:K775" si="58">1*(D712*I712)</f>
        <v>39794.879999999997</v>
      </c>
      <c r="L712" s="13">
        <v>336.35555825695599</v>
      </c>
      <c r="M712" s="14">
        <f t="shared" ref="M712:M775" si="59">(D712-H712)/L712</f>
        <v>-0.2453275697130837</v>
      </c>
    </row>
    <row r="713" spans="1:13" ht="15.5" x14ac:dyDescent="0.35">
      <c r="A713" s="8" t="s">
        <v>52</v>
      </c>
      <c r="B713" s="9" t="s">
        <v>32</v>
      </c>
      <c r="C713" s="9" t="s">
        <v>61</v>
      </c>
      <c r="D713" s="10">
        <v>58.93</v>
      </c>
      <c r="E713" s="9" t="s">
        <v>35</v>
      </c>
      <c r="F713" s="9" t="s">
        <v>36</v>
      </c>
      <c r="G713" s="9" t="str">
        <f t="shared" si="55"/>
        <v>Low Averg</v>
      </c>
      <c r="H713" s="11">
        <f t="shared" si="56"/>
        <v>62.182121212121217</v>
      </c>
      <c r="I713" s="9">
        <f t="shared" si="57"/>
        <v>33</v>
      </c>
      <c r="J713" s="12">
        <f>DATE(2025, MATCH(E713, {"January","February","March","April","May","June","July","August","September","October","November","December"},0),1)</f>
        <v>45778</v>
      </c>
      <c r="K713" s="13">
        <f t="shared" si="58"/>
        <v>1944.69</v>
      </c>
      <c r="L713" s="13">
        <v>335.93128708220303</v>
      </c>
      <c r="M713" s="14">
        <f t="shared" si="59"/>
        <v>-9.6809119518701369E-3</v>
      </c>
    </row>
    <row r="714" spans="1:13" ht="15.5" x14ac:dyDescent="0.35">
      <c r="A714" s="8" t="s">
        <v>81</v>
      </c>
      <c r="B714" s="9" t="s">
        <v>28</v>
      </c>
      <c r="C714" s="9" t="s">
        <v>43</v>
      </c>
      <c r="D714" s="10">
        <v>154.41999999999999</v>
      </c>
      <c r="E714" s="9" t="s">
        <v>72</v>
      </c>
      <c r="F714" s="9" t="s">
        <v>40</v>
      </c>
      <c r="G714" s="9" t="str">
        <f t="shared" si="55"/>
        <v>Low Averg</v>
      </c>
      <c r="H714" s="11">
        <f t="shared" si="56"/>
        <v>140.29840000000002</v>
      </c>
      <c r="I714" s="9">
        <f t="shared" si="57"/>
        <v>25</v>
      </c>
      <c r="J714" s="12">
        <f>DATE(2025, MATCH(E714, {"January","February","March","April","May","June","July","August","September","October","November","December"},0),1)</f>
        <v>45901</v>
      </c>
      <c r="K714" s="13">
        <f t="shared" si="58"/>
        <v>3860.4999999999995</v>
      </c>
      <c r="L714" s="13">
        <v>336.02904014688301</v>
      </c>
      <c r="M714" s="14">
        <f t="shared" si="59"/>
        <v>4.202493925473591E-2</v>
      </c>
    </row>
    <row r="715" spans="1:13" ht="15.5" x14ac:dyDescent="0.35">
      <c r="A715" s="8" t="s">
        <v>41</v>
      </c>
      <c r="B715" s="9" t="s">
        <v>32</v>
      </c>
      <c r="C715" s="9" t="s">
        <v>15</v>
      </c>
      <c r="D715" s="10">
        <v>73.81</v>
      </c>
      <c r="E715" s="9" t="s">
        <v>25</v>
      </c>
      <c r="F715" s="9" t="s">
        <v>17</v>
      </c>
      <c r="G715" s="9" t="str">
        <f t="shared" si="55"/>
        <v>Low Averg</v>
      </c>
      <c r="H715" s="11">
        <f t="shared" si="56"/>
        <v>70.278611111111118</v>
      </c>
      <c r="I715" s="9">
        <f t="shared" si="57"/>
        <v>36</v>
      </c>
      <c r="J715" s="12">
        <f>DATE(2025, MATCH(E715, {"January","February","March","April","May","June","July","August","September","October","November","December"},0),1)</f>
        <v>45931</v>
      </c>
      <c r="K715" s="13">
        <f t="shared" si="58"/>
        <v>2657.16</v>
      </c>
      <c r="L715" s="13">
        <v>336.30546534158799</v>
      </c>
      <c r="M715" s="14">
        <f t="shared" si="59"/>
        <v>1.0500539696261035E-2</v>
      </c>
    </row>
    <row r="716" spans="1:13" ht="15.5" x14ac:dyDescent="0.35">
      <c r="A716" s="8" t="s">
        <v>79</v>
      </c>
      <c r="B716" s="9" t="s">
        <v>32</v>
      </c>
      <c r="C716" s="9" t="s">
        <v>34</v>
      </c>
      <c r="D716" s="10">
        <v>82.45</v>
      </c>
      <c r="E716" s="9" t="s">
        <v>21</v>
      </c>
      <c r="F716" s="9" t="s">
        <v>40</v>
      </c>
      <c r="G716" s="9" t="str">
        <f t="shared" si="55"/>
        <v>Low Averg</v>
      </c>
      <c r="H716" s="11">
        <f t="shared" si="56"/>
        <v>90.269599999999997</v>
      </c>
      <c r="I716" s="9">
        <f t="shared" si="57"/>
        <v>25</v>
      </c>
      <c r="J716" s="12">
        <f>DATE(2025, MATCH(E716, {"January","February","March","April","May","June","July","August","September","October","November","December"},0),1)</f>
        <v>45748</v>
      </c>
      <c r="K716" s="13">
        <f t="shared" si="58"/>
        <v>2061.25</v>
      </c>
      <c r="L716" s="13">
        <v>336.43444756117498</v>
      </c>
      <c r="M716" s="14">
        <f t="shared" si="59"/>
        <v>-2.3242566439568086E-2</v>
      </c>
    </row>
    <row r="717" spans="1:13" ht="15.5" x14ac:dyDescent="0.35">
      <c r="A717" s="8" t="s">
        <v>70</v>
      </c>
      <c r="B717" s="9" t="s">
        <v>71</v>
      </c>
      <c r="C717" s="9" t="s">
        <v>43</v>
      </c>
      <c r="D717" s="10">
        <v>951.1</v>
      </c>
      <c r="E717" s="9" t="s">
        <v>55</v>
      </c>
      <c r="F717" s="9" t="s">
        <v>17</v>
      </c>
      <c r="G717" s="9" t="str">
        <f t="shared" si="55"/>
        <v>Above Averg</v>
      </c>
      <c r="H717" s="11">
        <f t="shared" si="56"/>
        <v>911.5772916666665</v>
      </c>
      <c r="I717" s="9">
        <f t="shared" si="57"/>
        <v>48</v>
      </c>
      <c r="J717" s="12">
        <f>DATE(2025, MATCH(E717, {"January","February","March","April","May","June","July","August","September","October","November","December"},0),1)</f>
        <v>45962</v>
      </c>
      <c r="K717" s="13">
        <f t="shared" si="58"/>
        <v>45652.800000000003</v>
      </c>
      <c r="L717" s="13">
        <v>336.58080560673</v>
      </c>
      <c r="M717" s="14">
        <f t="shared" si="59"/>
        <v>0.11742413017904804</v>
      </c>
    </row>
    <row r="718" spans="1:13" ht="15.5" x14ac:dyDescent="0.35">
      <c r="A718" s="8" t="s">
        <v>18</v>
      </c>
      <c r="B718" s="9" t="s">
        <v>19</v>
      </c>
      <c r="C718" s="9" t="s">
        <v>24</v>
      </c>
      <c r="D718" s="10">
        <v>832.63</v>
      </c>
      <c r="E718" s="9" t="s">
        <v>63</v>
      </c>
      <c r="F718" s="9" t="s">
        <v>30</v>
      </c>
      <c r="G718" s="9" t="str">
        <f t="shared" si="55"/>
        <v>Above Averg</v>
      </c>
      <c r="H718" s="11">
        <f t="shared" si="56"/>
        <v>920.12567567567555</v>
      </c>
      <c r="I718" s="9">
        <f t="shared" si="57"/>
        <v>37</v>
      </c>
      <c r="J718" s="12">
        <f>DATE(2025, MATCH(E718, {"January","February","March","April","May","June","July","August","September","October","November","December"},0),1)</f>
        <v>45717</v>
      </c>
      <c r="K718" s="13">
        <f t="shared" si="58"/>
        <v>30807.31</v>
      </c>
      <c r="L718" s="13">
        <v>335.65739415418102</v>
      </c>
      <c r="M718" s="14">
        <f t="shared" si="59"/>
        <v>-0.26066959107561105</v>
      </c>
    </row>
    <row r="719" spans="1:13" ht="15.5" x14ac:dyDescent="0.35">
      <c r="A719" s="8" t="s">
        <v>53</v>
      </c>
      <c r="B719" s="9" t="s">
        <v>54</v>
      </c>
      <c r="C719" s="9" t="s">
        <v>20</v>
      </c>
      <c r="D719" s="10">
        <v>921.15</v>
      </c>
      <c r="E719" s="9" t="s">
        <v>35</v>
      </c>
      <c r="F719" s="9" t="s">
        <v>36</v>
      </c>
      <c r="G719" s="9" t="str">
        <f t="shared" si="55"/>
        <v>Above Averg</v>
      </c>
      <c r="H719" s="11">
        <f t="shared" si="56"/>
        <v>810.77454545454566</v>
      </c>
      <c r="I719" s="9">
        <f t="shared" si="57"/>
        <v>33</v>
      </c>
      <c r="J719" s="12">
        <f>DATE(2025, MATCH(E719, {"January","February","March","April","May","June","July","August","September","October","November","December"},0),1)</f>
        <v>45778</v>
      </c>
      <c r="K719" s="13">
        <f t="shared" si="58"/>
        <v>30397.95</v>
      </c>
      <c r="L719" s="13">
        <v>335.21052294256702</v>
      </c>
      <c r="M719" s="14">
        <f t="shared" si="59"/>
        <v>0.32927204544937688</v>
      </c>
    </row>
    <row r="720" spans="1:13" ht="15.5" x14ac:dyDescent="0.35">
      <c r="A720" s="8" t="s">
        <v>48</v>
      </c>
      <c r="B720" s="9" t="s">
        <v>19</v>
      </c>
      <c r="C720" s="9" t="s">
        <v>29</v>
      </c>
      <c r="D720" s="10">
        <v>1359.63</v>
      </c>
      <c r="E720" s="9" t="s">
        <v>16</v>
      </c>
      <c r="F720" s="9" t="s">
        <v>30</v>
      </c>
      <c r="G720" s="9" t="str">
        <f t="shared" si="55"/>
        <v>Above Averg</v>
      </c>
      <c r="H720" s="11">
        <f t="shared" si="56"/>
        <v>1235.856</v>
      </c>
      <c r="I720" s="9">
        <f t="shared" si="57"/>
        <v>25</v>
      </c>
      <c r="J720" s="12">
        <f>DATE(2025, MATCH(E720, {"January","February","March","April","May","June","July","August","September","October","November","December"},0),1)</f>
        <v>45809</v>
      </c>
      <c r="K720" s="13">
        <f t="shared" si="58"/>
        <v>33990.75</v>
      </c>
      <c r="L720" s="13">
        <v>334.39744147333101</v>
      </c>
      <c r="M720" s="14">
        <f t="shared" si="59"/>
        <v>0.37014039178846825</v>
      </c>
    </row>
    <row r="721" spans="1:13" ht="15.5" x14ac:dyDescent="0.35">
      <c r="A721" s="8" t="s">
        <v>73</v>
      </c>
      <c r="B721" s="9" t="s">
        <v>54</v>
      </c>
      <c r="C721" s="9" t="s">
        <v>15</v>
      </c>
      <c r="D721" s="10">
        <v>40.57</v>
      </c>
      <c r="E721" s="9" t="s">
        <v>35</v>
      </c>
      <c r="F721" s="9" t="s">
        <v>17</v>
      </c>
      <c r="G721" s="9" t="str">
        <f t="shared" si="55"/>
        <v>Low Averg</v>
      </c>
      <c r="H721" s="11">
        <f t="shared" si="56"/>
        <v>40.881379310344826</v>
      </c>
      <c r="I721" s="9">
        <f t="shared" si="57"/>
        <v>29</v>
      </c>
      <c r="J721" s="12">
        <f>DATE(2025, MATCH(E721, {"January","February","March","April","May","June","July","August","September","October","November","December"},0),1)</f>
        <v>45778</v>
      </c>
      <c r="K721" s="13">
        <f t="shared" si="58"/>
        <v>1176.53</v>
      </c>
      <c r="L721" s="13">
        <v>330.869062611549</v>
      </c>
      <c r="M721" s="14">
        <f t="shared" si="59"/>
        <v>-9.4109527160717141E-4</v>
      </c>
    </row>
    <row r="722" spans="1:13" ht="15.5" x14ac:dyDescent="0.35">
      <c r="A722" s="8" t="s">
        <v>74</v>
      </c>
      <c r="B722" s="9" t="s">
        <v>38</v>
      </c>
      <c r="C722" s="9" t="s">
        <v>29</v>
      </c>
      <c r="D722" s="10">
        <v>363.92</v>
      </c>
      <c r="E722" s="9" t="s">
        <v>62</v>
      </c>
      <c r="F722" s="9" t="s">
        <v>17</v>
      </c>
      <c r="G722" s="9" t="str">
        <f t="shared" si="55"/>
        <v>Low Averg</v>
      </c>
      <c r="H722" s="11">
        <f t="shared" si="56"/>
        <v>368.73933333333326</v>
      </c>
      <c r="I722" s="9">
        <f t="shared" si="57"/>
        <v>30</v>
      </c>
      <c r="J722" s="12">
        <f>DATE(2025, MATCH(E722, {"January","February","March","April","May","June","July","August","September","October","November","December"},0),1)</f>
        <v>45689</v>
      </c>
      <c r="K722" s="13">
        <f t="shared" si="58"/>
        <v>10917.6</v>
      </c>
      <c r="L722" s="13">
        <v>330.92336562565703</v>
      </c>
      <c r="M722" s="14">
        <f t="shared" si="59"/>
        <v>-1.4563291184415529E-2</v>
      </c>
    </row>
    <row r="723" spans="1:13" ht="15.5" x14ac:dyDescent="0.35">
      <c r="A723" s="8" t="s">
        <v>74</v>
      </c>
      <c r="B723" s="9" t="s">
        <v>38</v>
      </c>
      <c r="C723" s="9" t="s">
        <v>15</v>
      </c>
      <c r="D723" s="10">
        <v>355.41</v>
      </c>
      <c r="E723" s="9" t="s">
        <v>42</v>
      </c>
      <c r="F723" s="9" t="s">
        <v>36</v>
      </c>
      <c r="G723" s="9" t="str">
        <f t="shared" si="55"/>
        <v>Low Averg</v>
      </c>
      <c r="H723" s="11">
        <f t="shared" si="56"/>
        <v>368.73933333333326</v>
      </c>
      <c r="I723" s="9">
        <f t="shared" si="57"/>
        <v>30</v>
      </c>
      <c r="J723" s="12">
        <f>DATE(2025, MATCH(E723, {"January","February","March","April","May","June","July","August","September","October","November","December"},0),1)</f>
        <v>45658</v>
      </c>
      <c r="K723" s="13">
        <f t="shared" si="58"/>
        <v>10662.300000000001</v>
      </c>
      <c r="L723" s="13">
        <v>331.35323634438799</v>
      </c>
      <c r="M723" s="14">
        <f t="shared" si="59"/>
        <v>-4.0226959846197355E-2</v>
      </c>
    </row>
    <row r="724" spans="1:13" ht="15.5" x14ac:dyDescent="0.35">
      <c r="A724" s="8" t="s">
        <v>52</v>
      </c>
      <c r="B724" s="9" t="s">
        <v>32</v>
      </c>
      <c r="C724" s="9" t="s">
        <v>29</v>
      </c>
      <c r="D724" s="10">
        <v>64.61</v>
      </c>
      <c r="E724" s="9" t="s">
        <v>16</v>
      </c>
      <c r="F724" s="9" t="s">
        <v>17</v>
      </c>
      <c r="G724" s="9" t="str">
        <f t="shared" si="55"/>
        <v>Low Averg</v>
      </c>
      <c r="H724" s="11">
        <f t="shared" si="56"/>
        <v>62.182121212121217</v>
      </c>
      <c r="I724" s="9">
        <f t="shared" si="57"/>
        <v>33</v>
      </c>
      <c r="J724" s="12">
        <f>DATE(2025, MATCH(E724, {"January","February","March","April","May","June","July","August","September","October","November","December"},0),1)</f>
        <v>45809</v>
      </c>
      <c r="K724" s="13">
        <f t="shared" si="58"/>
        <v>2132.13</v>
      </c>
      <c r="L724" s="13">
        <v>331.78542286213099</v>
      </c>
      <c r="M724" s="14">
        <f t="shared" si="59"/>
        <v>7.3176174134921383E-3</v>
      </c>
    </row>
    <row r="725" spans="1:13" ht="15.5" x14ac:dyDescent="0.35">
      <c r="A725" s="8" t="s">
        <v>77</v>
      </c>
      <c r="B725" s="9" t="s">
        <v>14</v>
      </c>
      <c r="C725" s="9" t="s">
        <v>15</v>
      </c>
      <c r="D725" s="10">
        <v>221.14</v>
      </c>
      <c r="E725" s="9" t="s">
        <v>25</v>
      </c>
      <c r="F725" s="9" t="s">
        <v>36</v>
      </c>
      <c r="G725" s="9" t="str">
        <f t="shared" si="55"/>
        <v>Low Averg</v>
      </c>
      <c r="H725" s="11">
        <f t="shared" si="56"/>
        <v>226.49633333333335</v>
      </c>
      <c r="I725" s="9">
        <f t="shared" si="57"/>
        <v>30</v>
      </c>
      <c r="J725" s="12">
        <f>DATE(2025, MATCH(E725, {"January","February","March","April","May","June","July","August","September","October","November","December"},0),1)</f>
        <v>45931</v>
      </c>
      <c r="K725" s="13">
        <f t="shared" si="58"/>
        <v>6634.2</v>
      </c>
      <c r="L725" s="13">
        <v>331.89713016613501</v>
      </c>
      <c r="M725" s="14">
        <f t="shared" si="59"/>
        <v>-1.6138534643707802E-2</v>
      </c>
    </row>
    <row r="726" spans="1:13" ht="15.5" x14ac:dyDescent="0.35">
      <c r="A726" s="8" t="s">
        <v>77</v>
      </c>
      <c r="B726" s="9" t="s">
        <v>14</v>
      </c>
      <c r="C726" s="9" t="s">
        <v>43</v>
      </c>
      <c r="D726" s="10">
        <v>225.36</v>
      </c>
      <c r="E726" s="9" t="s">
        <v>62</v>
      </c>
      <c r="F726" s="9" t="s">
        <v>17</v>
      </c>
      <c r="G726" s="9" t="str">
        <f t="shared" si="55"/>
        <v>Low Averg</v>
      </c>
      <c r="H726" s="11">
        <f t="shared" si="56"/>
        <v>226.49633333333335</v>
      </c>
      <c r="I726" s="9">
        <f t="shared" si="57"/>
        <v>30</v>
      </c>
      <c r="J726" s="12">
        <f>DATE(2025, MATCH(E726, {"January","February","March","April","May","June","July","August","September","October","November","December"},0),1)</f>
        <v>45689</v>
      </c>
      <c r="K726" s="13">
        <f t="shared" si="58"/>
        <v>6760.8</v>
      </c>
      <c r="L726" s="13">
        <v>332.26571283079397</v>
      </c>
      <c r="M726" s="14">
        <f t="shared" si="59"/>
        <v>-3.4199536378645753E-3</v>
      </c>
    </row>
    <row r="727" spans="1:13" ht="15.5" x14ac:dyDescent="0.35">
      <c r="A727" s="8" t="s">
        <v>65</v>
      </c>
      <c r="B727" s="9" t="s">
        <v>23</v>
      </c>
      <c r="C727" s="9" t="s">
        <v>29</v>
      </c>
      <c r="D727" s="10">
        <v>162.62</v>
      </c>
      <c r="E727" s="9" t="s">
        <v>55</v>
      </c>
      <c r="F727" s="9" t="s">
        <v>26</v>
      </c>
      <c r="G727" s="9" t="str">
        <f t="shared" si="55"/>
        <v>Low Averg</v>
      </c>
      <c r="H727" s="11">
        <f t="shared" si="56"/>
        <v>151.26457142857143</v>
      </c>
      <c r="I727" s="9">
        <f t="shared" si="57"/>
        <v>35</v>
      </c>
      <c r="J727" s="12">
        <f>DATE(2025, MATCH(E727, {"January","February","March","April","May","June","July","August","September","October","November","December"},0),1)</f>
        <v>45962</v>
      </c>
      <c r="K727" s="13">
        <f t="shared" si="58"/>
        <v>5691.7</v>
      </c>
      <c r="L727" s="13">
        <v>332.639758033958</v>
      </c>
      <c r="M727" s="14">
        <f t="shared" si="59"/>
        <v>3.4137316112012504E-2</v>
      </c>
    </row>
    <row r="728" spans="1:13" ht="15.5" x14ac:dyDescent="0.35">
      <c r="A728" s="8" t="s">
        <v>65</v>
      </c>
      <c r="B728" s="9" t="s">
        <v>23</v>
      </c>
      <c r="C728" s="9" t="s">
        <v>43</v>
      </c>
      <c r="D728" s="10">
        <v>174.32</v>
      </c>
      <c r="E728" s="9" t="s">
        <v>42</v>
      </c>
      <c r="F728" s="9" t="s">
        <v>17</v>
      </c>
      <c r="G728" s="9" t="str">
        <f t="shared" si="55"/>
        <v>Low Averg</v>
      </c>
      <c r="H728" s="11">
        <f t="shared" si="56"/>
        <v>151.26457142857143</v>
      </c>
      <c r="I728" s="9">
        <f t="shared" si="57"/>
        <v>35</v>
      </c>
      <c r="J728" s="12">
        <f>DATE(2025, MATCH(E728, {"January","February","March","April","May","June","July","August","September","October","November","December"},0),1)</f>
        <v>45658</v>
      </c>
      <c r="K728" s="13">
        <f t="shared" si="58"/>
        <v>6101.2</v>
      </c>
      <c r="L728" s="13">
        <v>332.93646345764</v>
      </c>
      <c r="M728" s="14">
        <f t="shared" si="59"/>
        <v>6.9248733923558181E-2</v>
      </c>
    </row>
    <row r="729" spans="1:13" ht="15.5" x14ac:dyDescent="0.35">
      <c r="A729" s="8" t="s">
        <v>70</v>
      </c>
      <c r="B729" s="9" t="s">
        <v>71</v>
      </c>
      <c r="C729" s="9" t="s">
        <v>34</v>
      </c>
      <c r="D729" s="10">
        <v>798.49</v>
      </c>
      <c r="E729" s="9" t="s">
        <v>62</v>
      </c>
      <c r="F729" s="9" t="s">
        <v>30</v>
      </c>
      <c r="G729" s="9" t="str">
        <f t="shared" si="55"/>
        <v>Above Averg</v>
      </c>
      <c r="H729" s="11">
        <f t="shared" si="56"/>
        <v>911.5772916666665</v>
      </c>
      <c r="I729" s="9">
        <f t="shared" si="57"/>
        <v>48</v>
      </c>
      <c r="J729" s="12">
        <f>DATE(2025, MATCH(E729, {"January","February","March","April","May","June","July","August","September","October","November","December"},0),1)</f>
        <v>45689</v>
      </c>
      <c r="K729" s="13">
        <f t="shared" si="58"/>
        <v>38327.520000000004</v>
      </c>
      <c r="L729" s="13">
        <v>333.25082247236497</v>
      </c>
      <c r="M729" s="14">
        <f t="shared" si="59"/>
        <v>-0.33934587416072864</v>
      </c>
    </row>
    <row r="730" spans="1:13" ht="15.5" x14ac:dyDescent="0.35">
      <c r="A730" s="8" t="s">
        <v>58</v>
      </c>
      <c r="B730" s="9" t="s">
        <v>23</v>
      </c>
      <c r="C730" s="9" t="s">
        <v>34</v>
      </c>
      <c r="D730" s="10">
        <v>131.93</v>
      </c>
      <c r="E730" s="9" t="s">
        <v>35</v>
      </c>
      <c r="F730" s="9" t="s">
        <v>40</v>
      </c>
      <c r="G730" s="9" t="str">
        <f t="shared" si="55"/>
        <v>Low Averg</v>
      </c>
      <c r="H730" s="11">
        <f t="shared" si="56"/>
        <v>121.60903225806452</v>
      </c>
      <c r="I730" s="9">
        <f t="shared" si="57"/>
        <v>31</v>
      </c>
      <c r="J730" s="12">
        <f>DATE(2025, MATCH(E730, {"January","February","March","April","May","June","July","August","September","October","November","December"},0),1)</f>
        <v>45778</v>
      </c>
      <c r="K730" s="13">
        <f t="shared" si="58"/>
        <v>4089.8300000000004</v>
      </c>
      <c r="L730" s="13">
        <v>332.89912289355101</v>
      </c>
      <c r="M730" s="14">
        <f t="shared" si="59"/>
        <v>3.1003289081166365E-2</v>
      </c>
    </row>
    <row r="731" spans="1:13" ht="15.5" x14ac:dyDescent="0.35">
      <c r="A731" s="8" t="s">
        <v>78</v>
      </c>
      <c r="B731" s="9" t="s">
        <v>28</v>
      </c>
      <c r="C731" s="9" t="s">
        <v>43</v>
      </c>
      <c r="D731" s="10">
        <v>325.55</v>
      </c>
      <c r="E731" s="9" t="s">
        <v>16</v>
      </c>
      <c r="F731" s="9" t="s">
        <v>26</v>
      </c>
      <c r="G731" s="9" t="str">
        <f t="shared" si="55"/>
        <v>Low Averg</v>
      </c>
      <c r="H731" s="11">
        <f t="shared" si="56"/>
        <v>309.01727272727271</v>
      </c>
      <c r="I731" s="9">
        <f t="shared" si="57"/>
        <v>22</v>
      </c>
      <c r="J731" s="12">
        <f>DATE(2025, MATCH(E731, {"January","February","March","April","May","June","July","August","September","October","November","December"},0),1)</f>
        <v>45809</v>
      </c>
      <c r="K731" s="13">
        <f t="shared" si="58"/>
        <v>7162.1</v>
      </c>
      <c r="L731" s="13">
        <v>333.14883551766599</v>
      </c>
      <c r="M731" s="14">
        <f t="shared" si="59"/>
        <v>4.9625649289867062E-2</v>
      </c>
    </row>
    <row r="732" spans="1:13" ht="15.5" x14ac:dyDescent="0.35">
      <c r="A732" s="8" t="s">
        <v>18</v>
      </c>
      <c r="B732" s="9" t="s">
        <v>19</v>
      </c>
      <c r="C732" s="9" t="s">
        <v>45</v>
      </c>
      <c r="D732" s="10">
        <v>868.32</v>
      </c>
      <c r="E732" s="9" t="s">
        <v>35</v>
      </c>
      <c r="F732" s="9" t="s">
        <v>26</v>
      </c>
      <c r="G732" s="9" t="str">
        <f t="shared" si="55"/>
        <v>Above Averg</v>
      </c>
      <c r="H732" s="11">
        <f t="shared" si="56"/>
        <v>920.12567567567555</v>
      </c>
      <c r="I732" s="9">
        <f t="shared" si="57"/>
        <v>37</v>
      </c>
      <c r="J732" s="12">
        <f>DATE(2025, MATCH(E732, {"January","February","March","April","May","June","July","August","September","October","November","December"},0),1)</f>
        <v>45778</v>
      </c>
      <c r="K732" s="13">
        <f t="shared" si="58"/>
        <v>32127.84</v>
      </c>
      <c r="L732" s="13">
        <v>333.589942939369</v>
      </c>
      <c r="M732" s="14">
        <f t="shared" si="59"/>
        <v>-0.15529747455573426</v>
      </c>
    </row>
    <row r="733" spans="1:13" ht="15.5" x14ac:dyDescent="0.35">
      <c r="A733" s="8" t="s">
        <v>58</v>
      </c>
      <c r="B733" s="9" t="s">
        <v>23</v>
      </c>
      <c r="C733" s="9" t="s">
        <v>29</v>
      </c>
      <c r="D733" s="10">
        <v>123.79</v>
      </c>
      <c r="E733" s="9" t="s">
        <v>39</v>
      </c>
      <c r="F733" s="9" t="s">
        <v>17</v>
      </c>
      <c r="G733" s="9" t="str">
        <f t="shared" si="55"/>
        <v>Low Averg</v>
      </c>
      <c r="H733" s="11">
        <f t="shared" si="56"/>
        <v>121.60903225806452</v>
      </c>
      <c r="I733" s="9">
        <f t="shared" si="57"/>
        <v>31</v>
      </c>
      <c r="J733" s="12">
        <f>DATE(2025, MATCH(E733, {"January","February","March","April","May","June","July","August","September","October","November","December"},0),1)</f>
        <v>45992</v>
      </c>
      <c r="K733" s="13">
        <f t="shared" si="58"/>
        <v>3837.4900000000002</v>
      </c>
      <c r="L733" s="13">
        <v>332.96423591197401</v>
      </c>
      <c r="M733" s="14">
        <f t="shared" si="59"/>
        <v>6.5501561630543223E-3</v>
      </c>
    </row>
    <row r="734" spans="1:13" ht="15.5" x14ac:dyDescent="0.35">
      <c r="A734" s="8" t="s">
        <v>52</v>
      </c>
      <c r="B734" s="9" t="s">
        <v>32</v>
      </c>
      <c r="C734" s="9" t="s">
        <v>34</v>
      </c>
      <c r="D734" s="10">
        <v>55.43</v>
      </c>
      <c r="E734" s="9" t="s">
        <v>25</v>
      </c>
      <c r="F734" s="9" t="s">
        <v>17</v>
      </c>
      <c r="G734" s="9" t="str">
        <f t="shared" si="55"/>
        <v>Low Averg</v>
      </c>
      <c r="H734" s="11">
        <f t="shared" si="56"/>
        <v>62.182121212121217</v>
      </c>
      <c r="I734" s="9">
        <f t="shared" si="57"/>
        <v>33</v>
      </c>
      <c r="J734" s="12">
        <f>DATE(2025, MATCH(E734, {"January","February","March","April","May","June","July","August","September","October","November","December"},0),1)</f>
        <v>45931</v>
      </c>
      <c r="K734" s="13">
        <f t="shared" si="58"/>
        <v>1829.19</v>
      </c>
      <c r="L734" s="13">
        <v>333.20272714484202</v>
      </c>
      <c r="M734" s="14">
        <f t="shared" si="59"/>
        <v>-2.0264303566717493E-2</v>
      </c>
    </row>
    <row r="735" spans="1:13" ht="15.5" x14ac:dyDescent="0.35">
      <c r="A735" s="8" t="s">
        <v>58</v>
      </c>
      <c r="B735" s="9" t="s">
        <v>23</v>
      </c>
      <c r="C735" s="9" t="s">
        <v>45</v>
      </c>
      <c r="D735" s="10">
        <v>130.13</v>
      </c>
      <c r="E735" s="9" t="s">
        <v>46</v>
      </c>
      <c r="F735" s="9" t="s">
        <v>36</v>
      </c>
      <c r="G735" s="9" t="str">
        <f t="shared" si="55"/>
        <v>Low Averg</v>
      </c>
      <c r="H735" s="11">
        <f t="shared" si="56"/>
        <v>121.60903225806452</v>
      </c>
      <c r="I735" s="9">
        <f t="shared" si="57"/>
        <v>31</v>
      </c>
      <c r="J735" s="12">
        <f>DATE(2025, MATCH(E735, {"January","February","March","April","May","June","July","August","September","October","November","December"},0),1)</f>
        <v>45870</v>
      </c>
      <c r="K735" s="13">
        <f t="shared" si="58"/>
        <v>4034.0299999999997</v>
      </c>
      <c r="L735" s="13">
        <v>333.29659663071101</v>
      </c>
      <c r="M735" s="14">
        <f t="shared" si="59"/>
        <v>2.5565720826656441E-2</v>
      </c>
    </row>
    <row r="736" spans="1:13" ht="15.5" x14ac:dyDescent="0.35">
      <c r="A736" s="8" t="s">
        <v>31</v>
      </c>
      <c r="B736" s="9" t="s">
        <v>32</v>
      </c>
      <c r="C736" s="9" t="s">
        <v>34</v>
      </c>
      <c r="D736" s="10">
        <v>120.96</v>
      </c>
      <c r="E736" s="9" t="s">
        <v>16</v>
      </c>
      <c r="F736" s="9" t="s">
        <v>26</v>
      </c>
      <c r="G736" s="9" t="str">
        <f t="shared" si="55"/>
        <v>Low Averg</v>
      </c>
      <c r="H736" s="11">
        <f t="shared" si="56"/>
        <v>123.43305555555558</v>
      </c>
      <c r="I736" s="9">
        <f t="shared" si="57"/>
        <v>36</v>
      </c>
      <c r="J736" s="12">
        <f>DATE(2025, MATCH(E736, {"January","February","March","April","May","June","July","August","September","October","November","December"},0),1)</f>
        <v>45809</v>
      </c>
      <c r="K736" s="13">
        <f t="shared" si="58"/>
        <v>4354.5599999999995</v>
      </c>
      <c r="L736" s="13">
        <v>333.54600859165998</v>
      </c>
      <c r="M736" s="14">
        <f t="shared" si="59"/>
        <v>-7.4144360653501341E-3</v>
      </c>
    </row>
    <row r="737" spans="1:13" ht="15.5" x14ac:dyDescent="0.35">
      <c r="A737" s="8" t="s">
        <v>51</v>
      </c>
      <c r="B737" s="9" t="s">
        <v>28</v>
      </c>
      <c r="C737" s="9" t="s">
        <v>69</v>
      </c>
      <c r="D737" s="10">
        <v>127.92</v>
      </c>
      <c r="E737" s="9" t="s">
        <v>21</v>
      </c>
      <c r="F737" s="9" t="s">
        <v>40</v>
      </c>
      <c r="G737" s="9" t="str">
        <f t="shared" si="55"/>
        <v>Low Averg</v>
      </c>
      <c r="H737" s="11">
        <f t="shared" si="56"/>
        <v>122.0377142857143</v>
      </c>
      <c r="I737" s="9">
        <f t="shared" si="57"/>
        <v>35</v>
      </c>
      <c r="J737" s="12">
        <f>DATE(2025, MATCH(E737, {"January","February","March","April","May","June","July","August","September","October","November","December"},0),1)</f>
        <v>45748</v>
      </c>
      <c r="K737" s="13">
        <f t="shared" si="58"/>
        <v>4477.2</v>
      </c>
      <c r="L737" s="13">
        <v>333.77859503625098</v>
      </c>
      <c r="M737" s="14">
        <f t="shared" si="59"/>
        <v>1.7623316179537631E-2</v>
      </c>
    </row>
    <row r="738" spans="1:13" ht="15.5" x14ac:dyDescent="0.35">
      <c r="A738" s="8" t="s">
        <v>66</v>
      </c>
      <c r="B738" s="9" t="s">
        <v>32</v>
      </c>
      <c r="C738" s="9" t="s">
        <v>45</v>
      </c>
      <c r="D738" s="10">
        <v>161.54</v>
      </c>
      <c r="E738" s="9" t="s">
        <v>21</v>
      </c>
      <c r="F738" s="9" t="s">
        <v>26</v>
      </c>
      <c r="G738" s="9" t="str">
        <f t="shared" si="55"/>
        <v>Low Averg</v>
      </c>
      <c r="H738" s="11">
        <f t="shared" si="56"/>
        <v>141.74161290322584</v>
      </c>
      <c r="I738" s="9">
        <f t="shared" si="57"/>
        <v>31</v>
      </c>
      <c r="J738" s="12">
        <f>DATE(2025, MATCH(E738, {"January","February","March","April","May","June","July","August","September","October","November","December"},0),1)</f>
        <v>45748</v>
      </c>
      <c r="K738" s="13">
        <f t="shared" si="58"/>
        <v>5007.74</v>
      </c>
      <c r="L738" s="13">
        <v>334.024055617508</v>
      </c>
      <c r="M738" s="14">
        <f t="shared" si="59"/>
        <v>5.9272339113938984E-2</v>
      </c>
    </row>
    <row r="739" spans="1:13" ht="15.5" x14ac:dyDescent="0.35">
      <c r="A739" s="8" t="s">
        <v>13</v>
      </c>
      <c r="B739" s="9" t="s">
        <v>14</v>
      </c>
      <c r="C739" s="9" t="s">
        <v>45</v>
      </c>
      <c r="D739" s="10">
        <v>216.12</v>
      </c>
      <c r="E739" s="9" t="s">
        <v>72</v>
      </c>
      <c r="F739" s="9" t="s">
        <v>26</v>
      </c>
      <c r="G739" s="9" t="str">
        <f t="shared" si="55"/>
        <v>Low Averg</v>
      </c>
      <c r="H739" s="11">
        <f t="shared" si="56"/>
        <v>206.78702702702708</v>
      </c>
      <c r="I739" s="9">
        <f t="shared" si="57"/>
        <v>37</v>
      </c>
      <c r="J739" s="12">
        <f>DATE(2025, MATCH(E739, {"January","February","March","April","May","June","July","August","September","October","November","December"},0),1)</f>
        <v>45901</v>
      </c>
      <c r="K739" s="13">
        <f t="shared" si="58"/>
        <v>7996.4400000000005</v>
      </c>
      <c r="L739" s="13">
        <v>334.32686013004002</v>
      </c>
      <c r="M739" s="14">
        <f t="shared" si="59"/>
        <v>2.791571388952346E-2</v>
      </c>
    </row>
    <row r="740" spans="1:13" ht="15.5" x14ac:dyDescent="0.35">
      <c r="A740" s="8" t="s">
        <v>66</v>
      </c>
      <c r="B740" s="9" t="s">
        <v>32</v>
      </c>
      <c r="C740" s="9" t="s">
        <v>20</v>
      </c>
      <c r="D740" s="10">
        <v>148.09</v>
      </c>
      <c r="E740" s="9" t="s">
        <v>35</v>
      </c>
      <c r="F740" s="9" t="s">
        <v>17</v>
      </c>
      <c r="G740" s="9" t="str">
        <f t="shared" si="55"/>
        <v>Low Averg</v>
      </c>
      <c r="H740" s="11">
        <f t="shared" si="56"/>
        <v>141.74161290322584</v>
      </c>
      <c r="I740" s="9">
        <f t="shared" si="57"/>
        <v>31</v>
      </c>
      <c r="J740" s="12">
        <f>DATE(2025, MATCH(E740, {"January","February","March","April","May","June","July","August","September","October","November","December"},0),1)</f>
        <v>45778</v>
      </c>
      <c r="K740" s="13">
        <f t="shared" si="58"/>
        <v>4590.79</v>
      </c>
      <c r="L740" s="13">
        <v>334.70399584546601</v>
      </c>
      <c r="M740" s="14">
        <f t="shared" si="59"/>
        <v>1.8967168529727484E-2</v>
      </c>
    </row>
    <row r="741" spans="1:13" ht="15.5" x14ac:dyDescent="0.35">
      <c r="A741" s="8" t="s">
        <v>67</v>
      </c>
      <c r="B741" s="9" t="s">
        <v>23</v>
      </c>
      <c r="C741" s="9" t="s">
        <v>69</v>
      </c>
      <c r="D741" s="10">
        <v>257.62</v>
      </c>
      <c r="E741" s="9" t="s">
        <v>39</v>
      </c>
      <c r="F741" s="9" t="s">
        <v>40</v>
      </c>
      <c r="G741" s="9" t="str">
        <f t="shared" si="55"/>
        <v>Low Averg</v>
      </c>
      <c r="H741" s="11">
        <f t="shared" si="56"/>
        <v>226.566129032258</v>
      </c>
      <c r="I741" s="9">
        <f t="shared" si="57"/>
        <v>31</v>
      </c>
      <c r="J741" s="12">
        <f>DATE(2025, MATCH(E741, {"January","February","March","April","May","June","July","August","September","October","November","December"},0),1)</f>
        <v>45992</v>
      </c>
      <c r="K741" s="13">
        <f t="shared" si="58"/>
        <v>7986.22</v>
      </c>
      <c r="L741" s="13">
        <v>334.98627832646599</v>
      </c>
      <c r="M741" s="14">
        <f t="shared" si="59"/>
        <v>9.2701919382733575E-2</v>
      </c>
    </row>
    <row r="742" spans="1:13" ht="15.5" x14ac:dyDescent="0.35">
      <c r="A742" s="8" t="s">
        <v>76</v>
      </c>
      <c r="B742" s="9" t="s">
        <v>60</v>
      </c>
      <c r="C742" s="9" t="s">
        <v>29</v>
      </c>
      <c r="D742" s="10">
        <v>345.47</v>
      </c>
      <c r="E742" s="9" t="s">
        <v>42</v>
      </c>
      <c r="F742" s="9" t="s">
        <v>36</v>
      </c>
      <c r="G742" s="9" t="str">
        <f t="shared" si="55"/>
        <v>Low Averg</v>
      </c>
      <c r="H742" s="11">
        <f t="shared" si="56"/>
        <v>304.90820512820511</v>
      </c>
      <c r="I742" s="9">
        <f t="shared" si="57"/>
        <v>39</v>
      </c>
      <c r="J742" s="12">
        <f>DATE(2025, MATCH(E742, {"January","February","March","April","May","June","July","August","September","October","November","December"},0),1)</f>
        <v>45658</v>
      </c>
      <c r="K742" s="13">
        <f t="shared" si="58"/>
        <v>13473.330000000002</v>
      </c>
      <c r="L742" s="13">
        <v>335.40574156137399</v>
      </c>
      <c r="M742" s="14">
        <f t="shared" si="59"/>
        <v>0.12093351378832239</v>
      </c>
    </row>
    <row r="743" spans="1:13" ht="15.5" x14ac:dyDescent="0.35">
      <c r="A743" s="8" t="s">
        <v>18</v>
      </c>
      <c r="B743" s="9" t="s">
        <v>19</v>
      </c>
      <c r="C743" s="9" t="s">
        <v>49</v>
      </c>
      <c r="D743" s="10">
        <v>853.04</v>
      </c>
      <c r="E743" s="9" t="s">
        <v>16</v>
      </c>
      <c r="F743" s="9" t="s">
        <v>36</v>
      </c>
      <c r="G743" s="9" t="str">
        <f t="shared" si="55"/>
        <v>Above Averg</v>
      </c>
      <c r="H743" s="11">
        <f t="shared" si="56"/>
        <v>920.12567567567555</v>
      </c>
      <c r="I743" s="9">
        <f t="shared" si="57"/>
        <v>37</v>
      </c>
      <c r="J743" s="12">
        <f>DATE(2025, MATCH(E743, {"January","February","March","April","May","June","July","August","September","October","November","December"},0),1)</f>
        <v>45809</v>
      </c>
      <c r="K743" s="13">
        <f t="shared" si="58"/>
        <v>31562.48</v>
      </c>
      <c r="L743" s="13">
        <v>335.86572599844698</v>
      </c>
      <c r="M743" s="14">
        <f t="shared" si="59"/>
        <v>-0.19973956996131778</v>
      </c>
    </row>
    <row r="744" spans="1:13" ht="15.5" x14ac:dyDescent="0.35">
      <c r="A744" s="8" t="s">
        <v>41</v>
      </c>
      <c r="B744" s="9" t="s">
        <v>32</v>
      </c>
      <c r="C744" s="9" t="s">
        <v>69</v>
      </c>
      <c r="D744" s="10">
        <v>67.89</v>
      </c>
      <c r="E744" s="9" t="s">
        <v>39</v>
      </c>
      <c r="F744" s="9" t="s">
        <v>30</v>
      </c>
      <c r="G744" s="9" t="str">
        <f t="shared" si="55"/>
        <v>Low Averg</v>
      </c>
      <c r="H744" s="11">
        <f t="shared" si="56"/>
        <v>70.278611111111118</v>
      </c>
      <c r="I744" s="9">
        <f t="shared" si="57"/>
        <v>36</v>
      </c>
      <c r="J744" s="12">
        <f>DATE(2025, MATCH(E744, {"January","February","March","April","May","June","July","August","September","October","November","December"},0),1)</f>
        <v>45992</v>
      </c>
      <c r="K744" s="13">
        <f t="shared" si="58"/>
        <v>2444.04</v>
      </c>
      <c r="L744" s="13">
        <v>335.31046551496399</v>
      </c>
      <c r="M744" s="14">
        <f t="shared" si="59"/>
        <v>-7.1235805522584274E-3</v>
      </c>
    </row>
    <row r="745" spans="1:13" ht="15.5" x14ac:dyDescent="0.35">
      <c r="A745" s="8" t="s">
        <v>27</v>
      </c>
      <c r="B745" s="9" t="s">
        <v>28</v>
      </c>
      <c r="C745" s="9" t="s">
        <v>49</v>
      </c>
      <c r="D745" s="10">
        <v>119.86</v>
      </c>
      <c r="E745" s="9" t="s">
        <v>21</v>
      </c>
      <c r="F745" s="9" t="s">
        <v>17</v>
      </c>
      <c r="G745" s="9" t="str">
        <f t="shared" si="55"/>
        <v>Low Averg</v>
      </c>
      <c r="H745" s="11">
        <f t="shared" si="56"/>
        <v>113.26108695652174</v>
      </c>
      <c r="I745" s="9">
        <f t="shared" si="57"/>
        <v>46</v>
      </c>
      <c r="J745" s="12">
        <f>DATE(2025, MATCH(E745, {"January","February","March","April","May","June","July","August","September","October","November","December"},0),1)</f>
        <v>45748</v>
      </c>
      <c r="K745" s="13">
        <f t="shared" si="58"/>
        <v>5513.56</v>
      </c>
      <c r="L745" s="13">
        <v>335.43481144453602</v>
      </c>
      <c r="M745" s="14">
        <f t="shared" si="59"/>
        <v>1.9672713798130608E-2</v>
      </c>
    </row>
    <row r="746" spans="1:13" ht="15.5" x14ac:dyDescent="0.35">
      <c r="A746" s="8" t="s">
        <v>79</v>
      </c>
      <c r="B746" s="9" t="s">
        <v>32</v>
      </c>
      <c r="C746" s="9" t="s">
        <v>29</v>
      </c>
      <c r="D746" s="10">
        <v>93.44</v>
      </c>
      <c r="E746" s="9" t="s">
        <v>46</v>
      </c>
      <c r="F746" s="9" t="s">
        <v>26</v>
      </c>
      <c r="G746" s="9" t="str">
        <f t="shared" si="55"/>
        <v>Low Averg</v>
      </c>
      <c r="H746" s="11">
        <f t="shared" si="56"/>
        <v>90.269599999999997</v>
      </c>
      <c r="I746" s="9">
        <f t="shared" si="57"/>
        <v>25</v>
      </c>
      <c r="J746" s="12">
        <f>DATE(2025, MATCH(E746, {"January","February","March","April","May","June","July","August","September","October","November","December"},0),1)</f>
        <v>45870</v>
      </c>
      <c r="K746" s="13">
        <f t="shared" si="58"/>
        <v>2336</v>
      </c>
      <c r="L746" s="13">
        <v>335.67026930514203</v>
      </c>
      <c r="M746" s="14">
        <f t="shared" si="59"/>
        <v>9.4449830381550404E-3</v>
      </c>
    </row>
    <row r="747" spans="1:13" ht="15.5" x14ac:dyDescent="0.35">
      <c r="A747" s="8" t="s">
        <v>73</v>
      </c>
      <c r="B747" s="9" t="s">
        <v>54</v>
      </c>
      <c r="C747" s="9" t="s">
        <v>34</v>
      </c>
      <c r="D747" s="10">
        <v>37.25</v>
      </c>
      <c r="E747" s="9" t="s">
        <v>25</v>
      </c>
      <c r="F747" s="9" t="s">
        <v>40</v>
      </c>
      <c r="G747" s="9" t="str">
        <f t="shared" si="55"/>
        <v>Low Averg</v>
      </c>
      <c r="H747" s="11">
        <f t="shared" si="56"/>
        <v>40.881379310344826</v>
      </c>
      <c r="I747" s="9">
        <f t="shared" si="57"/>
        <v>29</v>
      </c>
      <c r="J747" s="12">
        <f>DATE(2025, MATCH(E747, {"January","February","March","April","May","June","July","August","September","October","November","December"},0),1)</f>
        <v>45931</v>
      </c>
      <c r="K747" s="13">
        <f t="shared" si="58"/>
        <v>1080.25</v>
      </c>
      <c r="L747" s="13">
        <v>335.85102796643503</v>
      </c>
      <c r="M747" s="14">
        <f t="shared" si="59"/>
        <v>-1.0812470434682565E-2</v>
      </c>
    </row>
    <row r="748" spans="1:13" ht="15.5" x14ac:dyDescent="0.35">
      <c r="A748" s="8" t="s">
        <v>41</v>
      </c>
      <c r="B748" s="9" t="s">
        <v>32</v>
      </c>
      <c r="C748" s="9" t="s">
        <v>61</v>
      </c>
      <c r="D748" s="10">
        <v>74.400000000000006</v>
      </c>
      <c r="E748" s="9" t="s">
        <v>42</v>
      </c>
      <c r="F748" s="9" t="s">
        <v>17</v>
      </c>
      <c r="G748" s="9" t="str">
        <f t="shared" si="55"/>
        <v>Low Averg</v>
      </c>
      <c r="H748" s="11">
        <f t="shared" si="56"/>
        <v>70.278611111111118</v>
      </c>
      <c r="I748" s="9">
        <f t="shared" si="57"/>
        <v>36</v>
      </c>
      <c r="J748" s="12">
        <f>DATE(2025, MATCH(E748, {"January","February","March","April","May","June","July","August","September","October","November","December"},0),1)</f>
        <v>45658</v>
      </c>
      <c r="K748" s="13">
        <f t="shared" si="58"/>
        <v>2678.4</v>
      </c>
      <c r="L748" s="13">
        <v>335.89511684270502</v>
      </c>
      <c r="M748" s="14">
        <f t="shared" si="59"/>
        <v>1.2269868426872298E-2</v>
      </c>
    </row>
    <row r="749" spans="1:13" ht="15.5" x14ac:dyDescent="0.35">
      <c r="A749" s="8" t="s">
        <v>44</v>
      </c>
      <c r="B749" s="9" t="s">
        <v>23</v>
      </c>
      <c r="C749" s="9" t="s">
        <v>69</v>
      </c>
      <c r="D749" s="10">
        <v>221</v>
      </c>
      <c r="E749" s="9" t="s">
        <v>42</v>
      </c>
      <c r="F749" s="9" t="s">
        <v>26</v>
      </c>
      <c r="G749" s="9" t="str">
        <f t="shared" si="55"/>
        <v>Low Averg</v>
      </c>
      <c r="H749" s="11">
        <f t="shared" si="56"/>
        <v>206.14838709677423</v>
      </c>
      <c r="I749" s="9">
        <f t="shared" si="57"/>
        <v>31</v>
      </c>
      <c r="J749" s="12">
        <f>DATE(2025, MATCH(E749, {"January","February","March","April","May","June","July","August","September","October","November","December"},0),1)</f>
        <v>45658</v>
      </c>
      <c r="K749" s="13">
        <f t="shared" si="58"/>
        <v>6851</v>
      </c>
      <c r="L749" s="13">
        <v>336.03045942234098</v>
      </c>
      <c r="M749" s="14">
        <f t="shared" si="59"/>
        <v>4.4197222265971649E-2</v>
      </c>
    </row>
    <row r="750" spans="1:13" ht="15.5" x14ac:dyDescent="0.35">
      <c r="A750" s="8" t="s">
        <v>73</v>
      </c>
      <c r="B750" s="9" t="s">
        <v>54</v>
      </c>
      <c r="C750" s="9" t="s">
        <v>24</v>
      </c>
      <c r="D750" s="10">
        <v>36.89</v>
      </c>
      <c r="E750" s="9" t="s">
        <v>21</v>
      </c>
      <c r="F750" s="9" t="s">
        <v>26</v>
      </c>
      <c r="G750" s="9" t="str">
        <f t="shared" si="55"/>
        <v>Low Averg</v>
      </c>
      <c r="H750" s="11">
        <f t="shared" si="56"/>
        <v>40.881379310344826</v>
      </c>
      <c r="I750" s="9">
        <f t="shared" si="57"/>
        <v>29</v>
      </c>
      <c r="J750" s="12">
        <f>DATE(2025, MATCH(E750, {"January","February","March","April","May","June","July","August","September","October","November","December"},0),1)</f>
        <v>45748</v>
      </c>
      <c r="K750" s="13">
        <f t="shared" si="58"/>
        <v>1069.81</v>
      </c>
      <c r="L750" s="13">
        <v>336.42228657122803</v>
      </c>
      <c r="M750" s="14">
        <f t="shared" si="59"/>
        <v>-1.1864194108614034E-2</v>
      </c>
    </row>
    <row r="751" spans="1:13" ht="15.5" x14ac:dyDescent="0.35">
      <c r="A751" s="8" t="s">
        <v>31</v>
      </c>
      <c r="B751" s="9" t="s">
        <v>32</v>
      </c>
      <c r="C751" s="9" t="s">
        <v>20</v>
      </c>
      <c r="D751" s="10">
        <v>114.13</v>
      </c>
      <c r="E751" s="9" t="s">
        <v>62</v>
      </c>
      <c r="F751" s="9" t="s">
        <v>36</v>
      </c>
      <c r="G751" s="9" t="str">
        <f t="shared" si="55"/>
        <v>Low Averg</v>
      </c>
      <c r="H751" s="11">
        <f t="shared" si="56"/>
        <v>123.43305555555558</v>
      </c>
      <c r="I751" s="9">
        <f t="shared" si="57"/>
        <v>36</v>
      </c>
      <c r="J751" s="12">
        <f>DATE(2025, MATCH(E751, {"January","February","March","April","May","June","July","August","September","October","November","December"},0),1)</f>
        <v>45689</v>
      </c>
      <c r="K751" s="13">
        <f t="shared" si="58"/>
        <v>4108.68</v>
      </c>
      <c r="L751" s="13">
        <v>336.461779515518</v>
      </c>
      <c r="M751" s="14">
        <f t="shared" si="59"/>
        <v>-2.7649665198083873E-2</v>
      </c>
    </row>
    <row r="752" spans="1:13" ht="15.5" x14ac:dyDescent="0.35">
      <c r="A752" s="8" t="s">
        <v>82</v>
      </c>
      <c r="B752" s="9" t="s">
        <v>14</v>
      </c>
      <c r="C752" s="9" t="s">
        <v>29</v>
      </c>
      <c r="D752" s="10">
        <v>883.43</v>
      </c>
      <c r="E752" s="9" t="s">
        <v>39</v>
      </c>
      <c r="F752" s="9" t="s">
        <v>40</v>
      </c>
      <c r="G752" s="9" t="str">
        <f t="shared" si="55"/>
        <v>Above Averg</v>
      </c>
      <c r="H752" s="11">
        <f t="shared" si="56"/>
        <v>905.6025925925926</v>
      </c>
      <c r="I752" s="9">
        <f t="shared" si="57"/>
        <v>27</v>
      </c>
      <c r="J752" s="12">
        <f>DATE(2025, MATCH(E752, {"January","February","March","April","May","June","July","August","September","October","November","December"},0),1)</f>
        <v>45992</v>
      </c>
      <c r="K752" s="13">
        <f t="shared" si="58"/>
        <v>23852.609999999997</v>
      </c>
      <c r="L752" s="13">
        <v>336.68307492607602</v>
      </c>
      <c r="M752" s="14">
        <f t="shared" si="59"/>
        <v>-6.5855976269258515E-2</v>
      </c>
    </row>
    <row r="753" spans="1:13" ht="15.5" x14ac:dyDescent="0.35">
      <c r="A753" s="8" t="s">
        <v>22</v>
      </c>
      <c r="B753" s="9" t="s">
        <v>23</v>
      </c>
      <c r="C753" s="9" t="s">
        <v>20</v>
      </c>
      <c r="D753" s="10">
        <v>277.88</v>
      </c>
      <c r="E753" s="9" t="s">
        <v>16</v>
      </c>
      <c r="F753" s="9" t="s">
        <v>17</v>
      </c>
      <c r="G753" s="9" t="str">
        <f t="shared" si="55"/>
        <v>Low Averg</v>
      </c>
      <c r="H753" s="11">
        <f t="shared" si="56"/>
        <v>257.40029411764709</v>
      </c>
      <c r="I753" s="9">
        <f t="shared" si="57"/>
        <v>34</v>
      </c>
      <c r="J753" s="12">
        <f>DATE(2025, MATCH(E753, {"January","February","March","April","May","June","July","August","September","October","November","December"},0),1)</f>
        <v>45809</v>
      </c>
      <c r="K753" s="13">
        <f t="shared" si="58"/>
        <v>9447.92</v>
      </c>
      <c r="L753" s="13">
        <v>336.005693245408</v>
      </c>
      <c r="M753" s="14">
        <f t="shared" si="59"/>
        <v>6.0950472846289454E-2</v>
      </c>
    </row>
    <row r="754" spans="1:13" ht="15.5" x14ac:dyDescent="0.35">
      <c r="A754" s="8" t="s">
        <v>74</v>
      </c>
      <c r="B754" s="9" t="s">
        <v>38</v>
      </c>
      <c r="C754" s="9" t="s">
        <v>15</v>
      </c>
      <c r="D754" s="10">
        <v>367.03</v>
      </c>
      <c r="E754" s="9" t="s">
        <v>25</v>
      </c>
      <c r="F754" s="9" t="s">
        <v>40</v>
      </c>
      <c r="G754" s="9" t="str">
        <f t="shared" si="55"/>
        <v>Low Averg</v>
      </c>
      <c r="H754" s="11">
        <f t="shared" si="56"/>
        <v>368.73933333333326</v>
      </c>
      <c r="I754" s="9">
        <f t="shared" si="57"/>
        <v>30</v>
      </c>
      <c r="J754" s="12">
        <f>DATE(2025, MATCH(E754, {"January","February","March","April","May","June","July","August","September","October","November","December"},0),1)</f>
        <v>45931</v>
      </c>
      <c r="K754" s="13">
        <f t="shared" si="58"/>
        <v>11010.9</v>
      </c>
      <c r="L754" s="13">
        <v>336.45377136299902</v>
      </c>
      <c r="M754" s="14">
        <f t="shared" si="59"/>
        <v>-5.0804404016892291E-3</v>
      </c>
    </row>
    <row r="755" spans="1:13" ht="15.5" x14ac:dyDescent="0.35">
      <c r="A755" s="8" t="s">
        <v>76</v>
      </c>
      <c r="B755" s="9" t="s">
        <v>60</v>
      </c>
      <c r="C755" s="9" t="s">
        <v>29</v>
      </c>
      <c r="D755" s="10">
        <v>293.89999999999998</v>
      </c>
      <c r="E755" s="9" t="s">
        <v>42</v>
      </c>
      <c r="F755" s="9" t="s">
        <v>30</v>
      </c>
      <c r="G755" s="9" t="str">
        <f t="shared" si="55"/>
        <v>Low Averg</v>
      </c>
      <c r="H755" s="11">
        <f t="shared" si="56"/>
        <v>304.90820512820511</v>
      </c>
      <c r="I755" s="9">
        <f t="shared" si="57"/>
        <v>39</v>
      </c>
      <c r="J755" s="12">
        <f>DATE(2025, MATCH(E755, {"January","February","March","April","May","June","July","August","September","October","November","December"},0),1)</f>
        <v>45658</v>
      </c>
      <c r="K755" s="13">
        <f t="shared" si="58"/>
        <v>11462.099999999999</v>
      </c>
      <c r="L755" s="13">
        <v>336.93106603074398</v>
      </c>
      <c r="M755" s="14">
        <f t="shared" si="59"/>
        <v>-3.2671980229928302E-2</v>
      </c>
    </row>
    <row r="756" spans="1:13" ht="15.5" x14ac:dyDescent="0.35">
      <c r="A756" s="8" t="s">
        <v>77</v>
      </c>
      <c r="B756" s="9" t="s">
        <v>14</v>
      </c>
      <c r="C756" s="9" t="s">
        <v>49</v>
      </c>
      <c r="D756" s="10">
        <v>222.11</v>
      </c>
      <c r="E756" s="9" t="s">
        <v>72</v>
      </c>
      <c r="F756" s="9" t="s">
        <v>36</v>
      </c>
      <c r="G756" s="9" t="str">
        <f t="shared" si="55"/>
        <v>Low Averg</v>
      </c>
      <c r="H756" s="11">
        <f t="shared" si="56"/>
        <v>226.49633333333335</v>
      </c>
      <c r="I756" s="9">
        <f t="shared" si="57"/>
        <v>30</v>
      </c>
      <c r="J756" s="12">
        <f>DATE(2025, MATCH(E756, {"January","February","March","April","May","June","July","August","September","October","November","December"},0),1)</f>
        <v>45901</v>
      </c>
      <c r="K756" s="13">
        <f t="shared" si="58"/>
        <v>6663.3</v>
      </c>
      <c r="L756" s="13">
        <v>337.392841400772</v>
      </c>
      <c r="M756" s="14">
        <f t="shared" si="59"/>
        <v>-1.3000671013416776E-2</v>
      </c>
    </row>
    <row r="757" spans="1:13" ht="15.5" x14ac:dyDescent="0.35">
      <c r="A757" s="8" t="s">
        <v>22</v>
      </c>
      <c r="B757" s="9" t="s">
        <v>23</v>
      </c>
      <c r="C757" s="9" t="s">
        <v>69</v>
      </c>
      <c r="D757" s="10">
        <v>236.08</v>
      </c>
      <c r="E757" s="9" t="s">
        <v>42</v>
      </c>
      <c r="F757" s="9" t="s">
        <v>40</v>
      </c>
      <c r="G757" s="9" t="str">
        <f t="shared" si="55"/>
        <v>Low Averg</v>
      </c>
      <c r="H757" s="11">
        <f t="shared" si="56"/>
        <v>257.40029411764709</v>
      </c>
      <c r="I757" s="9">
        <f t="shared" si="57"/>
        <v>34</v>
      </c>
      <c r="J757" s="12">
        <f>DATE(2025, MATCH(E757, {"January","February","March","April","May","June","July","August","September","October","November","December"},0),1)</f>
        <v>45658</v>
      </c>
      <c r="K757" s="13">
        <f t="shared" si="58"/>
        <v>8026.72</v>
      </c>
      <c r="L757" s="13">
        <v>337.79502231720699</v>
      </c>
      <c r="M757" s="14">
        <f t="shared" si="59"/>
        <v>-6.3116069536472391E-2</v>
      </c>
    </row>
    <row r="758" spans="1:13" ht="15.5" x14ac:dyDescent="0.35">
      <c r="A758" s="8" t="s">
        <v>83</v>
      </c>
      <c r="B758" s="9" t="s">
        <v>23</v>
      </c>
      <c r="C758" s="9" t="s">
        <v>45</v>
      </c>
      <c r="D758" s="10">
        <v>129.88999999999999</v>
      </c>
      <c r="E758" s="9" t="s">
        <v>62</v>
      </c>
      <c r="F758" s="9" t="s">
        <v>36</v>
      </c>
      <c r="G758" s="9" t="str">
        <f t="shared" si="55"/>
        <v>Low Averg</v>
      </c>
      <c r="H758" s="11">
        <f t="shared" si="56"/>
        <v>132.90272727272728</v>
      </c>
      <c r="I758" s="9">
        <f t="shared" si="57"/>
        <v>22</v>
      </c>
      <c r="J758" s="12">
        <f>DATE(2025, MATCH(E758, {"January","February","March","April","May","June","July","August","September","October","November","December"},0),1)</f>
        <v>45689</v>
      </c>
      <c r="K758" s="13">
        <f t="shared" si="58"/>
        <v>2857.58</v>
      </c>
      <c r="L758" s="13">
        <v>338.21403592574802</v>
      </c>
      <c r="M758" s="14">
        <f t="shared" si="59"/>
        <v>-8.9077535309288816E-3</v>
      </c>
    </row>
    <row r="759" spans="1:13" ht="15.5" x14ac:dyDescent="0.35">
      <c r="A759" s="8" t="s">
        <v>64</v>
      </c>
      <c r="B759" s="9" t="s">
        <v>60</v>
      </c>
      <c r="C759" s="9" t="s">
        <v>61</v>
      </c>
      <c r="D759" s="10">
        <v>255.05</v>
      </c>
      <c r="E759" s="9" t="s">
        <v>35</v>
      </c>
      <c r="F759" s="9" t="s">
        <v>40</v>
      </c>
      <c r="G759" s="9" t="str">
        <f t="shared" si="55"/>
        <v>Low Averg</v>
      </c>
      <c r="H759" s="11">
        <f t="shared" si="56"/>
        <v>249.29749999999999</v>
      </c>
      <c r="I759" s="9">
        <f t="shared" si="57"/>
        <v>32</v>
      </c>
      <c r="J759" s="12">
        <f>DATE(2025, MATCH(E759, {"January","February","March","April","May","June","July","August","September","October","November","December"},0),1)</f>
        <v>45778</v>
      </c>
      <c r="K759" s="13">
        <f t="shared" si="58"/>
        <v>8161.6</v>
      </c>
      <c r="L759" s="13">
        <v>338.474793873583</v>
      </c>
      <c r="M759" s="14">
        <f t="shared" si="59"/>
        <v>1.699535712590914E-2</v>
      </c>
    </row>
    <row r="760" spans="1:13" ht="15.5" x14ac:dyDescent="0.35">
      <c r="A760" s="8" t="s">
        <v>31</v>
      </c>
      <c r="B760" s="9" t="s">
        <v>32</v>
      </c>
      <c r="C760" s="9" t="s">
        <v>15</v>
      </c>
      <c r="D760" s="10">
        <v>129.84</v>
      </c>
      <c r="E760" s="9" t="s">
        <v>35</v>
      </c>
      <c r="F760" s="9" t="s">
        <v>36</v>
      </c>
      <c r="G760" s="9" t="str">
        <f t="shared" si="55"/>
        <v>Low Averg</v>
      </c>
      <c r="H760" s="11">
        <f t="shared" si="56"/>
        <v>123.43305555555558</v>
      </c>
      <c r="I760" s="9">
        <f t="shared" si="57"/>
        <v>36</v>
      </c>
      <c r="J760" s="12">
        <f>DATE(2025, MATCH(E760, {"January","February","March","April","May","June","July","August","September","October","November","December"},0),1)</f>
        <v>45778</v>
      </c>
      <c r="K760" s="13">
        <f t="shared" si="58"/>
        <v>4674.24</v>
      </c>
      <c r="L760" s="13">
        <v>338.91483914053401</v>
      </c>
      <c r="M760" s="14">
        <f t="shared" si="59"/>
        <v>1.8904290118107587E-2</v>
      </c>
    </row>
    <row r="761" spans="1:13" ht="15.5" x14ac:dyDescent="0.35">
      <c r="A761" s="8" t="s">
        <v>83</v>
      </c>
      <c r="B761" s="9" t="s">
        <v>23</v>
      </c>
      <c r="C761" s="9" t="s">
        <v>45</v>
      </c>
      <c r="D761" s="10">
        <v>144.54</v>
      </c>
      <c r="E761" s="9" t="s">
        <v>21</v>
      </c>
      <c r="F761" s="9" t="s">
        <v>30</v>
      </c>
      <c r="G761" s="9" t="str">
        <f t="shared" si="55"/>
        <v>Low Averg</v>
      </c>
      <c r="H761" s="11">
        <f t="shared" si="56"/>
        <v>132.90272727272728</v>
      </c>
      <c r="I761" s="9">
        <f t="shared" si="57"/>
        <v>22</v>
      </c>
      <c r="J761" s="12">
        <f>DATE(2025, MATCH(E761, {"January","February","March","April","May","June","July","August","September","October","November","December"},0),1)</f>
        <v>45748</v>
      </c>
      <c r="K761" s="13">
        <f t="shared" si="58"/>
        <v>3179.8799999999997</v>
      </c>
      <c r="L761" s="13">
        <v>339.17658907370901</v>
      </c>
      <c r="M761" s="14">
        <f t="shared" si="59"/>
        <v>3.4310365461997533E-2</v>
      </c>
    </row>
    <row r="762" spans="1:13" ht="15.5" x14ac:dyDescent="0.35">
      <c r="A762" s="8" t="s">
        <v>51</v>
      </c>
      <c r="B762" s="9" t="s">
        <v>28</v>
      </c>
      <c r="C762" s="9" t="s">
        <v>24</v>
      </c>
      <c r="D762" s="10">
        <v>113.03</v>
      </c>
      <c r="E762" s="9" t="s">
        <v>39</v>
      </c>
      <c r="F762" s="9" t="s">
        <v>36</v>
      </c>
      <c r="G762" s="9" t="str">
        <f t="shared" si="55"/>
        <v>Low Averg</v>
      </c>
      <c r="H762" s="11">
        <f t="shared" si="56"/>
        <v>122.0377142857143</v>
      </c>
      <c r="I762" s="9">
        <f t="shared" si="57"/>
        <v>35</v>
      </c>
      <c r="J762" s="12">
        <f>DATE(2025, MATCH(E762, {"January","February","March","April","May","June","July","August","September","October","November","December"},0),1)</f>
        <v>45992</v>
      </c>
      <c r="K762" s="13">
        <f t="shared" si="58"/>
        <v>3956.05</v>
      </c>
      <c r="L762" s="13">
        <v>339.46655429515801</v>
      </c>
      <c r="M762" s="14">
        <f t="shared" si="59"/>
        <v>-2.653490946823088E-2</v>
      </c>
    </row>
    <row r="763" spans="1:13" ht="15.5" x14ac:dyDescent="0.35">
      <c r="A763" s="8" t="s">
        <v>56</v>
      </c>
      <c r="B763" s="9" t="s">
        <v>19</v>
      </c>
      <c r="C763" s="9" t="s">
        <v>61</v>
      </c>
      <c r="D763" s="10">
        <v>515.49</v>
      </c>
      <c r="E763" s="9" t="s">
        <v>42</v>
      </c>
      <c r="F763" s="9" t="s">
        <v>30</v>
      </c>
      <c r="G763" s="9" t="str">
        <f t="shared" si="55"/>
        <v>Above Averg</v>
      </c>
      <c r="H763" s="11">
        <f t="shared" si="56"/>
        <v>533.4588235294118</v>
      </c>
      <c r="I763" s="9">
        <f t="shared" si="57"/>
        <v>34</v>
      </c>
      <c r="J763" s="12">
        <f>DATE(2025, MATCH(E763, {"January","February","March","April","May","June","July","August","September","October","November","December"},0),1)</f>
        <v>45658</v>
      </c>
      <c r="K763" s="13">
        <f t="shared" si="58"/>
        <v>17526.66</v>
      </c>
      <c r="L763" s="13">
        <v>339.69372444043103</v>
      </c>
      <c r="M763" s="14">
        <f t="shared" si="59"/>
        <v>-5.2897131258492887E-2</v>
      </c>
    </row>
    <row r="764" spans="1:13" ht="15.5" x14ac:dyDescent="0.35">
      <c r="A764" s="8" t="s">
        <v>74</v>
      </c>
      <c r="B764" s="9" t="s">
        <v>38</v>
      </c>
      <c r="C764" s="9" t="s">
        <v>43</v>
      </c>
      <c r="D764" s="10">
        <v>349.01</v>
      </c>
      <c r="E764" s="9" t="s">
        <v>62</v>
      </c>
      <c r="F764" s="9" t="s">
        <v>26</v>
      </c>
      <c r="G764" s="9" t="str">
        <f t="shared" si="55"/>
        <v>Low Averg</v>
      </c>
      <c r="H764" s="11">
        <f t="shared" si="56"/>
        <v>368.73933333333326</v>
      </c>
      <c r="I764" s="9">
        <f t="shared" si="57"/>
        <v>30</v>
      </c>
      <c r="J764" s="12">
        <f>DATE(2025, MATCH(E764, {"January","February","March","April","May","June","July","August","September","October","November","December"},0),1)</f>
        <v>45689</v>
      </c>
      <c r="K764" s="13">
        <f t="shared" si="58"/>
        <v>10470.299999999999</v>
      </c>
      <c r="L764" s="13">
        <v>340.08822778859002</v>
      </c>
      <c r="M764" s="14">
        <f t="shared" si="59"/>
        <v>-5.8012397140655141E-2</v>
      </c>
    </row>
    <row r="765" spans="1:13" ht="15.5" x14ac:dyDescent="0.35">
      <c r="A765" s="8" t="s">
        <v>13</v>
      </c>
      <c r="B765" s="9" t="s">
        <v>14</v>
      </c>
      <c r="C765" s="9" t="s">
        <v>43</v>
      </c>
      <c r="D765" s="10">
        <v>226.12</v>
      </c>
      <c r="E765" s="9" t="s">
        <v>16</v>
      </c>
      <c r="F765" s="9" t="s">
        <v>36</v>
      </c>
      <c r="G765" s="9" t="str">
        <f t="shared" si="55"/>
        <v>Low Averg</v>
      </c>
      <c r="H765" s="11">
        <f t="shared" si="56"/>
        <v>206.78702702702708</v>
      </c>
      <c r="I765" s="9">
        <f t="shared" si="57"/>
        <v>37</v>
      </c>
      <c r="J765" s="12">
        <f>DATE(2025, MATCH(E765, {"January","February","March","April","May","June","July","August","September","October","November","December"},0),1)</f>
        <v>45809</v>
      </c>
      <c r="K765" s="13">
        <f t="shared" si="58"/>
        <v>8366.44</v>
      </c>
      <c r="L765" s="13">
        <v>340.58431256610498</v>
      </c>
      <c r="M765" s="14">
        <f t="shared" si="59"/>
        <v>5.6764132285806713E-2</v>
      </c>
    </row>
    <row r="766" spans="1:13" ht="15.5" x14ac:dyDescent="0.35">
      <c r="A766" s="8" t="s">
        <v>64</v>
      </c>
      <c r="B766" s="9" t="s">
        <v>60</v>
      </c>
      <c r="C766" s="9" t="s">
        <v>20</v>
      </c>
      <c r="D766" s="10">
        <v>270.45</v>
      </c>
      <c r="E766" s="9" t="s">
        <v>57</v>
      </c>
      <c r="F766" s="9" t="s">
        <v>36</v>
      </c>
      <c r="G766" s="9" t="str">
        <f t="shared" si="55"/>
        <v>Low Averg</v>
      </c>
      <c r="H766" s="11">
        <f t="shared" si="56"/>
        <v>249.29749999999999</v>
      </c>
      <c r="I766" s="9">
        <f t="shared" si="57"/>
        <v>32</v>
      </c>
      <c r="J766" s="12">
        <f>DATE(2025, MATCH(E766, {"January","February","March","April","May","June","July","August","September","October","November","December"},0),1)</f>
        <v>45839</v>
      </c>
      <c r="K766" s="13">
        <f t="shared" si="58"/>
        <v>8654.4</v>
      </c>
      <c r="L766" s="13">
        <v>341.00335849173001</v>
      </c>
      <c r="M766" s="14">
        <f t="shared" si="59"/>
        <v>6.2030180856746581E-2</v>
      </c>
    </row>
    <row r="767" spans="1:13" ht="15.5" x14ac:dyDescent="0.35">
      <c r="A767" s="8" t="s">
        <v>44</v>
      </c>
      <c r="B767" s="9" t="s">
        <v>23</v>
      </c>
      <c r="C767" s="9" t="s">
        <v>15</v>
      </c>
      <c r="D767" s="10">
        <v>197.31</v>
      </c>
      <c r="E767" s="9" t="s">
        <v>42</v>
      </c>
      <c r="F767" s="9" t="s">
        <v>36</v>
      </c>
      <c r="G767" s="9" t="str">
        <f t="shared" si="55"/>
        <v>Low Averg</v>
      </c>
      <c r="H767" s="11">
        <f t="shared" si="56"/>
        <v>206.14838709677423</v>
      </c>
      <c r="I767" s="9">
        <f t="shared" si="57"/>
        <v>31</v>
      </c>
      <c r="J767" s="12">
        <f>DATE(2025, MATCH(E767, {"January","February","March","April","May","June","July","August","September","October","November","December"},0),1)</f>
        <v>45658</v>
      </c>
      <c r="K767" s="13">
        <f t="shared" si="58"/>
        <v>6116.61</v>
      </c>
      <c r="L767" s="13">
        <v>341.46770234056902</v>
      </c>
      <c r="M767" s="14">
        <f t="shared" si="59"/>
        <v>-2.5883522910635632E-2</v>
      </c>
    </row>
    <row r="768" spans="1:13" ht="15.5" x14ac:dyDescent="0.35">
      <c r="A768" s="8" t="s">
        <v>70</v>
      </c>
      <c r="B768" s="9" t="s">
        <v>71</v>
      </c>
      <c r="C768" s="9" t="s">
        <v>24</v>
      </c>
      <c r="D768" s="10">
        <v>907.25</v>
      </c>
      <c r="E768" s="9" t="s">
        <v>55</v>
      </c>
      <c r="F768" s="9" t="s">
        <v>26</v>
      </c>
      <c r="G768" s="9" t="str">
        <f t="shared" si="55"/>
        <v>Above Averg</v>
      </c>
      <c r="H768" s="11">
        <f t="shared" si="56"/>
        <v>911.5772916666665</v>
      </c>
      <c r="I768" s="9">
        <f t="shared" si="57"/>
        <v>48</v>
      </c>
      <c r="J768" s="12">
        <f>DATE(2025, MATCH(E768, {"January","February","March","April","May","June","July","August","September","October","November","December"},0),1)</f>
        <v>45962</v>
      </c>
      <c r="K768" s="13">
        <f t="shared" si="58"/>
        <v>43548</v>
      </c>
      <c r="L768" s="13">
        <v>341.85222416295699</v>
      </c>
      <c r="M768" s="14">
        <f t="shared" si="59"/>
        <v>-1.2658369204009413E-2</v>
      </c>
    </row>
    <row r="769" spans="1:13" ht="15.5" x14ac:dyDescent="0.35">
      <c r="A769" s="8" t="s">
        <v>77</v>
      </c>
      <c r="B769" s="9" t="s">
        <v>14</v>
      </c>
      <c r="C769" s="9" t="s">
        <v>43</v>
      </c>
      <c r="D769" s="10">
        <v>215.45</v>
      </c>
      <c r="E769" s="9" t="s">
        <v>16</v>
      </c>
      <c r="F769" s="9" t="s">
        <v>36</v>
      </c>
      <c r="G769" s="9" t="str">
        <f t="shared" si="55"/>
        <v>Low Averg</v>
      </c>
      <c r="H769" s="11">
        <f t="shared" si="56"/>
        <v>226.49633333333335</v>
      </c>
      <c r="I769" s="9">
        <f t="shared" si="57"/>
        <v>30</v>
      </c>
      <c r="J769" s="12">
        <f>DATE(2025, MATCH(E769, {"January","February","March","April","May","June","July","August","September","October","November","December"},0),1)</f>
        <v>45809</v>
      </c>
      <c r="K769" s="13">
        <f t="shared" si="58"/>
        <v>6463.5</v>
      </c>
      <c r="L769" s="13">
        <v>341.07368934721097</v>
      </c>
      <c r="M769" s="14">
        <f t="shared" si="59"/>
        <v>-3.2386940647562715E-2</v>
      </c>
    </row>
    <row r="770" spans="1:13" ht="15.5" x14ac:dyDescent="0.35">
      <c r="A770" s="8" t="s">
        <v>53</v>
      </c>
      <c r="B770" s="9" t="s">
        <v>54</v>
      </c>
      <c r="C770" s="9" t="s">
        <v>49</v>
      </c>
      <c r="D770" s="10">
        <v>793.31</v>
      </c>
      <c r="E770" s="9" t="s">
        <v>55</v>
      </c>
      <c r="F770" s="9" t="s">
        <v>17</v>
      </c>
      <c r="G770" s="9" t="str">
        <f t="shared" si="55"/>
        <v>Above Averg</v>
      </c>
      <c r="H770" s="11">
        <f t="shared" si="56"/>
        <v>810.77454545454566</v>
      </c>
      <c r="I770" s="9">
        <f t="shared" si="57"/>
        <v>33</v>
      </c>
      <c r="J770" s="12">
        <f>DATE(2025, MATCH(E770, {"January","February","March","April","May","June","July","August","September","October","November","December"},0),1)</f>
        <v>45962</v>
      </c>
      <c r="K770" s="13">
        <f t="shared" si="58"/>
        <v>26179.23</v>
      </c>
      <c r="L770" s="13">
        <v>341.48595689439799</v>
      </c>
      <c r="M770" s="14">
        <f t="shared" si="59"/>
        <v>-5.1142792556902995E-2</v>
      </c>
    </row>
    <row r="771" spans="1:13" ht="15.5" x14ac:dyDescent="0.35">
      <c r="A771" s="8" t="s">
        <v>73</v>
      </c>
      <c r="B771" s="9" t="s">
        <v>54</v>
      </c>
      <c r="C771" s="9" t="s">
        <v>43</v>
      </c>
      <c r="D771" s="10">
        <v>42.26</v>
      </c>
      <c r="E771" s="9" t="s">
        <v>39</v>
      </c>
      <c r="F771" s="9" t="s">
        <v>36</v>
      </c>
      <c r="G771" s="9" t="str">
        <f t="shared" si="55"/>
        <v>Low Averg</v>
      </c>
      <c r="H771" s="11">
        <f t="shared" si="56"/>
        <v>40.881379310344826</v>
      </c>
      <c r="I771" s="9">
        <f t="shared" si="57"/>
        <v>29</v>
      </c>
      <c r="J771" s="12">
        <f>DATE(2025, MATCH(E771, {"January","February","March","April","May","June","July","August","September","October","November","December"},0),1)</f>
        <v>45992</v>
      </c>
      <c r="K771" s="13">
        <f t="shared" si="58"/>
        <v>1225.54</v>
      </c>
      <c r="L771" s="13">
        <v>341.182042227247</v>
      </c>
      <c r="M771" s="14">
        <f t="shared" si="59"/>
        <v>4.0407187923945029E-3</v>
      </c>
    </row>
    <row r="772" spans="1:13" ht="15.5" x14ac:dyDescent="0.35">
      <c r="A772" s="8" t="s">
        <v>48</v>
      </c>
      <c r="B772" s="9" t="s">
        <v>19</v>
      </c>
      <c r="C772" s="9" t="s">
        <v>49</v>
      </c>
      <c r="D772" s="10">
        <v>1304.8599999999999</v>
      </c>
      <c r="E772" s="9" t="s">
        <v>46</v>
      </c>
      <c r="F772" s="9" t="s">
        <v>26</v>
      </c>
      <c r="G772" s="9" t="str">
        <f t="shared" si="55"/>
        <v>Above Averg</v>
      </c>
      <c r="H772" s="11">
        <f t="shared" si="56"/>
        <v>1235.856</v>
      </c>
      <c r="I772" s="9">
        <f t="shared" si="57"/>
        <v>25</v>
      </c>
      <c r="J772" s="12">
        <f>DATE(2025, MATCH(E772, {"January","February","March","April","May","June","July","August","September","October","November","December"},0),1)</f>
        <v>45870</v>
      </c>
      <c r="K772" s="13">
        <f t="shared" si="58"/>
        <v>32621.499999999996</v>
      </c>
      <c r="L772" s="13">
        <v>341.24545130553099</v>
      </c>
      <c r="M772" s="14">
        <f t="shared" si="59"/>
        <v>0.20221221919883645</v>
      </c>
    </row>
    <row r="773" spans="1:13" ht="15.5" x14ac:dyDescent="0.35">
      <c r="A773" s="8" t="s">
        <v>59</v>
      </c>
      <c r="B773" s="9" t="s">
        <v>60</v>
      </c>
      <c r="C773" s="9" t="s">
        <v>49</v>
      </c>
      <c r="D773" s="10">
        <v>223.89</v>
      </c>
      <c r="E773" s="9" t="s">
        <v>25</v>
      </c>
      <c r="F773" s="9" t="s">
        <v>26</v>
      </c>
      <c r="G773" s="9" t="str">
        <f t="shared" si="55"/>
        <v>Low Averg</v>
      </c>
      <c r="H773" s="11">
        <f t="shared" si="56"/>
        <v>203.25225806451613</v>
      </c>
      <c r="I773" s="9">
        <f t="shared" si="57"/>
        <v>31</v>
      </c>
      <c r="J773" s="12">
        <f>DATE(2025, MATCH(E773, {"January","February","March","April","May","June","July","August","September","October","November","December"},0),1)</f>
        <v>45931</v>
      </c>
      <c r="K773" s="13">
        <f t="shared" si="58"/>
        <v>6940.5899999999992</v>
      </c>
      <c r="L773" s="13">
        <v>337.82738246148301</v>
      </c>
      <c r="M773" s="14">
        <f t="shared" si="59"/>
        <v>6.1089606724928067E-2</v>
      </c>
    </row>
    <row r="774" spans="1:13" ht="15.5" x14ac:dyDescent="0.35">
      <c r="A774" s="8" t="s">
        <v>73</v>
      </c>
      <c r="B774" s="9" t="s">
        <v>54</v>
      </c>
      <c r="C774" s="9" t="s">
        <v>45</v>
      </c>
      <c r="D774" s="10">
        <v>37.06</v>
      </c>
      <c r="E774" s="9" t="s">
        <v>72</v>
      </c>
      <c r="F774" s="9" t="s">
        <v>17</v>
      </c>
      <c r="G774" s="9" t="str">
        <f t="shared" si="55"/>
        <v>Low Averg</v>
      </c>
      <c r="H774" s="11">
        <f t="shared" si="56"/>
        <v>40.881379310344826</v>
      </c>
      <c r="I774" s="9">
        <f t="shared" si="57"/>
        <v>29</v>
      </c>
      <c r="J774" s="12">
        <f>DATE(2025, MATCH(E774, {"January","February","March","April","May","June","July","August","September","October","November","December"},0),1)</f>
        <v>45901</v>
      </c>
      <c r="K774" s="13">
        <f t="shared" si="58"/>
        <v>1074.74</v>
      </c>
      <c r="L774" s="13">
        <v>338.252802199499</v>
      </c>
      <c r="M774" s="14">
        <f t="shared" si="59"/>
        <v>-1.1297406216581771E-2</v>
      </c>
    </row>
    <row r="775" spans="1:13" ht="15.5" x14ac:dyDescent="0.35">
      <c r="A775" s="8" t="s">
        <v>18</v>
      </c>
      <c r="B775" s="9" t="s">
        <v>19</v>
      </c>
      <c r="C775" s="9" t="s">
        <v>20</v>
      </c>
      <c r="D775" s="10">
        <v>1006.84</v>
      </c>
      <c r="E775" s="9" t="s">
        <v>21</v>
      </c>
      <c r="F775" s="9" t="s">
        <v>36</v>
      </c>
      <c r="G775" s="9" t="str">
        <f t="shared" si="55"/>
        <v>Above Averg</v>
      </c>
      <c r="H775" s="11">
        <f t="shared" si="56"/>
        <v>920.12567567567555</v>
      </c>
      <c r="I775" s="9">
        <f t="shared" si="57"/>
        <v>37</v>
      </c>
      <c r="J775" s="12">
        <f>DATE(2025, MATCH(E775, {"January","February","March","April","May","June","July","August","September","October","November","December"},0),1)</f>
        <v>45748</v>
      </c>
      <c r="K775" s="13">
        <f t="shared" si="58"/>
        <v>37253.08</v>
      </c>
      <c r="L775" s="13">
        <v>338.29776056659898</v>
      </c>
      <c r="M775" s="14">
        <f t="shared" si="59"/>
        <v>0.25632544590035339</v>
      </c>
    </row>
    <row r="776" spans="1:13" ht="15.5" x14ac:dyDescent="0.35">
      <c r="A776" s="8" t="s">
        <v>77</v>
      </c>
      <c r="B776" s="9" t="s">
        <v>14</v>
      </c>
      <c r="C776" s="9" t="s">
        <v>69</v>
      </c>
      <c r="D776" s="10">
        <v>236.84</v>
      </c>
      <c r="E776" s="9" t="s">
        <v>46</v>
      </c>
      <c r="F776" s="9" t="s">
        <v>36</v>
      </c>
      <c r="G776" s="9" t="str">
        <f t="shared" ref="G776:G839" si="60">IF(D776&gt;AVERAGE(D:D),"Above Averg","Low Averg")</f>
        <v>Low Averg</v>
      </c>
      <c r="H776" s="11">
        <f t="shared" ref="H776:H839" si="61">AVERAGEIF(A:A,A776,D:D)</f>
        <v>226.49633333333335</v>
      </c>
      <c r="I776" s="9">
        <f t="shared" ref="I776:I839" si="62">COUNTIF(A:A,A776)</f>
        <v>30</v>
      </c>
      <c r="J776" s="12">
        <f>DATE(2025, MATCH(E776, {"January","February","March","April","May","June","July","August","September","October","November","December"},0),1)</f>
        <v>45870</v>
      </c>
      <c r="K776" s="13">
        <f t="shared" ref="K776:K839" si="63">1*(D776*I776)</f>
        <v>7105.2</v>
      </c>
      <c r="L776" s="13">
        <v>336.93519936600399</v>
      </c>
      <c r="M776" s="14">
        <f t="shared" ref="M776:M839" si="64">(D776-H776)/L776</f>
        <v>3.0699275962054035E-2</v>
      </c>
    </row>
    <row r="777" spans="1:13" ht="15.5" x14ac:dyDescent="0.35">
      <c r="A777" s="8" t="s">
        <v>27</v>
      </c>
      <c r="B777" s="9" t="s">
        <v>28</v>
      </c>
      <c r="C777" s="9" t="s">
        <v>61</v>
      </c>
      <c r="D777" s="10">
        <v>105.97</v>
      </c>
      <c r="E777" s="9" t="s">
        <v>55</v>
      </c>
      <c r="F777" s="9" t="s">
        <v>26</v>
      </c>
      <c r="G777" s="9" t="str">
        <f t="shared" si="60"/>
        <v>Low Averg</v>
      </c>
      <c r="H777" s="11">
        <f t="shared" si="61"/>
        <v>113.26108695652174</v>
      </c>
      <c r="I777" s="9">
        <f t="shared" si="62"/>
        <v>46</v>
      </c>
      <c r="J777" s="12">
        <f>DATE(2025, MATCH(E777, {"January","February","March","April","May","June","July","August","September","October","November","December"},0),1)</f>
        <v>45962</v>
      </c>
      <c r="K777" s="13">
        <f t="shared" si="63"/>
        <v>4874.62</v>
      </c>
      <c r="L777" s="13">
        <v>337.37856923597099</v>
      </c>
      <c r="M777" s="14">
        <f t="shared" si="64"/>
        <v>-2.1610996137167712E-2</v>
      </c>
    </row>
    <row r="778" spans="1:13" ht="15.5" x14ac:dyDescent="0.35">
      <c r="A778" s="8" t="s">
        <v>65</v>
      </c>
      <c r="B778" s="9" t="s">
        <v>23</v>
      </c>
      <c r="C778" s="9" t="s">
        <v>24</v>
      </c>
      <c r="D778" s="10">
        <v>151.78</v>
      </c>
      <c r="E778" s="9" t="s">
        <v>39</v>
      </c>
      <c r="F778" s="9" t="s">
        <v>17</v>
      </c>
      <c r="G778" s="9" t="str">
        <f t="shared" si="60"/>
        <v>Low Averg</v>
      </c>
      <c r="H778" s="11">
        <f t="shared" si="61"/>
        <v>151.26457142857143</v>
      </c>
      <c r="I778" s="9">
        <f t="shared" si="62"/>
        <v>35</v>
      </c>
      <c r="J778" s="12">
        <f>DATE(2025, MATCH(E778, {"January","February","March","April","May","June","July","August","September","October","November","December"},0),1)</f>
        <v>45992</v>
      </c>
      <c r="K778" s="13">
        <f t="shared" si="63"/>
        <v>5312.3</v>
      </c>
      <c r="L778" s="13">
        <v>337.60207331868298</v>
      </c>
      <c r="M778" s="14">
        <f t="shared" si="64"/>
        <v>1.5267340225781963E-3</v>
      </c>
    </row>
    <row r="779" spans="1:13" ht="15.5" x14ac:dyDescent="0.35">
      <c r="A779" s="8" t="s">
        <v>75</v>
      </c>
      <c r="B779" s="9" t="s">
        <v>28</v>
      </c>
      <c r="C779" s="9" t="s">
        <v>34</v>
      </c>
      <c r="D779" s="10">
        <v>122.12</v>
      </c>
      <c r="E779" s="9" t="s">
        <v>55</v>
      </c>
      <c r="F779" s="9" t="s">
        <v>40</v>
      </c>
      <c r="G779" s="9" t="str">
        <f t="shared" si="60"/>
        <v>Low Averg</v>
      </c>
      <c r="H779" s="11">
        <f t="shared" si="61"/>
        <v>120.53625</v>
      </c>
      <c r="I779" s="9">
        <f t="shared" si="62"/>
        <v>24</v>
      </c>
      <c r="J779" s="12">
        <f>DATE(2025, MATCH(E779, {"January","February","March","April","May","June","July","August","September","October","November","December"},0),1)</f>
        <v>45962</v>
      </c>
      <c r="K779" s="13">
        <f t="shared" si="63"/>
        <v>2930.88</v>
      </c>
      <c r="L779" s="13">
        <v>337.92074050052503</v>
      </c>
      <c r="M779" s="14">
        <f t="shared" si="64"/>
        <v>4.6867499096213319E-3</v>
      </c>
    </row>
    <row r="780" spans="1:13" ht="15.5" x14ac:dyDescent="0.35">
      <c r="A780" s="8" t="s">
        <v>68</v>
      </c>
      <c r="B780" s="9" t="s">
        <v>28</v>
      </c>
      <c r="C780" s="9" t="s">
        <v>61</v>
      </c>
      <c r="D780" s="10">
        <v>105.27</v>
      </c>
      <c r="E780" s="9" t="s">
        <v>16</v>
      </c>
      <c r="F780" s="9" t="s">
        <v>36</v>
      </c>
      <c r="G780" s="9" t="str">
        <f t="shared" si="60"/>
        <v>Low Averg</v>
      </c>
      <c r="H780" s="11">
        <f t="shared" si="61"/>
        <v>102.25285714285715</v>
      </c>
      <c r="I780" s="9">
        <f t="shared" si="62"/>
        <v>28</v>
      </c>
      <c r="J780" s="12">
        <f>DATE(2025, MATCH(E780, {"January","February","March","April","May","June","July","August","September","October","November","December"},0),1)</f>
        <v>45809</v>
      </c>
      <c r="K780" s="13">
        <f t="shared" si="63"/>
        <v>2947.56</v>
      </c>
      <c r="L780" s="13">
        <v>338.17976406177303</v>
      </c>
      <c r="M780" s="14">
        <f t="shared" si="64"/>
        <v>8.9217131767580348E-3</v>
      </c>
    </row>
    <row r="781" spans="1:13" ht="15.5" x14ac:dyDescent="0.35">
      <c r="A781" s="8" t="s">
        <v>64</v>
      </c>
      <c r="B781" s="9" t="s">
        <v>60</v>
      </c>
      <c r="C781" s="9" t="s">
        <v>43</v>
      </c>
      <c r="D781" s="10">
        <v>274.98</v>
      </c>
      <c r="E781" s="9" t="s">
        <v>57</v>
      </c>
      <c r="F781" s="9" t="s">
        <v>30</v>
      </c>
      <c r="G781" s="9" t="str">
        <f t="shared" si="60"/>
        <v>Low Averg</v>
      </c>
      <c r="H781" s="11">
        <f t="shared" si="61"/>
        <v>249.29749999999999</v>
      </c>
      <c r="I781" s="9">
        <f t="shared" si="62"/>
        <v>32</v>
      </c>
      <c r="J781" s="12">
        <f>DATE(2025, MATCH(E781, {"January","February","March","April","May","June","July","August","September","October","November","December"},0),1)</f>
        <v>45839</v>
      </c>
      <c r="K781" s="13">
        <f t="shared" si="63"/>
        <v>8799.36</v>
      </c>
      <c r="L781" s="13">
        <v>338.400701306683</v>
      </c>
      <c r="M781" s="14">
        <f t="shared" si="64"/>
        <v>7.5893755245869624E-2</v>
      </c>
    </row>
    <row r="782" spans="1:13" ht="15.5" x14ac:dyDescent="0.35">
      <c r="A782" s="8" t="s">
        <v>59</v>
      </c>
      <c r="B782" s="9" t="s">
        <v>60</v>
      </c>
      <c r="C782" s="9" t="s">
        <v>24</v>
      </c>
      <c r="D782" s="10">
        <v>202.35</v>
      </c>
      <c r="E782" s="9" t="s">
        <v>16</v>
      </c>
      <c r="F782" s="9" t="s">
        <v>36</v>
      </c>
      <c r="G782" s="9" t="str">
        <f t="shared" si="60"/>
        <v>Low Averg</v>
      </c>
      <c r="H782" s="11">
        <f t="shared" si="61"/>
        <v>203.25225806451613</v>
      </c>
      <c r="I782" s="9">
        <f t="shared" si="62"/>
        <v>31</v>
      </c>
      <c r="J782" s="12">
        <f>DATE(2025, MATCH(E782, {"January","February","March","April","May","June","July","August","September","October","November","December"},0),1)</f>
        <v>45809</v>
      </c>
      <c r="K782" s="13">
        <f t="shared" si="63"/>
        <v>6272.8499999999995</v>
      </c>
      <c r="L782" s="13">
        <v>338.88655285298802</v>
      </c>
      <c r="M782" s="14">
        <f t="shared" si="64"/>
        <v>-2.6624191987562875E-3</v>
      </c>
    </row>
    <row r="783" spans="1:13" ht="15.5" x14ac:dyDescent="0.35">
      <c r="A783" s="8" t="s">
        <v>37</v>
      </c>
      <c r="B783" s="9" t="s">
        <v>38</v>
      </c>
      <c r="C783" s="9" t="s">
        <v>69</v>
      </c>
      <c r="D783" s="10">
        <v>934.15</v>
      </c>
      <c r="E783" s="9" t="s">
        <v>57</v>
      </c>
      <c r="F783" s="9" t="s">
        <v>40</v>
      </c>
      <c r="G783" s="9" t="str">
        <f t="shared" si="60"/>
        <v>Above Averg</v>
      </c>
      <c r="H783" s="11">
        <f t="shared" si="61"/>
        <v>1024.1451428571424</v>
      </c>
      <c r="I783" s="9">
        <f t="shared" si="62"/>
        <v>35</v>
      </c>
      <c r="J783" s="12">
        <f>DATE(2025, MATCH(E783, {"January","February","March","April","May","June","July","August","September","October","November","December"},0),1)</f>
        <v>45839</v>
      </c>
      <c r="K783" s="13">
        <f t="shared" si="63"/>
        <v>32695.25</v>
      </c>
      <c r="L783" s="13">
        <v>339.29268315585801</v>
      </c>
      <c r="M783" s="14">
        <f t="shared" si="64"/>
        <v>-0.26524339405162523</v>
      </c>
    </row>
    <row r="784" spans="1:13" ht="15.5" x14ac:dyDescent="0.35">
      <c r="A784" s="8" t="s">
        <v>70</v>
      </c>
      <c r="B784" s="9" t="s">
        <v>71</v>
      </c>
      <c r="C784" s="9" t="s">
        <v>24</v>
      </c>
      <c r="D784" s="10">
        <v>865.01</v>
      </c>
      <c r="E784" s="9" t="s">
        <v>63</v>
      </c>
      <c r="F784" s="9" t="s">
        <v>30</v>
      </c>
      <c r="G784" s="9" t="str">
        <f t="shared" si="60"/>
        <v>Above Averg</v>
      </c>
      <c r="H784" s="11">
        <f t="shared" si="61"/>
        <v>911.5772916666665</v>
      </c>
      <c r="I784" s="9">
        <f t="shared" si="62"/>
        <v>48</v>
      </c>
      <c r="J784" s="12">
        <f>DATE(2025, MATCH(E784, {"January","February","March","April","May","June","July","August","September","October","November","December"},0),1)</f>
        <v>45717</v>
      </c>
      <c r="K784" s="13">
        <f t="shared" si="63"/>
        <v>41520.479999999996</v>
      </c>
      <c r="L784" s="13">
        <v>338.32158076747498</v>
      </c>
      <c r="M784" s="14">
        <f t="shared" si="64"/>
        <v>-0.13764209649597178</v>
      </c>
    </row>
    <row r="785" spans="1:13" ht="15.5" x14ac:dyDescent="0.35">
      <c r="A785" s="8" t="s">
        <v>58</v>
      </c>
      <c r="B785" s="9" t="s">
        <v>23</v>
      </c>
      <c r="C785" s="9" t="s">
        <v>29</v>
      </c>
      <c r="D785" s="10">
        <v>126.51</v>
      </c>
      <c r="E785" s="9" t="s">
        <v>57</v>
      </c>
      <c r="F785" s="9" t="s">
        <v>17</v>
      </c>
      <c r="G785" s="9" t="str">
        <f t="shared" si="60"/>
        <v>Low Averg</v>
      </c>
      <c r="H785" s="11">
        <f t="shared" si="61"/>
        <v>121.60903225806452</v>
      </c>
      <c r="I785" s="9">
        <f t="shared" si="62"/>
        <v>31</v>
      </c>
      <c r="J785" s="12">
        <f>DATE(2025, MATCH(E785, {"January","February","March","April","May","June","July","August","September","October","November","December"},0),1)</f>
        <v>45839</v>
      </c>
      <c r="K785" s="13">
        <f t="shared" si="63"/>
        <v>3921.81</v>
      </c>
      <c r="L785" s="13">
        <v>337.67608905422497</v>
      </c>
      <c r="M785" s="14">
        <f t="shared" si="64"/>
        <v>1.4513813387445616E-2</v>
      </c>
    </row>
    <row r="786" spans="1:13" ht="15.5" x14ac:dyDescent="0.35">
      <c r="A786" s="8" t="s">
        <v>53</v>
      </c>
      <c r="B786" s="9" t="s">
        <v>54</v>
      </c>
      <c r="C786" s="9" t="s">
        <v>24</v>
      </c>
      <c r="D786" s="10">
        <v>856.6</v>
      </c>
      <c r="E786" s="9" t="s">
        <v>16</v>
      </c>
      <c r="F786" s="9" t="s">
        <v>40</v>
      </c>
      <c r="G786" s="9" t="str">
        <f t="shared" si="60"/>
        <v>Above Averg</v>
      </c>
      <c r="H786" s="11">
        <f t="shared" si="61"/>
        <v>810.77454545454566</v>
      </c>
      <c r="I786" s="9">
        <f t="shared" si="62"/>
        <v>33</v>
      </c>
      <c r="J786" s="12">
        <f>DATE(2025, MATCH(E786, {"January","February","March","April","May","June","July","August","September","October","November","December"},0),1)</f>
        <v>45809</v>
      </c>
      <c r="K786" s="13">
        <f t="shared" si="63"/>
        <v>28267.8</v>
      </c>
      <c r="L786" s="13">
        <v>337.95123095871003</v>
      </c>
      <c r="M786" s="14">
        <f t="shared" si="64"/>
        <v>0.13559783290463348</v>
      </c>
    </row>
    <row r="787" spans="1:13" ht="15.5" x14ac:dyDescent="0.35">
      <c r="A787" s="8" t="s">
        <v>66</v>
      </c>
      <c r="B787" s="9" t="s">
        <v>32</v>
      </c>
      <c r="C787" s="9" t="s">
        <v>29</v>
      </c>
      <c r="D787" s="10">
        <v>143.66</v>
      </c>
      <c r="E787" s="9" t="s">
        <v>72</v>
      </c>
      <c r="F787" s="9" t="s">
        <v>17</v>
      </c>
      <c r="G787" s="9" t="str">
        <f t="shared" si="60"/>
        <v>Low Averg</v>
      </c>
      <c r="H787" s="11">
        <f t="shared" si="61"/>
        <v>141.74161290322584</v>
      </c>
      <c r="I787" s="9">
        <f t="shared" si="62"/>
        <v>31</v>
      </c>
      <c r="J787" s="12">
        <f>DATE(2025, MATCH(E787, {"January","February","March","April","May","June","July","August","September","October","November","December"},0),1)</f>
        <v>45901</v>
      </c>
      <c r="K787" s="13">
        <f t="shared" si="63"/>
        <v>4453.46</v>
      </c>
      <c r="L787" s="13">
        <v>337.33501538472802</v>
      </c>
      <c r="M787" s="14">
        <f t="shared" si="64"/>
        <v>5.6868899144260137E-3</v>
      </c>
    </row>
    <row r="788" spans="1:13" ht="15.5" x14ac:dyDescent="0.35">
      <c r="A788" s="8" t="s">
        <v>67</v>
      </c>
      <c r="B788" s="9" t="s">
        <v>23</v>
      </c>
      <c r="C788" s="9" t="s">
        <v>69</v>
      </c>
      <c r="D788" s="10">
        <v>234.31</v>
      </c>
      <c r="E788" s="9" t="s">
        <v>16</v>
      </c>
      <c r="F788" s="9" t="s">
        <v>17</v>
      </c>
      <c r="G788" s="9" t="str">
        <f t="shared" si="60"/>
        <v>Low Averg</v>
      </c>
      <c r="H788" s="11">
        <f t="shared" si="61"/>
        <v>226.566129032258</v>
      </c>
      <c r="I788" s="9">
        <f t="shared" si="62"/>
        <v>31</v>
      </c>
      <c r="J788" s="12">
        <f>DATE(2025, MATCH(E788, {"January","February","March","April","May","June","July","August","September","October","November","December"},0),1)</f>
        <v>45809</v>
      </c>
      <c r="K788" s="13">
        <f t="shared" si="63"/>
        <v>7263.61</v>
      </c>
      <c r="L788" s="13">
        <v>337.64855131168599</v>
      </c>
      <c r="M788" s="14">
        <f t="shared" si="64"/>
        <v>2.293470810894601E-2</v>
      </c>
    </row>
    <row r="789" spans="1:13" ht="15.5" x14ac:dyDescent="0.35">
      <c r="A789" s="8" t="s">
        <v>82</v>
      </c>
      <c r="B789" s="9" t="s">
        <v>14</v>
      </c>
      <c r="C789" s="9" t="s">
        <v>61</v>
      </c>
      <c r="D789" s="10">
        <v>974.62</v>
      </c>
      <c r="E789" s="9" t="s">
        <v>63</v>
      </c>
      <c r="F789" s="9" t="s">
        <v>30</v>
      </c>
      <c r="G789" s="9" t="str">
        <f t="shared" si="60"/>
        <v>Above Averg</v>
      </c>
      <c r="H789" s="11">
        <f t="shared" si="61"/>
        <v>905.6025925925926</v>
      </c>
      <c r="I789" s="9">
        <f t="shared" si="62"/>
        <v>27</v>
      </c>
      <c r="J789" s="12">
        <f>DATE(2025, MATCH(E789, {"January","February","March","April","May","June","July","August","September","October","November","December"},0),1)</f>
        <v>45717</v>
      </c>
      <c r="K789" s="13">
        <f t="shared" si="63"/>
        <v>26314.74</v>
      </c>
      <c r="L789" s="13">
        <v>338.10635124282197</v>
      </c>
      <c r="M789" s="14">
        <f t="shared" si="64"/>
        <v>0.20412928403654959</v>
      </c>
    </row>
    <row r="790" spans="1:13" ht="15.5" x14ac:dyDescent="0.35">
      <c r="A790" s="8" t="s">
        <v>51</v>
      </c>
      <c r="B790" s="9" t="s">
        <v>28</v>
      </c>
      <c r="C790" s="9" t="s">
        <v>24</v>
      </c>
      <c r="D790" s="10">
        <v>102.87</v>
      </c>
      <c r="E790" s="9" t="s">
        <v>57</v>
      </c>
      <c r="F790" s="9" t="s">
        <v>30</v>
      </c>
      <c r="G790" s="9" t="str">
        <f t="shared" si="60"/>
        <v>Low Averg</v>
      </c>
      <c r="H790" s="11">
        <f t="shared" si="61"/>
        <v>122.0377142857143</v>
      </c>
      <c r="I790" s="9">
        <f t="shared" si="62"/>
        <v>35</v>
      </c>
      <c r="J790" s="12">
        <f>DATE(2025, MATCH(E790, {"January","February","March","April","May","June","July","August","September","October","November","December"},0),1)</f>
        <v>45839</v>
      </c>
      <c r="K790" s="13">
        <f t="shared" si="63"/>
        <v>3600.4500000000003</v>
      </c>
      <c r="L790" s="13">
        <v>336.86683354171998</v>
      </c>
      <c r="M790" s="14">
        <f t="shared" si="64"/>
        <v>-5.6899974640395791E-2</v>
      </c>
    </row>
    <row r="791" spans="1:13" ht="15.5" x14ac:dyDescent="0.35">
      <c r="A791" s="8" t="s">
        <v>33</v>
      </c>
      <c r="B791" s="9" t="s">
        <v>19</v>
      </c>
      <c r="C791" s="9" t="s">
        <v>24</v>
      </c>
      <c r="D791" s="10">
        <v>1017.77</v>
      </c>
      <c r="E791" s="9" t="s">
        <v>25</v>
      </c>
      <c r="F791" s="9" t="s">
        <v>40</v>
      </c>
      <c r="G791" s="9" t="str">
        <f t="shared" si="60"/>
        <v>Above Averg</v>
      </c>
      <c r="H791" s="11">
        <f t="shared" si="61"/>
        <v>1113.4854166666667</v>
      </c>
      <c r="I791" s="9">
        <f t="shared" si="62"/>
        <v>24</v>
      </c>
      <c r="J791" s="12">
        <f>DATE(2025, MATCH(E791, {"January","February","March","April","May","June","July","August","September","October","November","December"},0),1)</f>
        <v>45931</v>
      </c>
      <c r="K791" s="13">
        <f t="shared" si="63"/>
        <v>24426.48</v>
      </c>
      <c r="L791" s="13">
        <v>337.09405509349699</v>
      </c>
      <c r="M791" s="14">
        <f t="shared" si="64"/>
        <v>-0.28394276084198183</v>
      </c>
    </row>
    <row r="792" spans="1:13" ht="15.5" x14ac:dyDescent="0.35">
      <c r="A792" s="8" t="s">
        <v>68</v>
      </c>
      <c r="B792" s="9" t="s">
        <v>28</v>
      </c>
      <c r="C792" s="9" t="s">
        <v>45</v>
      </c>
      <c r="D792" s="10">
        <v>112.13</v>
      </c>
      <c r="E792" s="9" t="s">
        <v>55</v>
      </c>
      <c r="F792" s="9" t="s">
        <v>30</v>
      </c>
      <c r="G792" s="9" t="str">
        <f t="shared" si="60"/>
        <v>Low Averg</v>
      </c>
      <c r="H792" s="11">
        <f t="shared" si="61"/>
        <v>102.25285714285715</v>
      </c>
      <c r="I792" s="9">
        <f t="shared" si="62"/>
        <v>28</v>
      </c>
      <c r="J792" s="12">
        <f>DATE(2025, MATCH(E792, {"January","February","March","April","May","June","July","August","September","October","November","December"},0),1)</f>
        <v>45962</v>
      </c>
      <c r="K792" s="13">
        <f t="shared" si="63"/>
        <v>3139.64</v>
      </c>
      <c r="L792" s="13">
        <v>335.57194617332402</v>
      </c>
      <c r="M792" s="14">
        <f t="shared" si="64"/>
        <v>2.9433756217634669E-2</v>
      </c>
    </row>
    <row r="793" spans="1:13" ht="15.5" x14ac:dyDescent="0.35">
      <c r="A793" s="8" t="s">
        <v>31</v>
      </c>
      <c r="B793" s="9" t="s">
        <v>32</v>
      </c>
      <c r="C793" s="9" t="s">
        <v>61</v>
      </c>
      <c r="D793" s="10">
        <v>131.96</v>
      </c>
      <c r="E793" s="9" t="s">
        <v>16</v>
      </c>
      <c r="F793" s="9" t="s">
        <v>26</v>
      </c>
      <c r="G793" s="9" t="str">
        <f t="shared" si="60"/>
        <v>Low Averg</v>
      </c>
      <c r="H793" s="11">
        <f t="shared" si="61"/>
        <v>123.43305555555558</v>
      </c>
      <c r="I793" s="9">
        <f t="shared" si="62"/>
        <v>36</v>
      </c>
      <c r="J793" s="12">
        <f>DATE(2025, MATCH(E793, {"January","February","March","April","May","June","July","August","September","October","November","December"},0),1)</f>
        <v>45809</v>
      </c>
      <c r="K793" s="13">
        <f t="shared" si="63"/>
        <v>4750.5600000000004</v>
      </c>
      <c r="L793" s="13">
        <v>335.82238208747901</v>
      </c>
      <c r="M793" s="14">
        <f t="shared" si="64"/>
        <v>2.5391233280643053E-2</v>
      </c>
    </row>
    <row r="794" spans="1:13" ht="15.5" x14ac:dyDescent="0.35">
      <c r="A794" s="8" t="s">
        <v>22</v>
      </c>
      <c r="B794" s="9" t="s">
        <v>23</v>
      </c>
      <c r="C794" s="9" t="s">
        <v>43</v>
      </c>
      <c r="D794" s="10">
        <v>251.71</v>
      </c>
      <c r="E794" s="9" t="s">
        <v>57</v>
      </c>
      <c r="F794" s="9" t="s">
        <v>36</v>
      </c>
      <c r="G794" s="9" t="str">
        <f t="shared" si="60"/>
        <v>Low Averg</v>
      </c>
      <c r="H794" s="11">
        <f t="shared" si="61"/>
        <v>257.40029411764709</v>
      </c>
      <c r="I794" s="9">
        <f t="shared" si="62"/>
        <v>34</v>
      </c>
      <c r="J794" s="12">
        <f>DATE(2025, MATCH(E794, {"January","February","March","April","May","June","July","August","September","October","November","December"},0),1)</f>
        <v>45839</v>
      </c>
      <c r="K794" s="13">
        <f t="shared" si="63"/>
        <v>8558.14</v>
      </c>
      <c r="L794" s="13">
        <v>336.116865322134</v>
      </c>
      <c r="M794" s="14">
        <f t="shared" si="64"/>
        <v>-1.6929510847941278E-2</v>
      </c>
    </row>
    <row r="795" spans="1:13" ht="15.5" x14ac:dyDescent="0.35">
      <c r="A795" s="8" t="s">
        <v>50</v>
      </c>
      <c r="B795" s="9" t="s">
        <v>32</v>
      </c>
      <c r="C795" s="9" t="s">
        <v>69</v>
      </c>
      <c r="D795" s="10">
        <v>91.14</v>
      </c>
      <c r="E795" s="9" t="s">
        <v>21</v>
      </c>
      <c r="F795" s="9" t="s">
        <v>17</v>
      </c>
      <c r="G795" s="9" t="str">
        <f t="shared" si="60"/>
        <v>Low Averg</v>
      </c>
      <c r="H795" s="11">
        <f t="shared" si="61"/>
        <v>81.934666666666672</v>
      </c>
      <c r="I795" s="9">
        <f t="shared" si="62"/>
        <v>30</v>
      </c>
      <c r="J795" s="12">
        <f>DATE(2025, MATCH(E795, {"January","February","March","April","May","June","July","August","September","October","November","December"},0),1)</f>
        <v>45748</v>
      </c>
      <c r="K795" s="13">
        <f t="shared" si="63"/>
        <v>2734.2</v>
      </c>
      <c r="L795" s="13">
        <v>336.60133054088601</v>
      </c>
      <c r="M795" s="14">
        <f t="shared" si="64"/>
        <v>2.7347881597916568E-2</v>
      </c>
    </row>
    <row r="796" spans="1:13" ht="15.5" x14ac:dyDescent="0.35">
      <c r="A796" s="8" t="s">
        <v>80</v>
      </c>
      <c r="B796" s="9" t="s">
        <v>19</v>
      </c>
      <c r="C796" s="9" t="s">
        <v>49</v>
      </c>
      <c r="D796" s="10">
        <v>684.9</v>
      </c>
      <c r="E796" s="9" t="s">
        <v>46</v>
      </c>
      <c r="F796" s="9" t="s">
        <v>36</v>
      </c>
      <c r="G796" s="9" t="str">
        <f t="shared" si="60"/>
        <v>Above Averg</v>
      </c>
      <c r="H796" s="11">
        <f t="shared" si="61"/>
        <v>720.27689655172423</v>
      </c>
      <c r="I796" s="9">
        <f t="shared" si="62"/>
        <v>29</v>
      </c>
      <c r="J796" s="12">
        <f>DATE(2025, MATCH(E796, {"January","February","March","April","May","June","July","August","September","October","November","December"},0),1)</f>
        <v>45870</v>
      </c>
      <c r="K796" s="13">
        <f t="shared" si="63"/>
        <v>19862.099999999999</v>
      </c>
      <c r="L796" s="13">
        <v>336.80084276723602</v>
      </c>
      <c r="M796" s="14">
        <f t="shared" si="64"/>
        <v>-0.10503802859000957</v>
      </c>
    </row>
    <row r="797" spans="1:13" ht="15.5" x14ac:dyDescent="0.35">
      <c r="A797" s="8" t="s">
        <v>51</v>
      </c>
      <c r="B797" s="9" t="s">
        <v>28</v>
      </c>
      <c r="C797" s="9" t="s">
        <v>20</v>
      </c>
      <c r="D797" s="10">
        <v>121.44</v>
      </c>
      <c r="E797" s="9" t="s">
        <v>39</v>
      </c>
      <c r="F797" s="9" t="s">
        <v>30</v>
      </c>
      <c r="G797" s="9" t="str">
        <f t="shared" si="60"/>
        <v>Low Averg</v>
      </c>
      <c r="H797" s="11">
        <f t="shared" si="61"/>
        <v>122.0377142857143</v>
      </c>
      <c r="I797" s="9">
        <f t="shared" si="62"/>
        <v>35</v>
      </c>
      <c r="J797" s="12">
        <f>DATE(2025, MATCH(E797, {"January","February","March","April","May","June","July","August","September","October","November","December"},0),1)</f>
        <v>45992</v>
      </c>
      <c r="K797" s="13">
        <f t="shared" si="63"/>
        <v>4250.3999999999996</v>
      </c>
      <c r="L797" s="13">
        <v>336.83378447631202</v>
      </c>
      <c r="M797" s="14">
        <f t="shared" si="64"/>
        <v>-1.774508120210068E-3</v>
      </c>
    </row>
    <row r="798" spans="1:13" ht="15.5" x14ac:dyDescent="0.35">
      <c r="A798" s="8" t="s">
        <v>13</v>
      </c>
      <c r="B798" s="9" t="s">
        <v>14</v>
      </c>
      <c r="C798" s="9" t="s">
        <v>49</v>
      </c>
      <c r="D798" s="10">
        <v>221.05</v>
      </c>
      <c r="E798" s="9" t="s">
        <v>39</v>
      </c>
      <c r="F798" s="9" t="s">
        <v>30</v>
      </c>
      <c r="G798" s="9" t="str">
        <f t="shared" si="60"/>
        <v>Low Averg</v>
      </c>
      <c r="H798" s="11">
        <f t="shared" si="61"/>
        <v>206.78702702702708</v>
      </c>
      <c r="I798" s="9">
        <f t="shared" si="62"/>
        <v>37</v>
      </c>
      <c r="J798" s="12">
        <f>DATE(2025, MATCH(E798, {"January","February","March","April","May","June","July","August","September","October","November","December"},0),1)</f>
        <v>45992</v>
      </c>
      <c r="K798" s="13">
        <f t="shared" si="63"/>
        <v>8178.85</v>
      </c>
      <c r="L798" s="13">
        <v>337.10913377913698</v>
      </c>
      <c r="M798" s="14">
        <f t="shared" si="64"/>
        <v>4.2309660414949102E-2</v>
      </c>
    </row>
    <row r="799" spans="1:13" ht="15.5" x14ac:dyDescent="0.35">
      <c r="A799" s="8" t="s">
        <v>53</v>
      </c>
      <c r="B799" s="9" t="s">
        <v>54</v>
      </c>
      <c r="C799" s="9" t="s">
        <v>49</v>
      </c>
      <c r="D799" s="10">
        <v>843.19</v>
      </c>
      <c r="E799" s="9" t="s">
        <v>57</v>
      </c>
      <c r="F799" s="9" t="s">
        <v>26</v>
      </c>
      <c r="G799" s="9" t="str">
        <f t="shared" si="60"/>
        <v>Above Averg</v>
      </c>
      <c r="H799" s="11">
        <f t="shared" si="61"/>
        <v>810.77454545454566</v>
      </c>
      <c r="I799" s="9">
        <f t="shared" si="62"/>
        <v>33</v>
      </c>
      <c r="J799" s="12">
        <f>DATE(2025, MATCH(E799, {"January","February","March","April","May","June","July","August","September","October","November","December"},0),1)</f>
        <v>45839</v>
      </c>
      <c r="K799" s="13">
        <f t="shared" si="63"/>
        <v>27825.27</v>
      </c>
      <c r="L799" s="13">
        <v>337.56452955535201</v>
      </c>
      <c r="M799" s="14">
        <f t="shared" si="64"/>
        <v>9.6027430927511245E-2</v>
      </c>
    </row>
    <row r="800" spans="1:13" ht="15.5" x14ac:dyDescent="0.35">
      <c r="A800" s="8" t="s">
        <v>50</v>
      </c>
      <c r="B800" s="9" t="s">
        <v>32</v>
      </c>
      <c r="C800" s="9" t="s">
        <v>49</v>
      </c>
      <c r="D800" s="10">
        <v>83.99</v>
      </c>
      <c r="E800" s="9" t="s">
        <v>42</v>
      </c>
      <c r="F800" s="9" t="s">
        <v>30</v>
      </c>
      <c r="G800" s="9" t="str">
        <f t="shared" si="60"/>
        <v>Low Averg</v>
      </c>
      <c r="H800" s="11">
        <f t="shared" si="61"/>
        <v>81.934666666666672</v>
      </c>
      <c r="I800" s="9">
        <f t="shared" si="62"/>
        <v>30</v>
      </c>
      <c r="J800" s="12">
        <f>DATE(2025, MATCH(E800, {"January","February","March","April","May","June","July","August","September","October","November","December"},0),1)</f>
        <v>45658</v>
      </c>
      <c r="K800" s="13">
        <f t="shared" si="63"/>
        <v>2519.6999999999998</v>
      </c>
      <c r="L800" s="13">
        <v>336.97974375592599</v>
      </c>
      <c r="M800" s="14">
        <f t="shared" si="64"/>
        <v>6.0992785810354173E-3</v>
      </c>
    </row>
    <row r="801" spans="1:13" ht="15.5" x14ac:dyDescent="0.35">
      <c r="A801" s="8" t="s">
        <v>70</v>
      </c>
      <c r="B801" s="9" t="s">
        <v>71</v>
      </c>
      <c r="C801" s="9" t="s">
        <v>69</v>
      </c>
      <c r="D801" s="10">
        <v>827.79</v>
      </c>
      <c r="E801" s="9" t="s">
        <v>21</v>
      </c>
      <c r="F801" s="9" t="s">
        <v>40</v>
      </c>
      <c r="G801" s="9" t="str">
        <f t="shared" si="60"/>
        <v>Above Averg</v>
      </c>
      <c r="H801" s="11">
        <f t="shared" si="61"/>
        <v>911.5772916666665</v>
      </c>
      <c r="I801" s="9">
        <f t="shared" si="62"/>
        <v>48</v>
      </c>
      <c r="J801" s="12">
        <f>DATE(2025, MATCH(E801, {"January","February","March","April","May","June","July","August","September","October","November","December"},0),1)</f>
        <v>45748</v>
      </c>
      <c r="K801" s="13">
        <f t="shared" si="63"/>
        <v>39733.919999999998</v>
      </c>
      <c r="L801" s="13">
        <v>337.16617164859002</v>
      </c>
      <c r="M801" s="14">
        <f t="shared" si="64"/>
        <v>-0.24850444294866411</v>
      </c>
    </row>
    <row r="802" spans="1:13" ht="15.5" x14ac:dyDescent="0.35">
      <c r="A802" s="8" t="s">
        <v>70</v>
      </c>
      <c r="B802" s="9" t="s">
        <v>71</v>
      </c>
      <c r="C802" s="9" t="s">
        <v>29</v>
      </c>
      <c r="D802" s="10">
        <v>850.96</v>
      </c>
      <c r="E802" s="9" t="s">
        <v>63</v>
      </c>
      <c r="F802" s="9" t="s">
        <v>36</v>
      </c>
      <c r="G802" s="9" t="str">
        <f t="shared" si="60"/>
        <v>Above Averg</v>
      </c>
      <c r="H802" s="11">
        <f t="shared" si="61"/>
        <v>911.5772916666665</v>
      </c>
      <c r="I802" s="9">
        <f t="shared" si="62"/>
        <v>48</v>
      </c>
      <c r="J802" s="12">
        <f>DATE(2025, MATCH(E802, {"January","February","March","April","May","June","July","August","September","October","November","December"},0),1)</f>
        <v>45717</v>
      </c>
      <c r="K802" s="13">
        <f t="shared" si="63"/>
        <v>40846.080000000002</v>
      </c>
      <c r="L802" s="13">
        <v>336.64408396923398</v>
      </c>
      <c r="M802" s="14">
        <f t="shared" si="64"/>
        <v>-0.18006343955893281</v>
      </c>
    </row>
    <row r="803" spans="1:13" ht="15.5" x14ac:dyDescent="0.35">
      <c r="A803" s="8" t="s">
        <v>27</v>
      </c>
      <c r="B803" s="9" t="s">
        <v>28</v>
      </c>
      <c r="C803" s="9" t="s">
        <v>15</v>
      </c>
      <c r="D803" s="10">
        <v>104.91</v>
      </c>
      <c r="E803" s="9" t="s">
        <v>35</v>
      </c>
      <c r="F803" s="9" t="s">
        <v>40</v>
      </c>
      <c r="G803" s="9" t="str">
        <f t="shared" si="60"/>
        <v>Low Averg</v>
      </c>
      <c r="H803" s="11">
        <f t="shared" si="61"/>
        <v>113.26108695652174</v>
      </c>
      <c r="I803" s="9">
        <f t="shared" si="62"/>
        <v>46</v>
      </c>
      <c r="J803" s="12">
        <f>DATE(2025, MATCH(E803, {"January","February","March","April","May","June","July","August","September","October","November","December"},0),1)</f>
        <v>45778</v>
      </c>
      <c r="K803" s="13">
        <f t="shared" si="63"/>
        <v>4825.8599999999997</v>
      </c>
      <c r="L803" s="13">
        <v>336.00087767143202</v>
      </c>
      <c r="M803" s="14">
        <f t="shared" si="64"/>
        <v>-2.4854360543331937E-2</v>
      </c>
    </row>
    <row r="804" spans="1:13" ht="15.5" x14ac:dyDescent="0.35">
      <c r="A804" s="8" t="s">
        <v>66</v>
      </c>
      <c r="B804" s="9" t="s">
        <v>32</v>
      </c>
      <c r="C804" s="9" t="s">
        <v>34</v>
      </c>
      <c r="D804" s="10">
        <v>137.15</v>
      </c>
      <c r="E804" s="9" t="s">
        <v>62</v>
      </c>
      <c r="F804" s="9" t="s">
        <v>17</v>
      </c>
      <c r="G804" s="9" t="str">
        <f t="shared" si="60"/>
        <v>Low Averg</v>
      </c>
      <c r="H804" s="11">
        <f t="shared" si="61"/>
        <v>141.74161290322584</v>
      </c>
      <c r="I804" s="9">
        <f t="shared" si="62"/>
        <v>31</v>
      </c>
      <c r="J804" s="12">
        <f>DATE(2025, MATCH(E804, {"January","February","March","April","May","June","July","August","September","October","November","December"},0),1)</f>
        <v>45689</v>
      </c>
      <c r="K804" s="13">
        <f t="shared" si="63"/>
        <v>4251.6500000000005</v>
      </c>
      <c r="L804" s="13">
        <v>336.24627097974701</v>
      </c>
      <c r="M804" s="14">
        <f t="shared" si="64"/>
        <v>-1.3655505798910113E-2</v>
      </c>
    </row>
    <row r="805" spans="1:13" ht="15.5" x14ac:dyDescent="0.35">
      <c r="A805" s="8" t="s">
        <v>75</v>
      </c>
      <c r="B805" s="9" t="s">
        <v>28</v>
      </c>
      <c r="C805" s="9" t="s">
        <v>49</v>
      </c>
      <c r="D805" s="10">
        <v>109.16</v>
      </c>
      <c r="E805" s="9" t="s">
        <v>72</v>
      </c>
      <c r="F805" s="9" t="s">
        <v>17</v>
      </c>
      <c r="G805" s="9" t="str">
        <f t="shared" si="60"/>
        <v>Low Averg</v>
      </c>
      <c r="H805" s="11">
        <f t="shared" si="61"/>
        <v>120.53625</v>
      </c>
      <c r="I805" s="9">
        <f t="shared" si="62"/>
        <v>24</v>
      </c>
      <c r="J805" s="12">
        <f>DATE(2025, MATCH(E805, {"January","February","March","April","May","June","July","August","September","October","November","December"},0),1)</f>
        <v>45901</v>
      </c>
      <c r="K805" s="13">
        <f t="shared" si="63"/>
        <v>2619.84</v>
      </c>
      <c r="L805" s="13">
        <v>336.56589586829602</v>
      </c>
      <c r="M805" s="14">
        <f t="shared" si="64"/>
        <v>-3.3800958860227832E-2</v>
      </c>
    </row>
    <row r="806" spans="1:13" ht="15.5" x14ac:dyDescent="0.35">
      <c r="A806" s="8" t="s">
        <v>80</v>
      </c>
      <c r="B806" s="9" t="s">
        <v>19</v>
      </c>
      <c r="C806" s="9" t="s">
        <v>29</v>
      </c>
      <c r="D806" s="10">
        <v>695.33</v>
      </c>
      <c r="E806" s="9" t="s">
        <v>25</v>
      </c>
      <c r="F806" s="9" t="s">
        <v>40</v>
      </c>
      <c r="G806" s="9" t="str">
        <f t="shared" si="60"/>
        <v>Above Averg</v>
      </c>
      <c r="H806" s="11">
        <f t="shared" si="61"/>
        <v>720.27689655172423</v>
      </c>
      <c r="I806" s="9">
        <f t="shared" si="62"/>
        <v>29</v>
      </c>
      <c r="J806" s="12">
        <f>DATE(2025, MATCH(E806, {"January","February","March","April","May","June","July","August","September","October","November","December"},0),1)</f>
        <v>45931</v>
      </c>
      <c r="K806" s="13">
        <f t="shared" si="63"/>
        <v>20164.57</v>
      </c>
      <c r="L806" s="13">
        <v>336.82103573192597</v>
      </c>
      <c r="M806" s="14">
        <f t="shared" si="64"/>
        <v>-7.4065731962119172E-2</v>
      </c>
    </row>
    <row r="807" spans="1:13" ht="15.5" x14ac:dyDescent="0.35">
      <c r="A807" s="8" t="s">
        <v>59</v>
      </c>
      <c r="B807" s="9" t="s">
        <v>60</v>
      </c>
      <c r="C807" s="9" t="s">
        <v>24</v>
      </c>
      <c r="D807" s="10">
        <v>180.44</v>
      </c>
      <c r="E807" s="9" t="s">
        <v>72</v>
      </c>
      <c r="F807" s="9" t="s">
        <v>40</v>
      </c>
      <c r="G807" s="9" t="str">
        <f t="shared" si="60"/>
        <v>Low Averg</v>
      </c>
      <c r="H807" s="11">
        <f t="shared" si="61"/>
        <v>203.25225806451613</v>
      </c>
      <c r="I807" s="9">
        <f t="shared" si="62"/>
        <v>31</v>
      </c>
      <c r="J807" s="12">
        <f>DATE(2025, MATCH(E807, {"January","February","March","April","May","June","July","August","September","October","November","December"},0),1)</f>
        <v>45901</v>
      </c>
      <c r="K807" s="13">
        <f t="shared" si="63"/>
        <v>5593.64</v>
      </c>
      <c r="L807" s="13">
        <v>336.81642252537301</v>
      </c>
      <c r="M807" s="14">
        <f t="shared" si="64"/>
        <v>-6.772905517336418E-2</v>
      </c>
    </row>
    <row r="808" spans="1:13" ht="15.5" x14ac:dyDescent="0.35">
      <c r="A808" s="8" t="s">
        <v>22</v>
      </c>
      <c r="B808" s="9" t="s">
        <v>23</v>
      </c>
      <c r="C808" s="9" t="s">
        <v>49</v>
      </c>
      <c r="D808" s="10">
        <v>274.79000000000002</v>
      </c>
      <c r="E808" s="9" t="s">
        <v>35</v>
      </c>
      <c r="F808" s="9" t="s">
        <v>36</v>
      </c>
      <c r="G808" s="9" t="str">
        <f t="shared" si="60"/>
        <v>Low Averg</v>
      </c>
      <c r="H808" s="11">
        <f t="shared" si="61"/>
        <v>257.40029411764709</v>
      </c>
      <c r="I808" s="9">
        <f t="shared" si="62"/>
        <v>34</v>
      </c>
      <c r="J808" s="12">
        <f>DATE(2025, MATCH(E808, {"January","February","March","April","May","June","July","August","September","October","November","December"},0),1)</f>
        <v>45778</v>
      </c>
      <c r="K808" s="13">
        <f t="shared" si="63"/>
        <v>9342.86</v>
      </c>
      <c r="L808" s="13">
        <v>337.22488747443703</v>
      </c>
      <c r="M808" s="14">
        <f t="shared" si="64"/>
        <v>5.1567089287474777E-2</v>
      </c>
    </row>
    <row r="809" spans="1:13" ht="15.5" x14ac:dyDescent="0.35">
      <c r="A809" s="8" t="s">
        <v>59</v>
      </c>
      <c r="B809" s="9" t="s">
        <v>60</v>
      </c>
      <c r="C809" s="9" t="s">
        <v>43</v>
      </c>
      <c r="D809" s="10">
        <v>218.63</v>
      </c>
      <c r="E809" s="9" t="s">
        <v>16</v>
      </c>
      <c r="F809" s="9" t="s">
        <v>17</v>
      </c>
      <c r="G809" s="9" t="str">
        <f t="shared" si="60"/>
        <v>Low Averg</v>
      </c>
      <c r="H809" s="11">
        <f t="shared" si="61"/>
        <v>203.25225806451613</v>
      </c>
      <c r="I809" s="9">
        <f t="shared" si="62"/>
        <v>31</v>
      </c>
      <c r="J809" s="12">
        <f>DATE(2025, MATCH(E809, {"January","February","March","April","May","June","July","August","September","October","November","December"},0),1)</f>
        <v>45809</v>
      </c>
      <c r="K809" s="13">
        <f t="shared" si="63"/>
        <v>6777.53</v>
      </c>
      <c r="L809" s="13">
        <v>337.75641685685099</v>
      </c>
      <c r="M809" s="14">
        <f t="shared" si="64"/>
        <v>4.5529088917358192E-2</v>
      </c>
    </row>
    <row r="810" spans="1:13" ht="15.5" x14ac:dyDescent="0.35">
      <c r="A810" s="8" t="s">
        <v>68</v>
      </c>
      <c r="B810" s="9" t="s">
        <v>28</v>
      </c>
      <c r="C810" s="9" t="s">
        <v>20</v>
      </c>
      <c r="D810" s="10">
        <v>118.51</v>
      </c>
      <c r="E810" s="9" t="s">
        <v>21</v>
      </c>
      <c r="F810" s="9" t="s">
        <v>36</v>
      </c>
      <c r="G810" s="9" t="str">
        <f t="shared" si="60"/>
        <v>Low Averg</v>
      </c>
      <c r="H810" s="11">
        <f t="shared" si="61"/>
        <v>102.25285714285715</v>
      </c>
      <c r="I810" s="9">
        <f t="shared" si="62"/>
        <v>28</v>
      </c>
      <c r="J810" s="12">
        <f>DATE(2025, MATCH(E810, {"January","February","March","April","May","June","July","August","September","October","November","December"},0),1)</f>
        <v>45748</v>
      </c>
      <c r="K810" s="13">
        <f t="shared" si="63"/>
        <v>3318.28</v>
      </c>
      <c r="L810" s="13">
        <v>338.22835369799799</v>
      </c>
      <c r="M810" s="14">
        <f t="shared" si="64"/>
        <v>4.8065582555088672E-2</v>
      </c>
    </row>
    <row r="811" spans="1:13" ht="15.5" x14ac:dyDescent="0.35">
      <c r="A811" s="8" t="s">
        <v>37</v>
      </c>
      <c r="B811" s="9" t="s">
        <v>38</v>
      </c>
      <c r="C811" s="9" t="s">
        <v>15</v>
      </c>
      <c r="D811" s="10">
        <v>899.59</v>
      </c>
      <c r="E811" s="9" t="s">
        <v>25</v>
      </c>
      <c r="F811" s="9" t="s">
        <v>26</v>
      </c>
      <c r="G811" s="9" t="str">
        <f t="shared" si="60"/>
        <v>Above Averg</v>
      </c>
      <c r="H811" s="11">
        <f t="shared" si="61"/>
        <v>1024.1451428571424</v>
      </c>
      <c r="I811" s="9">
        <f t="shared" si="62"/>
        <v>35</v>
      </c>
      <c r="J811" s="12">
        <f>DATE(2025, MATCH(E811, {"January","February","March","April","May","June","July","August","September","October","November","December"},0),1)</f>
        <v>45931</v>
      </c>
      <c r="K811" s="13">
        <f t="shared" si="63"/>
        <v>31485.65</v>
      </c>
      <c r="L811" s="13">
        <v>338.51240781028798</v>
      </c>
      <c r="M811" s="14">
        <f t="shared" si="64"/>
        <v>-0.36794853004899802</v>
      </c>
    </row>
    <row r="812" spans="1:13" ht="15.5" x14ac:dyDescent="0.35">
      <c r="A812" s="8" t="s">
        <v>58</v>
      </c>
      <c r="B812" s="9" t="s">
        <v>23</v>
      </c>
      <c r="C812" s="9" t="s">
        <v>43</v>
      </c>
      <c r="D812" s="10">
        <v>126.44</v>
      </c>
      <c r="E812" s="9" t="s">
        <v>16</v>
      </c>
      <c r="F812" s="9" t="s">
        <v>36</v>
      </c>
      <c r="G812" s="9" t="str">
        <f t="shared" si="60"/>
        <v>Low Averg</v>
      </c>
      <c r="H812" s="11">
        <f t="shared" si="61"/>
        <v>121.60903225806452</v>
      </c>
      <c r="I812" s="9">
        <f t="shared" si="62"/>
        <v>31</v>
      </c>
      <c r="J812" s="12">
        <f>DATE(2025, MATCH(E812, {"January","February","March","April","May","June","July","August","September","October","November","December"},0),1)</f>
        <v>45809</v>
      </c>
      <c r="K812" s="13">
        <f t="shared" si="63"/>
        <v>3919.64</v>
      </c>
      <c r="L812" s="13">
        <v>337.615180636812</v>
      </c>
      <c r="M812" s="14">
        <f t="shared" si="64"/>
        <v>1.4309095144428274E-2</v>
      </c>
    </row>
    <row r="813" spans="1:13" ht="15.5" x14ac:dyDescent="0.35">
      <c r="A813" s="8" t="s">
        <v>67</v>
      </c>
      <c r="B813" s="9" t="s">
        <v>23</v>
      </c>
      <c r="C813" s="9" t="s">
        <v>61</v>
      </c>
      <c r="D813" s="10">
        <v>238.99</v>
      </c>
      <c r="E813" s="9" t="s">
        <v>42</v>
      </c>
      <c r="F813" s="9" t="s">
        <v>36</v>
      </c>
      <c r="G813" s="9" t="str">
        <f t="shared" si="60"/>
        <v>Low Averg</v>
      </c>
      <c r="H813" s="11">
        <f t="shared" si="61"/>
        <v>226.566129032258</v>
      </c>
      <c r="I813" s="9">
        <f t="shared" si="62"/>
        <v>31</v>
      </c>
      <c r="J813" s="12">
        <f>DATE(2025, MATCH(E813, {"January","February","March","April","May","June","July","August","September","October","November","December"},0),1)</f>
        <v>45658</v>
      </c>
      <c r="K813" s="13">
        <f t="shared" si="63"/>
        <v>7408.6900000000005</v>
      </c>
      <c r="L813" s="13">
        <v>337.92083062838401</v>
      </c>
      <c r="M813" s="14">
        <f t="shared" si="64"/>
        <v>3.6765626270032166E-2</v>
      </c>
    </row>
    <row r="814" spans="1:13" ht="15.5" x14ac:dyDescent="0.35">
      <c r="A814" s="8" t="s">
        <v>78</v>
      </c>
      <c r="B814" s="9" t="s">
        <v>28</v>
      </c>
      <c r="C814" s="9" t="s">
        <v>45</v>
      </c>
      <c r="D814" s="10">
        <v>316.85000000000002</v>
      </c>
      <c r="E814" s="9" t="s">
        <v>25</v>
      </c>
      <c r="F814" s="9" t="s">
        <v>40</v>
      </c>
      <c r="G814" s="9" t="str">
        <f t="shared" si="60"/>
        <v>Low Averg</v>
      </c>
      <c r="H814" s="11">
        <f t="shared" si="61"/>
        <v>309.01727272727271</v>
      </c>
      <c r="I814" s="9">
        <f t="shared" si="62"/>
        <v>22</v>
      </c>
      <c r="J814" s="12">
        <f>DATE(2025, MATCH(E814, {"January","February","March","April","May","June","July","August","September","October","November","December"},0),1)</f>
        <v>45931</v>
      </c>
      <c r="K814" s="13">
        <f t="shared" si="63"/>
        <v>6970.7000000000007</v>
      </c>
      <c r="L814" s="13">
        <v>338.42575832371301</v>
      </c>
      <c r="M814" s="14">
        <f t="shared" si="64"/>
        <v>2.3144595469104644E-2</v>
      </c>
    </row>
    <row r="815" spans="1:13" ht="15.5" x14ac:dyDescent="0.35">
      <c r="A815" s="8" t="s">
        <v>56</v>
      </c>
      <c r="B815" s="9" t="s">
        <v>19</v>
      </c>
      <c r="C815" s="9" t="s">
        <v>45</v>
      </c>
      <c r="D815" s="10">
        <v>620.44000000000005</v>
      </c>
      <c r="E815" s="9" t="s">
        <v>39</v>
      </c>
      <c r="F815" s="9" t="s">
        <v>26</v>
      </c>
      <c r="G815" s="9" t="str">
        <f t="shared" si="60"/>
        <v>Above Averg</v>
      </c>
      <c r="H815" s="11">
        <f t="shared" si="61"/>
        <v>533.4588235294118</v>
      </c>
      <c r="I815" s="9">
        <f t="shared" si="62"/>
        <v>34</v>
      </c>
      <c r="J815" s="12">
        <f>DATE(2025, MATCH(E815, {"January","February","March","April","May","June","July","August","September","October","November","December"},0),1)</f>
        <v>45992</v>
      </c>
      <c r="K815" s="13">
        <f t="shared" si="63"/>
        <v>21094.960000000003</v>
      </c>
      <c r="L815" s="13">
        <v>338.99615251711299</v>
      </c>
      <c r="M815" s="14">
        <f t="shared" si="64"/>
        <v>0.256584553614358</v>
      </c>
    </row>
    <row r="816" spans="1:13" ht="15.5" x14ac:dyDescent="0.35">
      <c r="A816" s="8" t="s">
        <v>56</v>
      </c>
      <c r="B816" s="9" t="s">
        <v>19</v>
      </c>
      <c r="C816" s="9" t="s">
        <v>15</v>
      </c>
      <c r="D816" s="10">
        <v>494.87</v>
      </c>
      <c r="E816" s="9" t="s">
        <v>21</v>
      </c>
      <c r="F816" s="9" t="s">
        <v>17</v>
      </c>
      <c r="G816" s="9" t="str">
        <f t="shared" si="60"/>
        <v>Above Averg</v>
      </c>
      <c r="H816" s="11">
        <f t="shared" si="61"/>
        <v>533.4588235294118</v>
      </c>
      <c r="I816" s="9">
        <f t="shared" si="62"/>
        <v>34</v>
      </c>
      <c r="J816" s="12">
        <f>DATE(2025, MATCH(E816, {"January","February","March","April","May","June","July","August","September","October","November","December"},0),1)</f>
        <v>45748</v>
      </c>
      <c r="K816" s="13">
        <f t="shared" si="63"/>
        <v>16825.580000000002</v>
      </c>
      <c r="L816" s="13">
        <v>339.22878163165097</v>
      </c>
      <c r="M816" s="14">
        <f t="shared" si="64"/>
        <v>-0.11375456806407772</v>
      </c>
    </row>
    <row r="817" spans="1:13" ht="15.5" x14ac:dyDescent="0.35">
      <c r="A817" s="8" t="s">
        <v>37</v>
      </c>
      <c r="B817" s="9" t="s">
        <v>38</v>
      </c>
      <c r="C817" s="9" t="s">
        <v>29</v>
      </c>
      <c r="D817" s="10">
        <v>975.55</v>
      </c>
      <c r="E817" s="9" t="s">
        <v>72</v>
      </c>
      <c r="F817" s="9" t="s">
        <v>26</v>
      </c>
      <c r="G817" s="9" t="str">
        <f t="shared" si="60"/>
        <v>Above Averg</v>
      </c>
      <c r="H817" s="11">
        <f t="shared" si="61"/>
        <v>1024.1451428571424</v>
      </c>
      <c r="I817" s="9">
        <f t="shared" si="62"/>
        <v>35</v>
      </c>
      <c r="J817" s="12">
        <f>DATE(2025, MATCH(E817, {"January","February","March","April","May","June","July","August","September","October","November","December"},0),1)</f>
        <v>45901</v>
      </c>
      <c r="K817" s="13">
        <f t="shared" si="63"/>
        <v>34144.25</v>
      </c>
      <c r="L817" s="13">
        <v>339.71678912315502</v>
      </c>
      <c r="M817" s="14">
        <f t="shared" si="64"/>
        <v>-0.14304604427285356</v>
      </c>
    </row>
    <row r="818" spans="1:13" ht="15.5" x14ac:dyDescent="0.35">
      <c r="A818" s="8" t="s">
        <v>52</v>
      </c>
      <c r="B818" s="9" t="s">
        <v>32</v>
      </c>
      <c r="C818" s="9" t="s">
        <v>61</v>
      </c>
      <c r="D818" s="10">
        <v>57.41</v>
      </c>
      <c r="E818" s="9" t="s">
        <v>72</v>
      </c>
      <c r="F818" s="9" t="s">
        <v>17</v>
      </c>
      <c r="G818" s="9" t="str">
        <f t="shared" si="60"/>
        <v>Low Averg</v>
      </c>
      <c r="H818" s="11">
        <f t="shared" si="61"/>
        <v>62.182121212121217</v>
      </c>
      <c r="I818" s="9">
        <f t="shared" si="62"/>
        <v>33</v>
      </c>
      <c r="J818" s="12">
        <f>DATE(2025, MATCH(E818, {"January","February","March","April","May","June","July","August","September","October","November","December"},0),1)</f>
        <v>45901</v>
      </c>
      <c r="K818" s="13">
        <f t="shared" si="63"/>
        <v>1894.53</v>
      </c>
      <c r="L818" s="13">
        <v>338.34544087751698</v>
      </c>
      <c r="M818" s="14">
        <f t="shared" si="64"/>
        <v>-1.4104287026136569E-2</v>
      </c>
    </row>
    <row r="819" spans="1:13" ht="15.5" x14ac:dyDescent="0.35">
      <c r="A819" s="8" t="s">
        <v>81</v>
      </c>
      <c r="B819" s="9" t="s">
        <v>28</v>
      </c>
      <c r="C819" s="9" t="s">
        <v>69</v>
      </c>
      <c r="D819" s="10">
        <v>134.38999999999999</v>
      </c>
      <c r="E819" s="9" t="s">
        <v>42</v>
      </c>
      <c r="F819" s="9" t="s">
        <v>17</v>
      </c>
      <c r="G819" s="9" t="str">
        <f t="shared" si="60"/>
        <v>Low Averg</v>
      </c>
      <c r="H819" s="11">
        <f t="shared" si="61"/>
        <v>140.29840000000002</v>
      </c>
      <c r="I819" s="9">
        <f t="shared" si="62"/>
        <v>25</v>
      </c>
      <c r="J819" s="12">
        <f>DATE(2025, MATCH(E819, {"January","February","March","April","May","June","July","August","September","October","November","December"},0),1)</f>
        <v>45658</v>
      </c>
      <c r="K819" s="13">
        <f t="shared" si="63"/>
        <v>3359.7499999999995</v>
      </c>
      <c r="L819" s="13">
        <v>338.47776723366002</v>
      </c>
      <c r="M819" s="14">
        <f t="shared" si="64"/>
        <v>-1.7455799381710369E-2</v>
      </c>
    </row>
    <row r="820" spans="1:13" ht="15.5" x14ac:dyDescent="0.35">
      <c r="A820" s="8" t="s">
        <v>41</v>
      </c>
      <c r="B820" s="9" t="s">
        <v>32</v>
      </c>
      <c r="C820" s="9" t="s">
        <v>34</v>
      </c>
      <c r="D820" s="10">
        <v>77.34</v>
      </c>
      <c r="E820" s="9" t="s">
        <v>72</v>
      </c>
      <c r="F820" s="9" t="s">
        <v>36</v>
      </c>
      <c r="G820" s="9" t="str">
        <f t="shared" si="60"/>
        <v>Low Averg</v>
      </c>
      <c r="H820" s="11">
        <f t="shared" si="61"/>
        <v>70.278611111111118</v>
      </c>
      <c r="I820" s="9">
        <f t="shared" si="62"/>
        <v>36</v>
      </c>
      <c r="J820" s="12">
        <f>DATE(2025, MATCH(E820, {"January","February","March","April","May","June","July","August","September","October","November","December"},0),1)</f>
        <v>45901</v>
      </c>
      <c r="K820" s="13">
        <f t="shared" si="63"/>
        <v>2784.2400000000002</v>
      </c>
      <c r="L820" s="13">
        <v>338.81426152643002</v>
      </c>
      <c r="M820" s="14">
        <f t="shared" si="64"/>
        <v>2.0841474786438541E-2</v>
      </c>
    </row>
    <row r="821" spans="1:13" ht="15.5" x14ac:dyDescent="0.35">
      <c r="A821" s="8" t="s">
        <v>41</v>
      </c>
      <c r="B821" s="9" t="s">
        <v>32</v>
      </c>
      <c r="C821" s="9" t="s">
        <v>69</v>
      </c>
      <c r="D821" s="10">
        <v>75.44</v>
      </c>
      <c r="E821" s="9" t="s">
        <v>16</v>
      </c>
      <c r="F821" s="9" t="s">
        <v>17</v>
      </c>
      <c r="G821" s="9" t="str">
        <f t="shared" si="60"/>
        <v>Low Averg</v>
      </c>
      <c r="H821" s="11">
        <f t="shared" si="61"/>
        <v>70.278611111111118</v>
      </c>
      <c r="I821" s="9">
        <f t="shared" si="62"/>
        <v>36</v>
      </c>
      <c r="J821" s="12">
        <f>DATE(2025, MATCH(E821, {"January","February","March","April","May","June","July","August","September","October","November","December"},0),1)</f>
        <v>45809</v>
      </c>
      <c r="K821" s="13">
        <f t="shared" si="63"/>
        <v>2715.84</v>
      </c>
      <c r="L821" s="13">
        <v>339.00305083857501</v>
      </c>
      <c r="M821" s="14">
        <f t="shared" si="64"/>
        <v>1.5225198935883935E-2</v>
      </c>
    </row>
    <row r="822" spans="1:13" ht="15.5" x14ac:dyDescent="0.35">
      <c r="A822" s="8" t="s">
        <v>51</v>
      </c>
      <c r="B822" s="9" t="s">
        <v>28</v>
      </c>
      <c r="C822" s="9" t="s">
        <v>43</v>
      </c>
      <c r="D822" s="10">
        <v>125.39</v>
      </c>
      <c r="E822" s="9" t="s">
        <v>46</v>
      </c>
      <c r="F822" s="9" t="s">
        <v>40</v>
      </c>
      <c r="G822" s="9" t="str">
        <f t="shared" si="60"/>
        <v>Low Averg</v>
      </c>
      <c r="H822" s="11">
        <f t="shared" si="61"/>
        <v>122.0377142857143</v>
      </c>
      <c r="I822" s="9">
        <f t="shared" si="62"/>
        <v>35</v>
      </c>
      <c r="J822" s="12">
        <f>DATE(2025, MATCH(E822, {"January","February","March","April","May","June","July","August","September","October","November","December"},0),1)</f>
        <v>45870</v>
      </c>
      <c r="K822" s="13">
        <f t="shared" si="63"/>
        <v>4388.6499999999996</v>
      </c>
      <c r="L822" s="13">
        <v>339.18468665745701</v>
      </c>
      <c r="M822" s="14">
        <f t="shared" si="64"/>
        <v>9.8833639788437032E-3</v>
      </c>
    </row>
    <row r="823" spans="1:13" ht="15.5" x14ac:dyDescent="0.35">
      <c r="A823" s="8" t="s">
        <v>67</v>
      </c>
      <c r="B823" s="9" t="s">
        <v>23</v>
      </c>
      <c r="C823" s="9" t="s">
        <v>24</v>
      </c>
      <c r="D823" s="10">
        <v>221.82</v>
      </c>
      <c r="E823" s="9" t="s">
        <v>39</v>
      </c>
      <c r="F823" s="9" t="s">
        <v>40</v>
      </c>
      <c r="G823" s="9" t="str">
        <f t="shared" si="60"/>
        <v>Low Averg</v>
      </c>
      <c r="H823" s="11">
        <f t="shared" si="61"/>
        <v>226.566129032258</v>
      </c>
      <c r="I823" s="9">
        <f t="shared" si="62"/>
        <v>31</v>
      </c>
      <c r="J823" s="12">
        <f>DATE(2025, MATCH(E823, {"January","February","March","April","May","June","July","August","September","October","November","December"},0),1)</f>
        <v>45992</v>
      </c>
      <c r="K823" s="13">
        <f t="shared" si="63"/>
        <v>6876.42</v>
      </c>
      <c r="L823" s="13">
        <v>339.49877069164302</v>
      </c>
      <c r="M823" s="14">
        <f t="shared" si="64"/>
        <v>-1.397981212888922E-2</v>
      </c>
    </row>
    <row r="824" spans="1:13" ht="15.5" x14ac:dyDescent="0.35">
      <c r="A824" s="8" t="s">
        <v>67</v>
      </c>
      <c r="B824" s="9" t="s">
        <v>23</v>
      </c>
      <c r="C824" s="9" t="s">
        <v>34</v>
      </c>
      <c r="D824" s="10">
        <v>228.73</v>
      </c>
      <c r="E824" s="9" t="s">
        <v>42</v>
      </c>
      <c r="F824" s="9" t="s">
        <v>40</v>
      </c>
      <c r="G824" s="9" t="str">
        <f t="shared" si="60"/>
        <v>Low Averg</v>
      </c>
      <c r="H824" s="11">
        <f t="shared" si="61"/>
        <v>226.566129032258</v>
      </c>
      <c r="I824" s="9">
        <f t="shared" si="62"/>
        <v>31</v>
      </c>
      <c r="J824" s="12">
        <f>DATE(2025, MATCH(E824, {"January","February","March","April","May","June","July","August","September","October","November","December"},0),1)</f>
        <v>45658</v>
      </c>
      <c r="K824" s="13">
        <f t="shared" si="63"/>
        <v>7090.63</v>
      </c>
      <c r="L824" s="13">
        <v>339.99956040349099</v>
      </c>
      <c r="M824" s="14">
        <f t="shared" si="64"/>
        <v>6.3643346043566465E-3</v>
      </c>
    </row>
    <row r="825" spans="1:13" ht="15.5" x14ac:dyDescent="0.35">
      <c r="A825" s="8" t="s">
        <v>58</v>
      </c>
      <c r="B825" s="9" t="s">
        <v>23</v>
      </c>
      <c r="C825" s="9" t="s">
        <v>43</v>
      </c>
      <c r="D825" s="10">
        <v>137.97</v>
      </c>
      <c r="E825" s="9" t="s">
        <v>39</v>
      </c>
      <c r="F825" s="9" t="s">
        <v>17</v>
      </c>
      <c r="G825" s="9" t="str">
        <f t="shared" si="60"/>
        <v>Low Averg</v>
      </c>
      <c r="H825" s="11">
        <f t="shared" si="61"/>
        <v>121.60903225806452</v>
      </c>
      <c r="I825" s="9">
        <f t="shared" si="62"/>
        <v>31</v>
      </c>
      <c r="J825" s="12">
        <f>DATE(2025, MATCH(E825, {"January","February","March","April","May","June","July","August","September","October","November","December"},0),1)</f>
        <v>45992</v>
      </c>
      <c r="K825" s="13">
        <f t="shared" si="63"/>
        <v>4277.07</v>
      </c>
      <c r="L825" s="13">
        <v>340.51217119426701</v>
      </c>
      <c r="M825" s="14">
        <f t="shared" si="64"/>
        <v>4.804811435830092E-2</v>
      </c>
    </row>
    <row r="826" spans="1:13" ht="15.5" x14ac:dyDescent="0.35">
      <c r="A826" s="8" t="s">
        <v>53</v>
      </c>
      <c r="B826" s="9" t="s">
        <v>54</v>
      </c>
      <c r="C826" s="9" t="s">
        <v>34</v>
      </c>
      <c r="D826" s="10">
        <v>850.04</v>
      </c>
      <c r="E826" s="9" t="s">
        <v>21</v>
      </c>
      <c r="F826" s="9" t="s">
        <v>26</v>
      </c>
      <c r="G826" s="9" t="str">
        <f t="shared" si="60"/>
        <v>Above Averg</v>
      </c>
      <c r="H826" s="11">
        <f t="shared" si="61"/>
        <v>810.77454545454566</v>
      </c>
      <c r="I826" s="9">
        <f t="shared" si="62"/>
        <v>33</v>
      </c>
      <c r="J826" s="12">
        <f>DATE(2025, MATCH(E826, {"January","February","March","April","May","June","July","August","September","October","November","December"},0),1)</f>
        <v>45748</v>
      </c>
      <c r="K826" s="13">
        <f t="shared" si="63"/>
        <v>28051.32</v>
      </c>
      <c r="L826" s="13">
        <v>340.85886834114802</v>
      </c>
      <c r="M826" s="14">
        <f t="shared" si="64"/>
        <v>0.11519563723410459</v>
      </c>
    </row>
    <row r="827" spans="1:13" ht="15.5" x14ac:dyDescent="0.35">
      <c r="A827" s="8" t="s">
        <v>77</v>
      </c>
      <c r="B827" s="9" t="s">
        <v>14</v>
      </c>
      <c r="C827" s="9" t="s">
        <v>15</v>
      </c>
      <c r="D827" s="10">
        <v>225.74</v>
      </c>
      <c r="E827" s="9" t="s">
        <v>46</v>
      </c>
      <c r="F827" s="9" t="s">
        <v>17</v>
      </c>
      <c r="G827" s="9" t="str">
        <f t="shared" si="60"/>
        <v>Low Averg</v>
      </c>
      <c r="H827" s="11">
        <f t="shared" si="61"/>
        <v>226.49633333333335</v>
      </c>
      <c r="I827" s="9">
        <f t="shared" si="62"/>
        <v>30</v>
      </c>
      <c r="J827" s="12">
        <f>DATE(2025, MATCH(E827, {"January","February","March","April","May","June","July","August","September","October","November","December"},0),1)</f>
        <v>45870</v>
      </c>
      <c r="K827" s="13">
        <f t="shared" si="63"/>
        <v>6772.2000000000007</v>
      </c>
      <c r="L827" s="13">
        <v>340.20955651023002</v>
      </c>
      <c r="M827" s="14">
        <f t="shared" si="64"/>
        <v>-2.2231395881161906E-3</v>
      </c>
    </row>
    <row r="828" spans="1:13" ht="15.5" x14ac:dyDescent="0.35">
      <c r="A828" s="8" t="s">
        <v>18</v>
      </c>
      <c r="B828" s="9" t="s">
        <v>19</v>
      </c>
      <c r="C828" s="9" t="s">
        <v>45</v>
      </c>
      <c r="D828" s="10">
        <v>943.09</v>
      </c>
      <c r="E828" s="9" t="s">
        <v>25</v>
      </c>
      <c r="F828" s="9" t="s">
        <v>36</v>
      </c>
      <c r="G828" s="9" t="str">
        <f t="shared" si="60"/>
        <v>Above Averg</v>
      </c>
      <c r="H828" s="11">
        <f t="shared" si="61"/>
        <v>920.12567567567555</v>
      </c>
      <c r="I828" s="9">
        <f t="shared" si="62"/>
        <v>37</v>
      </c>
      <c r="J828" s="12">
        <f>DATE(2025, MATCH(E828, {"January","February","March","April","May","June","July","August","September","October","November","December"},0),1)</f>
        <v>45931</v>
      </c>
      <c r="K828" s="13">
        <f t="shared" si="63"/>
        <v>34894.33</v>
      </c>
      <c r="L828" s="13">
        <v>340.72461159184297</v>
      </c>
      <c r="M828" s="14">
        <f t="shared" si="64"/>
        <v>6.7398489991775667E-2</v>
      </c>
    </row>
    <row r="829" spans="1:13" ht="15.5" x14ac:dyDescent="0.35">
      <c r="A829" s="8" t="s">
        <v>73</v>
      </c>
      <c r="B829" s="9" t="s">
        <v>54</v>
      </c>
      <c r="C829" s="9" t="s">
        <v>43</v>
      </c>
      <c r="D829" s="10">
        <v>39.020000000000003</v>
      </c>
      <c r="E829" s="9" t="s">
        <v>25</v>
      </c>
      <c r="F829" s="9" t="s">
        <v>17</v>
      </c>
      <c r="G829" s="9" t="str">
        <f t="shared" si="60"/>
        <v>Low Averg</v>
      </c>
      <c r="H829" s="11">
        <f t="shared" si="61"/>
        <v>40.881379310344826</v>
      </c>
      <c r="I829" s="9">
        <f t="shared" si="62"/>
        <v>29</v>
      </c>
      <c r="J829" s="12">
        <f>DATE(2025, MATCH(E829, {"January","February","March","April","May","June","July","August","September","October","November","December"},0),1)</f>
        <v>45931</v>
      </c>
      <c r="K829" s="13">
        <f t="shared" si="63"/>
        <v>1131.5800000000002</v>
      </c>
      <c r="L829" s="13">
        <v>339.53259593151699</v>
      </c>
      <c r="M829" s="14">
        <f t="shared" si="64"/>
        <v>-5.4821814831594526E-3</v>
      </c>
    </row>
    <row r="830" spans="1:13" ht="15.5" x14ac:dyDescent="0.35">
      <c r="A830" s="8" t="s">
        <v>53</v>
      </c>
      <c r="B830" s="9" t="s">
        <v>54</v>
      </c>
      <c r="C830" s="9" t="s">
        <v>43</v>
      </c>
      <c r="D830" s="10">
        <v>857.35</v>
      </c>
      <c r="E830" s="9" t="s">
        <v>42</v>
      </c>
      <c r="F830" s="9" t="s">
        <v>30</v>
      </c>
      <c r="G830" s="9" t="str">
        <f t="shared" si="60"/>
        <v>Above Averg</v>
      </c>
      <c r="H830" s="11">
        <f t="shared" si="61"/>
        <v>810.77454545454566</v>
      </c>
      <c r="I830" s="9">
        <f t="shared" si="62"/>
        <v>33</v>
      </c>
      <c r="J830" s="12">
        <f>DATE(2025, MATCH(E830, {"January","February","March","April","May","June","July","August","September","October","November","December"},0),1)</f>
        <v>45658</v>
      </c>
      <c r="K830" s="13">
        <f t="shared" si="63"/>
        <v>28292.55</v>
      </c>
      <c r="L830" s="13">
        <v>339.60378835140199</v>
      </c>
      <c r="M830" s="14">
        <f t="shared" si="64"/>
        <v>0.1371464516681446</v>
      </c>
    </row>
    <row r="831" spans="1:13" ht="15.5" x14ac:dyDescent="0.35">
      <c r="A831" s="8" t="s">
        <v>59</v>
      </c>
      <c r="B831" s="9" t="s">
        <v>60</v>
      </c>
      <c r="C831" s="9" t="s">
        <v>15</v>
      </c>
      <c r="D831" s="10">
        <v>211.65</v>
      </c>
      <c r="E831" s="9" t="s">
        <v>35</v>
      </c>
      <c r="F831" s="9" t="s">
        <v>36</v>
      </c>
      <c r="G831" s="9" t="str">
        <f t="shared" si="60"/>
        <v>Low Averg</v>
      </c>
      <c r="H831" s="11">
        <f t="shared" si="61"/>
        <v>203.25225806451613</v>
      </c>
      <c r="I831" s="9">
        <f t="shared" si="62"/>
        <v>31</v>
      </c>
      <c r="J831" s="12">
        <f>DATE(2025, MATCH(E831, {"January","February","March","April","May","June","July","August","September","October","November","December"},0),1)</f>
        <v>45778</v>
      </c>
      <c r="K831" s="13">
        <f t="shared" si="63"/>
        <v>6561.1500000000005</v>
      </c>
      <c r="L831" s="13">
        <v>338.887559696496</v>
      </c>
      <c r="M831" s="14">
        <f t="shared" si="64"/>
        <v>2.4780319298249854E-2</v>
      </c>
    </row>
    <row r="832" spans="1:13" ht="15.5" x14ac:dyDescent="0.35">
      <c r="A832" s="8" t="s">
        <v>73</v>
      </c>
      <c r="B832" s="9" t="s">
        <v>54</v>
      </c>
      <c r="C832" s="9" t="s">
        <v>20</v>
      </c>
      <c r="D832" s="10">
        <v>38.86</v>
      </c>
      <c r="E832" s="9" t="s">
        <v>72</v>
      </c>
      <c r="F832" s="9" t="s">
        <v>36</v>
      </c>
      <c r="G832" s="9" t="str">
        <f t="shared" si="60"/>
        <v>Low Averg</v>
      </c>
      <c r="H832" s="11">
        <f t="shared" si="61"/>
        <v>40.881379310344826</v>
      </c>
      <c r="I832" s="9">
        <f t="shared" si="62"/>
        <v>29</v>
      </c>
      <c r="J832" s="12">
        <f>DATE(2025, MATCH(E832, {"January","February","March","April","May","June","July","August","September","October","November","December"},0),1)</f>
        <v>45901</v>
      </c>
      <c r="K832" s="13">
        <f t="shared" si="63"/>
        <v>1126.94</v>
      </c>
      <c r="L832" s="13">
        <v>339.38959630393299</v>
      </c>
      <c r="M832" s="14">
        <f t="shared" si="64"/>
        <v>-5.9559259693235389E-3</v>
      </c>
    </row>
    <row r="833" spans="1:13" ht="15.5" x14ac:dyDescent="0.35">
      <c r="A833" s="8" t="s">
        <v>73</v>
      </c>
      <c r="B833" s="9" t="s">
        <v>54</v>
      </c>
      <c r="C833" s="9" t="s">
        <v>69</v>
      </c>
      <c r="D833" s="10">
        <v>39.01</v>
      </c>
      <c r="E833" s="9" t="s">
        <v>39</v>
      </c>
      <c r="F833" s="9" t="s">
        <v>30</v>
      </c>
      <c r="G833" s="9" t="str">
        <f t="shared" si="60"/>
        <v>Low Averg</v>
      </c>
      <c r="H833" s="11">
        <f t="shared" si="61"/>
        <v>40.881379310344826</v>
      </c>
      <c r="I833" s="9">
        <f t="shared" si="62"/>
        <v>29</v>
      </c>
      <c r="J833" s="12">
        <f>DATE(2025, MATCH(E833, {"January","February","March","April","May","June","July","August","September","October","November","December"},0),1)</f>
        <v>45992</v>
      </c>
      <c r="K833" s="13">
        <f t="shared" si="63"/>
        <v>1131.29</v>
      </c>
      <c r="L833" s="13">
        <v>339.46094192557803</v>
      </c>
      <c r="M833" s="14">
        <f t="shared" si="64"/>
        <v>-5.5127971416372885E-3</v>
      </c>
    </row>
    <row r="834" spans="1:13" ht="15.5" x14ac:dyDescent="0.35">
      <c r="A834" s="8" t="s">
        <v>59</v>
      </c>
      <c r="B834" s="9" t="s">
        <v>60</v>
      </c>
      <c r="C834" s="9" t="s">
        <v>45</v>
      </c>
      <c r="D834" s="10">
        <v>183.83</v>
      </c>
      <c r="E834" s="9" t="s">
        <v>25</v>
      </c>
      <c r="F834" s="9" t="s">
        <v>30</v>
      </c>
      <c r="G834" s="9" t="str">
        <f t="shared" si="60"/>
        <v>Low Averg</v>
      </c>
      <c r="H834" s="11">
        <f t="shared" si="61"/>
        <v>203.25225806451613</v>
      </c>
      <c r="I834" s="9">
        <f t="shared" si="62"/>
        <v>31</v>
      </c>
      <c r="J834" s="12">
        <f>DATE(2025, MATCH(E834, {"January","February","March","April","May","June","July","August","September","October","November","December"},0),1)</f>
        <v>45931</v>
      </c>
      <c r="K834" s="13">
        <f t="shared" si="63"/>
        <v>5698.7300000000005</v>
      </c>
      <c r="L834" s="13">
        <v>339.52930162305802</v>
      </c>
      <c r="M834" s="14">
        <f t="shared" si="64"/>
        <v>-5.7203481324502911E-2</v>
      </c>
    </row>
    <row r="835" spans="1:13" ht="15.5" x14ac:dyDescent="0.35">
      <c r="A835" s="8" t="s">
        <v>41</v>
      </c>
      <c r="B835" s="9" t="s">
        <v>32</v>
      </c>
      <c r="C835" s="9" t="s">
        <v>49</v>
      </c>
      <c r="D835" s="10">
        <v>66.290000000000006</v>
      </c>
      <c r="E835" s="9" t="s">
        <v>25</v>
      </c>
      <c r="F835" s="9" t="s">
        <v>40</v>
      </c>
      <c r="G835" s="9" t="str">
        <f t="shared" si="60"/>
        <v>Low Averg</v>
      </c>
      <c r="H835" s="11">
        <f t="shared" si="61"/>
        <v>70.278611111111118</v>
      </c>
      <c r="I835" s="9">
        <f t="shared" si="62"/>
        <v>36</v>
      </c>
      <c r="J835" s="12">
        <f>DATE(2025, MATCH(E835, {"January","February","March","April","May","June","July","August","September","October","November","December"},0),1)</f>
        <v>45931</v>
      </c>
      <c r="K835" s="13">
        <f t="shared" si="63"/>
        <v>2386.44</v>
      </c>
      <c r="L835" s="13">
        <v>339.98477716954</v>
      </c>
      <c r="M835" s="14">
        <f t="shared" si="64"/>
        <v>-1.1731734415632715E-2</v>
      </c>
    </row>
    <row r="836" spans="1:13" ht="15.5" x14ac:dyDescent="0.35">
      <c r="A836" s="8" t="s">
        <v>51</v>
      </c>
      <c r="B836" s="9" t="s">
        <v>28</v>
      </c>
      <c r="C836" s="9" t="s">
        <v>49</v>
      </c>
      <c r="D836" s="10">
        <v>117</v>
      </c>
      <c r="E836" s="9" t="s">
        <v>25</v>
      </c>
      <c r="F836" s="9" t="s">
        <v>40</v>
      </c>
      <c r="G836" s="9" t="str">
        <f t="shared" si="60"/>
        <v>Low Averg</v>
      </c>
      <c r="H836" s="11">
        <f t="shared" si="61"/>
        <v>122.0377142857143</v>
      </c>
      <c r="I836" s="9">
        <f t="shared" si="62"/>
        <v>35</v>
      </c>
      <c r="J836" s="12">
        <f>DATE(2025, MATCH(E836, {"January","February","March","April","May","June","July","August","September","October","November","December"},0),1)</f>
        <v>45931</v>
      </c>
      <c r="K836" s="13">
        <f t="shared" si="63"/>
        <v>4095</v>
      </c>
      <c r="L836" s="13">
        <v>340.14057959452498</v>
      </c>
      <c r="M836" s="14">
        <f t="shared" si="64"/>
        <v>-1.481068295855691E-2</v>
      </c>
    </row>
    <row r="837" spans="1:13" ht="15.5" x14ac:dyDescent="0.35">
      <c r="A837" s="8" t="s">
        <v>64</v>
      </c>
      <c r="B837" s="9" t="s">
        <v>60</v>
      </c>
      <c r="C837" s="9" t="s">
        <v>15</v>
      </c>
      <c r="D837" s="10">
        <v>233.49</v>
      </c>
      <c r="E837" s="9" t="s">
        <v>39</v>
      </c>
      <c r="F837" s="9" t="s">
        <v>30</v>
      </c>
      <c r="G837" s="9" t="str">
        <f t="shared" si="60"/>
        <v>Low Averg</v>
      </c>
      <c r="H837" s="11">
        <f t="shared" si="61"/>
        <v>249.29749999999999</v>
      </c>
      <c r="I837" s="9">
        <f t="shared" si="62"/>
        <v>32</v>
      </c>
      <c r="J837" s="12">
        <f>DATE(2025, MATCH(E837, {"January","February","March","April","May","June","July","August","September","October","November","December"},0),1)</f>
        <v>45992</v>
      </c>
      <c r="K837" s="13">
        <f t="shared" si="63"/>
        <v>7471.68</v>
      </c>
      <c r="L837" s="13">
        <v>340.44347079451001</v>
      </c>
      <c r="M837" s="14">
        <f t="shared" si="64"/>
        <v>-4.6432084490001295E-2</v>
      </c>
    </row>
    <row r="838" spans="1:13" ht="15.5" x14ac:dyDescent="0.35">
      <c r="A838" s="8" t="s">
        <v>51</v>
      </c>
      <c r="B838" s="9" t="s">
        <v>28</v>
      </c>
      <c r="C838" s="9" t="s">
        <v>69</v>
      </c>
      <c r="D838" s="10">
        <v>114.95</v>
      </c>
      <c r="E838" s="9" t="s">
        <v>35</v>
      </c>
      <c r="F838" s="9" t="s">
        <v>40</v>
      </c>
      <c r="G838" s="9" t="str">
        <f t="shared" si="60"/>
        <v>Low Averg</v>
      </c>
      <c r="H838" s="11">
        <f t="shared" si="61"/>
        <v>122.0377142857143</v>
      </c>
      <c r="I838" s="9">
        <f t="shared" si="62"/>
        <v>35</v>
      </c>
      <c r="J838" s="12">
        <f>DATE(2025, MATCH(E838, {"January","February","March","April","May","June","July","August","September","October","November","December"},0),1)</f>
        <v>45778</v>
      </c>
      <c r="K838" s="13">
        <f t="shared" si="63"/>
        <v>4023.25</v>
      </c>
      <c r="L838" s="13">
        <v>340.984662509999</v>
      </c>
      <c r="M838" s="14">
        <f t="shared" si="64"/>
        <v>-2.0786020795015844E-2</v>
      </c>
    </row>
    <row r="839" spans="1:13" ht="15.5" x14ac:dyDescent="0.35">
      <c r="A839" s="8" t="s">
        <v>13</v>
      </c>
      <c r="B839" s="9" t="s">
        <v>14</v>
      </c>
      <c r="C839" s="9" t="s">
        <v>61</v>
      </c>
      <c r="D839" s="10">
        <v>189.75</v>
      </c>
      <c r="E839" s="9" t="s">
        <v>55</v>
      </c>
      <c r="F839" s="9" t="s">
        <v>26</v>
      </c>
      <c r="G839" s="9" t="str">
        <f t="shared" si="60"/>
        <v>Low Averg</v>
      </c>
      <c r="H839" s="11">
        <f t="shared" si="61"/>
        <v>206.78702702702708</v>
      </c>
      <c r="I839" s="9">
        <f t="shared" si="62"/>
        <v>37</v>
      </c>
      <c r="J839" s="12">
        <f>DATE(2025, MATCH(E839, {"January","February","March","April","May","June","July","August","September","October","November","December"},0),1)</f>
        <v>45962</v>
      </c>
      <c r="K839" s="13">
        <f t="shared" si="63"/>
        <v>7020.75</v>
      </c>
      <c r="L839" s="13">
        <v>341.28292134742401</v>
      </c>
      <c r="M839" s="14">
        <f t="shared" si="64"/>
        <v>-4.9920537950633302E-2</v>
      </c>
    </row>
    <row r="840" spans="1:13" ht="15.5" x14ac:dyDescent="0.35">
      <c r="A840" s="8" t="s">
        <v>70</v>
      </c>
      <c r="B840" s="9" t="s">
        <v>71</v>
      </c>
      <c r="C840" s="9" t="s">
        <v>49</v>
      </c>
      <c r="D840" s="10">
        <v>973.35</v>
      </c>
      <c r="E840" s="9" t="s">
        <v>39</v>
      </c>
      <c r="F840" s="9" t="s">
        <v>26</v>
      </c>
      <c r="G840" s="9" t="str">
        <f t="shared" ref="G840:G903" si="65">IF(D840&gt;AVERAGE(D:D),"Above Averg","Low Averg")</f>
        <v>Above Averg</v>
      </c>
      <c r="H840" s="11">
        <f t="shared" ref="H840:H903" si="66">AVERAGEIF(A:A,A840,D:D)</f>
        <v>911.5772916666665</v>
      </c>
      <c r="I840" s="9">
        <f t="shared" ref="I840:I903" si="67">COUNTIF(A:A,A840)</f>
        <v>48</v>
      </c>
      <c r="J840" s="12">
        <f>DATE(2025, MATCH(E840, {"January","February","March","April","May","June","July","August","September","October","November","December"},0),1)</f>
        <v>45992</v>
      </c>
      <c r="K840" s="13">
        <f t="shared" ref="K840:K903" si="68">1*(D840*I840)</f>
        <v>46720.800000000003</v>
      </c>
      <c r="L840" s="13">
        <v>341.75471267448899</v>
      </c>
      <c r="M840" s="14">
        <f t="shared" ref="M840:M903" si="69">(D840-H840)/L840</f>
        <v>0.18075159183589712</v>
      </c>
    </row>
    <row r="841" spans="1:13" ht="15.5" x14ac:dyDescent="0.35">
      <c r="A841" s="8" t="s">
        <v>58</v>
      </c>
      <c r="B841" s="9" t="s">
        <v>23</v>
      </c>
      <c r="C841" s="9" t="s">
        <v>61</v>
      </c>
      <c r="D841" s="10">
        <v>110.28</v>
      </c>
      <c r="E841" s="9" t="s">
        <v>63</v>
      </c>
      <c r="F841" s="9" t="s">
        <v>26</v>
      </c>
      <c r="G841" s="9" t="str">
        <f t="shared" si="65"/>
        <v>Low Averg</v>
      </c>
      <c r="H841" s="11">
        <f t="shared" si="66"/>
        <v>121.60903225806452</v>
      </c>
      <c r="I841" s="9">
        <f t="shared" si="67"/>
        <v>31</v>
      </c>
      <c r="J841" s="12">
        <f>DATE(2025, MATCH(E841, {"January","February","March","April","May","June","July","August","September","October","November","December"},0),1)</f>
        <v>45717</v>
      </c>
      <c r="K841" s="13">
        <f t="shared" si="68"/>
        <v>3418.68</v>
      </c>
      <c r="L841" s="13">
        <v>340.34785561423399</v>
      </c>
      <c r="M841" s="14">
        <f t="shared" si="69"/>
        <v>-3.3286627405419489E-2</v>
      </c>
    </row>
    <row r="842" spans="1:13" ht="15.5" x14ac:dyDescent="0.35">
      <c r="A842" s="8" t="s">
        <v>70</v>
      </c>
      <c r="B842" s="9" t="s">
        <v>71</v>
      </c>
      <c r="C842" s="9" t="s">
        <v>69</v>
      </c>
      <c r="D842" s="10">
        <v>865.41</v>
      </c>
      <c r="E842" s="9" t="s">
        <v>72</v>
      </c>
      <c r="F842" s="9" t="s">
        <v>30</v>
      </c>
      <c r="G842" s="9" t="str">
        <f t="shared" si="65"/>
        <v>Above Averg</v>
      </c>
      <c r="H842" s="11">
        <f t="shared" si="66"/>
        <v>911.5772916666665</v>
      </c>
      <c r="I842" s="9">
        <f t="shared" si="67"/>
        <v>48</v>
      </c>
      <c r="J842" s="12">
        <f>DATE(2025, MATCH(E842, {"January","February","March","April","May","June","July","August","September","October","November","December"},0),1)</f>
        <v>45901</v>
      </c>
      <c r="K842" s="13">
        <f t="shared" si="68"/>
        <v>41539.68</v>
      </c>
      <c r="L842" s="13">
        <v>340.63662428818998</v>
      </c>
      <c r="M842" s="14">
        <f t="shared" si="69"/>
        <v>-0.13553237783265329</v>
      </c>
    </row>
    <row r="843" spans="1:13" ht="15.5" x14ac:dyDescent="0.35">
      <c r="A843" s="8" t="s">
        <v>79</v>
      </c>
      <c r="B843" s="9" t="s">
        <v>32</v>
      </c>
      <c r="C843" s="9" t="s">
        <v>24</v>
      </c>
      <c r="D843" s="10">
        <v>96.22</v>
      </c>
      <c r="E843" s="9" t="s">
        <v>16</v>
      </c>
      <c r="F843" s="9" t="s">
        <v>17</v>
      </c>
      <c r="G843" s="9" t="str">
        <f t="shared" si="65"/>
        <v>Low Averg</v>
      </c>
      <c r="H843" s="11">
        <f t="shared" si="66"/>
        <v>90.269599999999997</v>
      </c>
      <c r="I843" s="9">
        <f t="shared" si="67"/>
        <v>25</v>
      </c>
      <c r="J843" s="12">
        <f>DATE(2025, MATCH(E843, {"January","February","March","April","May","June","July","August","September","October","November","December"},0),1)</f>
        <v>45809</v>
      </c>
      <c r="K843" s="13">
        <f t="shared" si="68"/>
        <v>2405.5</v>
      </c>
      <c r="L843" s="13">
        <v>339.87326622789999</v>
      </c>
      <c r="M843" s="14">
        <f t="shared" si="69"/>
        <v>1.7507702403430567E-2</v>
      </c>
    </row>
    <row r="844" spans="1:13" ht="15.5" x14ac:dyDescent="0.35">
      <c r="A844" s="8" t="s">
        <v>47</v>
      </c>
      <c r="B844" s="9" t="s">
        <v>19</v>
      </c>
      <c r="C844" s="9" t="s">
        <v>24</v>
      </c>
      <c r="D844" s="10">
        <v>627.49</v>
      </c>
      <c r="E844" s="9" t="s">
        <v>42</v>
      </c>
      <c r="F844" s="9" t="s">
        <v>30</v>
      </c>
      <c r="G844" s="9" t="str">
        <f t="shared" si="65"/>
        <v>Above Averg</v>
      </c>
      <c r="H844" s="11">
        <f t="shared" si="66"/>
        <v>673.04079999999988</v>
      </c>
      <c r="I844" s="9">
        <f t="shared" si="67"/>
        <v>25</v>
      </c>
      <c r="J844" s="12">
        <f>DATE(2025, MATCH(E844, {"January","February","March","April","May","June","July","August","September","October","November","December"},0),1)</f>
        <v>45658</v>
      </c>
      <c r="K844" s="13">
        <f t="shared" si="68"/>
        <v>15687.25</v>
      </c>
      <c r="L844" s="13">
        <v>340.12478580233898</v>
      </c>
      <c r="M844" s="14">
        <f t="shared" si="69"/>
        <v>-0.13392378886045483</v>
      </c>
    </row>
    <row r="845" spans="1:13" ht="15.5" x14ac:dyDescent="0.35">
      <c r="A845" s="8" t="s">
        <v>65</v>
      </c>
      <c r="B845" s="9" t="s">
        <v>23</v>
      </c>
      <c r="C845" s="9" t="s">
        <v>49</v>
      </c>
      <c r="D845" s="10">
        <v>142.05000000000001</v>
      </c>
      <c r="E845" s="9" t="s">
        <v>55</v>
      </c>
      <c r="F845" s="9" t="s">
        <v>36</v>
      </c>
      <c r="G845" s="9" t="str">
        <f t="shared" si="65"/>
        <v>Low Averg</v>
      </c>
      <c r="H845" s="11">
        <f t="shared" si="66"/>
        <v>151.26457142857143</v>
      </c>
      <c r="I845" s="9">
        <f t="shared" si="67"/>
        <v>35</v>
      </c>
      <c r="J845" s="12">
        <f>DATE(2025, MATCH(E845, {"January","February","March","April","May","June","July","August","September","October","November","December"},0),1)</f>
        <v>45962</v>
      </c>
      <c r="K845" s="13">
        <f t="shared" si="68"/>
        <v>4971.75</v>
      </c>
      <c r="L845" s="13">
        <v>340.377700293271</v>
      </c>
      <c r="M845" s="14">
        <f t="shared" si="69"/>
        <v>-2.7071607278126918E-2</v>
      </c>
    </row>
    <row r="846" spans="1:13" ht="15.5" x14ac:dyDescent="0.35">
      <c r="A846" s="8" t="s">
        <v>82</v>
      </c>
      <c r="B846" s="9" t="s">
        <v>14</v>
      </c>
      <c r="C846" s="9" t="s">
        <v>24</v>
      </c>
      <c r="D846" s="10">
        <v>795.19</v>
      </c>
      <c r="E846" s="9" t="s">
        <v>21</v>
      </c>
      <c r="F846" s="9" t="s">
        <v>26</v>
      </c>
      <c r="G846" s="9" t="str">
        <f t="shared" si="65"/>
        <v>Above Averg</v>
      </c>
      <c r="H846" s="11">
        <f t="shared" si="66"/>
        <v>905.6025925925926</v>
      </c>
      <c r="I846" s="9">
        <f t="shared" si="67"/>
        <v>27</v>
      </c>
      <c r="J846" s="12">
        <f>DATE(2025, MATCH(E846, {"January","February","March","April","May","June","July","August","September","October","November","December"},0),1)</f>
        <v>45748</v>
      </c>
      <c r="K846" s="13">
        <f t="shared" si="68"/>
        <v>21470.13</v>
      </c>
      <c r="L846" s="13">
        <v>340.75798660410402</v>
      </c>
      <c r="M846" s="14">
        <f t="shared" si="69"/>
        <v>-0.32402055691469672</v>
      </c>
    </row>
    <row r="847" spans="1:13" ht="15.5" x14ac:dyDescent="0.35">
      <c r="A847" s="8" t="s">
        <v>58</v>
      </c>
      <c r="B847" s="9" t="s">
        <v>23</v>
      </c>
      <c r="C847" s="9" t="s">
        <v>29</v>
      </c>
      <c r="D847" s="10">
        <v>138.27000000000001</v>
      </c>
      <c r="E847" s="9" t="s">
        <v>21</v>
      </c>
      <c r="F847" s="9" t="s">
        <v>17</v>
      </c>
      <c r="G847" s="9" t="str">
        <f t="shared" si="65"/>
        <v>Low Averg</v>
      </c>
      <c r="H847" s="11">
        <f t="shared" si="66"/>
        <v>121.60903225806452</v>
      </c>
      <c r="I847" s="9">
        <f t="shared" si="67"/>
        <v>31</v>
      </c>
      <c r="J847" s="12">
        <f>DATE(2025, MATCH(E847, {"January","February","March","April","May","June","July","August","September","October","November","December"},0),1)</f>
        <v>45748</v>
      </c>
      <c r="K847" s="13">
        <f t="shared" si="68"/>
        <v>4286.37</v>
      </c>
      <c r="L847" s="13">
        <v>340.35059925276801</v>
      </c>
      <c r="M847" s="14">
        <f t="shared" si="69"/>
        <v>4.8952367877460094E-2</v>
      </c>
    </row>
    <row r="848" spans="1:13" ht="15.5" x14ac:dyDescent="0.35">
      <c r="A848" s="8" t="s">
        <v>75</v>
      </c>
      <c r="B848" s="9" t="s">
        <v>28</v>
      </c>
      <c r="C848" s="9" t="s">
        <v>61</v>
      </c>
      <c r="D848" s="10">
        <v>125.28</v>
      </c>
      <c r="E848" s="9" t="s">
        <v>55</v>
      </c>
      <c r="F848" s="9" t="s">
        <v>17</v>
      </c>
      <c r="G848" s="9" t="str">
        <f t="shared" si="65"/>
        <v>Low Averg</v>
      </c>
      <c r="H848" s="11">
        <f t="shared" si="66"/>
        <v>120.53625</v>
      </c>
      <c r="I848" s="9">
        <f t="shared" si="67"/>
        <v>24</v>
      </c>
      <c r="J848" s="12">
        <f>DATE(2025, MATCH(E848, {"January","February","March","April","May","June","July","August","September","October","November","December"},0),1)</f>
        <v>45962</v>
      </c>
      <c r="K848" s="13">
        <f t="shared" si="68"/>
        <v>3006.7200000000003</v>
      </c>
      <c r="L848" s="13">
        <v>340.72631273757497</v>
      </c>
      <c r="M848" s="14">
        <f t="shared" si="69"/>
        <v>1.3922464519649848E-2</v>
      </c>
    </row>
    <row r="849" spans="1:13" ht="15.5" x14ac:dyDescent="0.35">
      <c r="A849" s="8" t="s">
        <v>52</v>
      </c>
      <c r="B849" s="9" t="s">
        <v>32</v>
      </c>
      <c r="C849" s="9" t="s">
        <v>15</v>
      </c>
      <c r="D849" s="10">
        <v>64.069999999999993</v>
      </c>
      <c r="E849" s="9" t="s">
        <v>39</v>
      </c>
      <c r="F849" s="9" t="s">
        <v>17</v>
      </c>
      <c r="G849" s="9" t="str">
        <f t="shared" si="65"/>
        <v>Low Averg</v>
      </c>
      <c r="H849" s="11">
        <f t="shared" si="66"/>
        <v>62.182121212121217</v>
      </c>
      <c r="I849" s="9">
        <f t="shared" si="67"/>
        <v>33</v>
      </c>
      <c r="J849" s="12">
        <f>DATE(2025, MATCH(E849, {"January","February","March","April","May","June","July","August","September","October","November","December"},0),1)</f>
        <v>45992</v>
      </c>
      <c r="K849" s="13">
        <f t="shared" si="68"/>
        <v>2114.31</v>
      </c>
      <c r="L849" s="13">
        <v>341.06833001589001</v>
      </c>
      <c r="M849" s="14">
        <f t="shared" si="69"/>
        <v>5.5351922818246474E-3</v>
      </c>
    </row>
    <row r="850" spans="1:13" ht="15.5" x14ac:dyDescent="0.35">
      <c r="A850" s="8" t="s">
        <v>48</v>
      </c>
      <c r="B850" s="9" t="s">
        <v>19</v>
      </c>
      <c r="C850" s="9" t="s">
        <v>69</v>
      </c>
      <c r="D850" s="10">
        <v>1271.27</v>
      </c>
      <c r="E850" s="9" t="s">
        <v>39</v>
      </c>
      <c r="F850" s="9" t="s">
        <v>17</v>
      </c>
      <c r="G850" s="9" t="str">
        <f t="shared" si="65"/>
        <v>Above Averg</v>
      </c>
      <c r="H850" s="11">
        <f t="shared" si="66"/>
        <v>1235.856</v>
      </c>
      <c r="I850" s="9">
        <f t="shared" si="67"/>
        <v>25</v>
      </c>
      <c r="J850" s="12">
        <f>DATE(2025, MATCH(E850, {"January","February","March","April","May","June","July","August","September","October","November","December"},0),1)</f>
        <v>45992</v>
      </c>
      <c r="K850" s="13">
        <f t="shared" si="68"/>
        <v>31781.75</v>
      </c>
      <c r="L850" s="13">
        <v>341.22276279415797</v>
      </c>
      <c r="M850" s="14">
        <f t="shared" si="69"/>
        <v>0.10378557312532934</v>
      </c>
    </row>
    <row r="851" spans="1:13" ht="15.5" x14ac:dyDescent="0.35">
      <c r="A851" s="8" t="s">
        <v>73</v>
      </c>
      <c r="B851" s="9" t="s">
        <v>54</v>
      </c>
      <c r="C851" s="9" t="s">
        <v>69</v>
      </c>
      <c r="D851" s="10">
        <v>44.41</v>
      </c>
      <c r="E851" s="9" t="s">
        <v>57</v>
      </c>
      <c r="F851" s="9" t="s">
        <v>26</v>
      </c>
      <c r="G851" s="9" t="str">
        <f t="shared" si="65"/>
        <v>Low Averg</v>
      </c>
      <c r="H851" s="11">
        <f t="shared" si="66"/>
        <v>40.881379310344826</v>
      </c>
      <c r="I851" s="9">
        <f t="shared" si="67"/>
        <v>29</v>
      </c>
      <c r="J851" s="12">
        <f>DATE(2025, MATCH(E851, {"January","February","March","April","May","June","July","August","September","October","November","December"},0),1)</f>
        <v>45839</v>
      </c>
      <c r="K851" s="13">
        <f t="shared" si="68"/>
        <v>1287.8899999999999</v>
      </c>
      <c r="L851" s="13">
        <v>337.12841496111599</v>
      </c>
      <c r="M851" s="14">
        <f t="shared" si="69"/>
        <v>1.0466696169951018E-2</v>
      </c>
    </row>
    <row r="852" spans="1:13" ht="15.5" x14ac:dyDescent="0.35">
      <c r="A852" s="8" t="s">
        <v>80</v>
      </c>
      <c r="B852" s="9" t="s">
        <v>19</v>
      </c>
      <c r="C852" s="9" t="s">
        <v>61</v>
      </c>
      <c r="D852" s="10">
        <v>751.87</v>
      </c>
      <c r="E852" s="9" t="s">
        <v>39</v>
      </c>
      <c r="F852" s="9" t="s">
        <v>30</v>
      </c>
      <c r="G852" s="9" t="str">
        <f t="shared" si="65"/>
        <v>Above Averg</v>
      </c>
      <c r="H852" s="11">
        <f t="shared" si="66"/>
        <v>720.27689655172423</v>
      </c>
      <c r="I852" s="9">
        <f t="shared" si="67"/>
        <v>29</v>
      </c>
      <c r="J852" s="12">
        <f>DATE(2025, MATCH(E852, {"January","February","March","April","May","June","July","August","September","October","November","December"},0),1)</f>
        <v>45992</v>
      </c>
      <c r="K852" s="13">
        <f t="shared" si="68"/>
        <v>21804.23</v>
      </c>
      <c r="L852" s="13">
        <v>337.20842535239001</v>
      </c>
      <c r="M852" s="14">
        <f t="shared" si="69"/>
        <v>9.3690136642523986E-2</v>
      </c>
    </row>
    <row r="853" spans="1:13" ht="15.5" x14ac:dyDescent="0.35">
      <c r="A853" s="8" t="s">
        <v>81</v>
      </c>
      <c r="B853" s="9" t="s">
        <v>28</v>
      </c>
      <c r="C853" s="9" t="s">
        <v>49</v>
      </c>
      <c r="D853" s="10">
        <v>128.87</v>
      </c>
      <c r="E853" s="9" t="s">
        <v>21</v>
      </c>
      <c r="F853" s="9" t="s">
        <v>30</v>
      </c>
      <c r="G853" s="9" t="str">
        <f t="shared" si="65"/>
        <v>Low Averg</v>
      </c>
      <c r="H853" s="11">
        <f t="shared" si="66"/>
        <v>140.29840000000002</v>
      </c>
      <c r="I853" s="9">
        <f t="shared" si="67"/>
        <v>25</v>
      </c>
      <c r="J853" s="12">
        <f>DATE(2025, MATCH(E853, {"January","February","March","April","May","June","July","August","September","October","November","December"},0),1)</f>
        <v>45748</v>
      </c>
      <c r="K853" s="13">
        <f t="shared" si="68"/>
        <v>3221.75</v>
      </c>
      <c r="L853" s="13">
        <v>336.97719437286099</v>
      </c>
      <c r="M853" s="14">
        <f t="shared" si="69"/>
        <v>-3.391446124794615E-2</v>
      </c>
    </row>
    <row r="854" spans="1:13" ht="15.5" x14ac:dyDescent="0.35">
      <c r="A854" s="8" t="s">
        <v>22</v>
      </c>
      <c r="B854" s="9" t="s">
        <v>23</v>
      </c>
      <c r="C854" s="9" t="s">
        <v>34</v>
      </c>
      <c r="D854" s="10">
        <v>244.94</v>
      </c>
      <c r="E854" s="9" t="s">
        <v>55</v>
      </c>
      <c r="F854" s="9" t="s">
        <v>17</v>
      </c>
      <c r="G854" s="9" t="str">
        <f t="shared" si="65"/>
        <v>Low Averg</v>
      </c>
      <c r="H854" s="11">
        <f t="shared" si="66"/>
        <v>257.40029411764709</v>
      </c>
      <c r="I854" s="9">
        <f t="shared" si="67"/>
        <v>34</v>
      </c>
      <c r="J854" s="12">
        <f>DATE(2025, MATCH(E854, {"January","February","March","April","May","June","July","August","September","October","November","December"},0),1)</f>
        <v>45962</v>
      </c>
      <c r="K854" s="13">
        <f t="shared" si="68"/>
        <v>8327.9599999999991</v>
      </c>
      <c r="L854" s="13">
        <v>337.32963603142701</v>
      </c>
      <c r="M854" s="14">
        <f t="shared" si="69"/>
        <v>-3.6938035638488173E-2</v>
      </c>
    </row>
    <row r="855" spans="1:13" ht="15.5" x14ac:dyDescent="0.35">
      <c r="A855" s="8" t="s">
        <v>76</v>
      </c>
      <c r="B855" s="9" t="s">
        <v>60</v>
      </c>
      <c r="C855" s="9" t="s">
        <v>61</v>
      </c>
      <c r="D855" s="10">
        <v>314.41000000000003</v>
      </c>
      <c r="E855" s="9" t="s">
        <v>39</v>
      </c>
      <c r="F855" s="9" t="s">
        <v>26</v>
      </c>
      <c r="G855" s="9" t="str">
        <f t="shared" si="65"/>
        <v>Low Averg</v>
      </c>
      <c r="H855" s="11">
        <f t="shared" si="66"/>
        <v>304.90820512820511</v>
      </c>
      <c r="I855" s="9">
        <f t="shared" si="67"/>
        <v>39</v>
      </c>
      <c r="J855" s="12">
        <f>DATE(2025, MATCH(E855, {"January","February","March","April","May","June","July","August","September","October","November","December"},0),1)</f>
        <v>45992</v>
      </c>
      <c r="K855" s="13">
        <f t="shared" si="68"/>
        <v>12261.990000000002</v>
      </c>
      <c r="L855" s="13">
        <v>337.919611296271</v>
      </c>
      <c r="M855" s="14">
        <f t="shared" si="69"/>
        <v>2.8118506751785458E-2</v>
      </c>
    </row>
    <row r="856" spans="1:13" ht="15.5" x14ac:dyDescent="0.35">
      <c r="A856" s="8" t="s">
        <v>74</v>
      </c>
      <c r="B856" s="9" t="s">
        <v>38</v>
      </c>
      <c r="C856" s="9" t="s">
        <v>24</v>
      </c>
      <c r="D856" s="10">
        <v>370.07</v>
      </c>
      <c r="E856" s="9" t="s">
        <v>63</v>
      </c>
      <c r="F856" s="9" t="s">
        <v>40</v>
      </c>
      <c r="G856" s="9" t="str">
        <f t="shared" si="65"/>
        <v>Low Averg</v>
      </c>
      <c r="H856" s="11">
        <f t="shared" si="66"/>
        <v>368.73933333333326</v>
      </c>
      <c r="I856" s="9">
        <f t="shared" si="67"/>
        <v>30</v>
      </c>
      <c r="J856" s="12">
        <f>DATE(2025, MATCH(E856, {"January","February","March","April","May","June","July","August","September","October","November","December"},0),1)</f>
        <v>45717</v>
      </c>
      <c r="K856" s="13">
        <f t="shared" si="68"/>
        <v>11102.1</v>
      </c>
      <c r="L856" s="13">
        <v>338.57930900917302</v>
      </c>
      <c r="M856" s="14">
        <f t="shared" si="69"/>
        <v>3.930147623494259E-3</v>
      </c>
    </row>
    <row r="857" spans="1:13" ht="15.5" x14ac:dyDescent="0.35">
      <c r="A857" s="8" t="s">
        <v>77</v>
      </c>
      <c r="B857" s="9" t="s">
        <v>14</v>
      </c>
      <c r="C857" s="9" t="s">
        <v>20</v>
      </c>
      <c r="D857" s="10">
        <v>206</v>
      </c>
      <c r="E857" s="9" t="s">
        <v>62</v>
      </c>
      <c r="F857" s="9" t="s">
        <v>17</v>
      </c>
      <c r="G857" s="9" t="str">
        <f t="shared" si="65"/>
        <v>Low Averg</v>
      </c>
      <c r="H857" s="11">
        <f t="shared" si="66"/>
        <v>226.49633333333335</v>
      </c>
      <c r="I857" s="9">
        <f t="shared" si="67"/>
        <v>30</v>
      </c>
      <c r="J857" s="12">
        <f>DATE(2025, MATCH(E857, {"January","February","March","April","May","June","July","August","September","October","November","December"},0),1)</f>
        <v>45689</v>
      </c>
      <c r="K857" s="13">
        <f t="shared" si="68"/>
        <v>6180</v>
      </c>
      <c r="L857" s="13">
        <v>339.25531655193799</v>
      </c>
      <c r="M857" s="14">
        <f t="shared" si="69"/>
        <v>-6.0415658453492463E-2</v>
      </c>
    </row>
    <row r="858" spans="1:13" ht="15.5" x14ac:dyDescent="0.35">
      <c r="A858" s="8" t="s">
        <v>56</v>
      </c>
      <c r="B858" s="9" t="s">
        <v>19</v>
      </c>
      <c r="C858" s="9" t="s">
        <v>69</v>
      </c>
      <c r="D858" s="10">
        <v>571.30999999999995</v>
      </c>
      <c r="E858" s="9" t="s">
        <v>42</v>
      </c>
      <c r="F858" s="9" t="s">
        <v>17</v>
      </c>
      <c r="G858" s="9" t="str">
        <f t="shared" si="65"/>
        <v>Above Averg</v>
      </c>
      <c r="H858" s="11">
        <f t="shared" si="66"/>
        <v>533.4588235294118</v>
      </c>
      <c r="I858" s="9">
        <f t="shared" si="67"/>
        <v>34</v>
      </c>
      <c r="J858" s="12">
        <f>DATE(2025, MATCH(E858, {"January","February","March","April","May","June","July","August","September","October","November","December"},0),1)</f>
        <v>45658</v>
      </c>
      <c r="K858" s="13">
        <f t="shared" si="68"/>
        <v>19424.539999999997</v>
      </c>
      <c r="L858" s="13">
        <v>339.79321918006798</v>
      </c>
      <c r="M858" s="14">
        <f t="shared" si="69"/>
        <v>0.11139473754633555</v>
      </c>
    </row>
    <row r="859" spans="1:13" ht="15.5" x14ac:dyDescent="0.35">
      <c r="A859" s="8" t="s">
        <v>81</v>
      </c>
      <c r="B859" s="9" t="s">
        <v>28</v>
      </c>
      <c r="C859" s="9" t="s">
        <v>49</v>
      </c>
      <c r="D859" s="10">
        <v>126.45</v>
      </c>
      <c r="E859" s="9" t="s">
        <v>57</v>
      </c>
      <c r="F859" s="9" t="s">
        <v>30</v>
      </c>
      <c r="G859" s="9" t="str">
        <f t="shared" si="65"/>
        <v>Low Averg</v>
      </c>
      <c r="H859" s="11">
        <f t="shared" si="66"/>
        <v>140.29840000000002</v>
      </c>
      <c r="I859" s="9">
        <f t="shared" si="67"/>
        <v>25</v>
      </c>
      <c r="J859" s="12">
        <f>DATE(2025, MATCH(E859, {"January","February","March","April","May","June","July","August","September","October","November","December"},0),1)</f>
        <v>45839</v>
      </c>
      <c r="K859" s="13">
        <f t="shared" si="68"/>
        <v>3161.25</v>
      </c>
      <c r="L859" s="13">
        <v>340.21626801865801</v>
      </c>
      <c r="M859" s="14">
        <f t="shared" si="69"/>
        <v>-4.0704696693811666E-2</v>
      </c>
    </row>
    <row r="860" spans="1:13" ht="15.5" x14ac:dyDescent="0.35">
      <c r="A860" s="8" t="s">
        <v>83</v>
      </c>
      <c r="B860" s="9" t="s">
        <v>23</v>
      </c>
      <c r="C860" s="9" t="s">
        <v>29</v>
      </c>
      <c r="D860" s="10">
        <v>122.57</v>
      </c>
      <c r="E860" s="9" t="s">
        <v>72</v>
      </c>
      <c r="F860" s="9" t="s">
        <v>36</v>
      </c>
      <c r="G860" s="9" t="str">
        <f t="shared" si="65"/>
        <v>Low Averg</v>
      </c>
      <c r="H860" s="11">
        <f t="shared" si="66"/>
        <v>132.90272727272728</v>
      </c>
      <c r="I860" s="9">
        <f t="shared" si="67"/>
        <v>22</v>
      </c>
      <c r="J860" s="12">
        <f>DATE(2025, MATCH(E860, {"January","February","March","April","May","June","July","August","September","October","November","December"},0),1)</f>
        <v>45901</v>
      </c>
      <c r="K860" s="13">
        <f t="shared" si="68"/>
        <v>2696.54</v>
      </c>
      <c r="L860" s="13">
        <v>340.57653715197199</v>
      </c>
      <c r="M860" s="14">
        <f t="shared" si="69"/>
        <v>-3.0338928685849594E-2</v>
      </c>
    </row>
    <row r="861" spans="1:13" ht="15.5" x14ac:dyDescent="0.35">
      <c r="A861" s="8" t="s">
        <v>52</v>
      </c>
      <c r="B861" s="9" t="s">
        <v>32</v>
      </c>
      <c r="C861" s="9" t="s">
        <v>49</v>
      </c>
      <c r="D861" s="10">
        <v>53</v>
      </c>
      <c r="E861" s="9" t="s">
        <v>72</v>
      </c>
      <c r="F861" s="9" t="s">
        <v>36</v>
      </c>
      <c r="G861" s="9" t="str">
        <f t="shared" si="65"/>
        <v>Low Averg</v>
      </c>
      <c r="H861" s="11">
        <f t="shared" si="66"/>
        <v>62.182121212121217</v>
      </c>
      <c r="I861" s="9">
        <f t="shared" si="67"/>
        <v>33</v>
      </c>
      <c r="J861" s="12">
        <f>DATE(2025, MATCH(E861, {"January","February","March","April","May","June","July","August","September","October","November","December"},0),1)</f>
        <v>45901</v>
      </c>
      <c r="K861" s="13">
        <f t="shared" si="68"/>
        <v>1749</v>
      </c>
      <c r="L861" s="13">
        <v>340.92566505610898</v>
      </c>
      <c r="M861" s="14">
        <f t="shared" si="69"/>
        <v>-2.6932912811389657E-2</v>
      </c>
    </row>
    <row r="862" spans="1:13" ht="15.5" x14ac:dyDescent="0.35">
      <c r="A862" s="8" t="s">
        <v>67</v>
      </c>
      <c r="B862" s="9" t="s">
        <v>23</v>
      </c>
      <c r="C862" s="9" t="s">
        <v>15</v>
      </c>
      <c r="D862" s="10">
        <v>182.38</v>
      </c>
      <c r="E862" s="9" t="s">
        <v>46</v>
      </c>
      <c r="F862" s="9" t="s">
        <v>26</v>
      </c>
      <c r="G862" s="9" t="str">
        <f t="shared" si="65"/>
        <v>Low Averg</v>
      </c>
      <c r="H862" s="11">
        <f t="shared" si="66"/>
        <v>226.566129032258</v>
      </c>
      <c r="I862" s="9">
        <f t="shared" si="67"/>
        <v>31</v>
      </c>
      <c r="J862" s="12">
        <f>DATE(2025, MATCH(E862, {"January","February","March","April","May","June","July","August","September","October","November","December"},0),1)</f>
        <v>45870</v>
      </c>
      <c r="K862" s="13">
        <f t="shared" si="68"/>
        <v>5653.78</v>
      </c>
      <c r="L862" s="13">
        <v>341.04468142680503</v>
      </c>
      <c r="M862" s="14">
        <f t="shared" si="69"/>
        <v>-0.12956111453607649</v>
      </c>
    </row>
    <row r="863" spans="1:13" ht="15.5" x14ac:dyDescent="0.35">
      <c r="A863" s="8" t="s">
        <v>67</v>
      </c>
      <c r="B863" s="9" t="s">
        <v>23</v>
      </c>
      <c r="C863" s="9" t="s">
        <v>29</v>
      </c>
      <c r="D863" s="10">
        <v>211.44</v>
      </c>
      <c r="E863" s="9" t="s">
        <v>55</v>
      </c>
      <c r="F863" s="9" t="s">
        <v>17</v>
      </c>
      <c r="G863" s="9" t="str">
        <f t="shared" si="65"/>
        <v>Low Averg</v>
      </c>
      <c r="H863" s="11">
        <f t="shared" si="66"/>
        <v>226.566129032258</v>
      </c>
      <c r="I863" s="9">
        <f t="shared" si="67"/>
        <v>31</v>
      </c>
      <c r="J863" s="12">
        <f>DATE(2025, MATCH(E863, {"January","February","March","April","May","June","July","August","September","October","November","December"},0),1)</f>
        <v>45962</v>
      </c>
      <c r="K863" s="13">
        <f t="shared" si="68"/>
        <v>6554.64</v>
      </c>
      <c r="L863" s="13">
        <v>341.54411803335398</v>
      </c>
      <c r="M863" s="14">
        <f t="shared" si="69"/>
        <v>-4.4287482154152756E-2</v>
      </c>
    </row>
    <row r="864" spans="1:13" ht="15.5" x14ac:dyDescent="0.35">
      <c r="A864" s="8" t="s">
        <v>27</v>
      </c>
      <c r="B864" s="9" t="s">
        <v>28</v>
      </c>
      <c r="C864" s="9" t="s">
        <v>69</v>
      </c>
      <c r="D864" s="10">
        <v>105.52</v>
      </c>
      <c r="E864" s="9" t="s">
        <v>35</v>
      </c>
      <c r="F864" s="9" t="s">
        <v>30</v>
      </c>
      <c r="G864" s="9" t="str">
        <f t="shared" si="65"/>
        <v>Low Averg</v>
      </c>
      <c r="H864" s="11">
        <f t="shared" si="66"/>
        <v>113.26108695652174</v>
      </c>
      <c r="I864" s="9">
        <f t="shared" si="67"/>
        <v>46</v>
      </c>
      <c r="J864" s="12">
        <f>DATE(2025, MATCH(E864, {"January","February","March","April","May","June","July","August","September","October","November","December"},0),1)</f>
        <v>45778</v>
      </c>
      <c r="K864" s="13">
        <f t="shared" si="68"/>
        <v>4853.92</v>
      </c>
      <c r="L864" s="13">
        <v>342.10421597974403</v>
      </c>
      <c r="M864" s="14">
        <f t="shared" si="69"/>
        <v>-2.2627861905624953E-2</v>
      </c>
    </row>
    <row r="865" spans="1:13" ht="15.5" x14ac:dyDescent="0.35">
      <c r="A865" s="8" t="s">
        <v>74</v>
      </c>
      <c r="B865" s="9" t="s">
        <v>38</v>
      </c>
      <c r="C865" s="9" t="s">
        <v>43</v>
      </c>
      <c r="D865" s="10">
        <v>402.76</v>
      </c>
      <c r="E865" s="9" t="s">
        <v>21</v>
      </c>
      <c r="F865" s="9" t="s">
        <v>36</v>
      </c>
      <c r="G865" s="9" t="str">
        <f t="shared" si="65"/>
        <v>Above Averg</v>
      </c>
      <c r="H865" s="11">
        <f t="shared" si="66"/>
        <v>368.73933333333326</v>
      </c>
      <c r="I865" s="9">
        <f t="shared" si="67"/>
        <v>30</v>
      </c>
      <c r="J865" s="12">
        <f>DATE(2025, MATCH(E865, {"January","February","March","April","May","June","July","August","September","October","November","December"},0),1)</f>
        <v>45748</v>
      </c>
      <c r="K865" s="13">
        <f t="shared" si="68"/>
        <v>12082.8</v>
      </c>
      <c r="L865" s="13">
        <v>342.40136363852002</v>
      </c>
      <c r="M865" s="14">
        <f t="shared" si="69"/>
        <v>9.9359027969827318E-2</v>
      </c>
    </row>
    <row r="866" spans="1:13" ht="15.5" x14ac:dyDescent="0.35">
      <c r="A866" s="8" t="s">
        <v>47</v>
      </c>
      <c r="B866" s="9" t="s">
        <v>19</v>
      </c>
      <c r="C866" s="9" t="s">
        <v>49</v>
      </c>
      <c r="D866" s="10">
        <v>686.38</v>
      </c>
      <c r="E866" s="9" t="s">
        <v>46</v>
      </c>
      <c r="F866" s="9" t="s">
        <v>40</v>
      </c>
      <c r="G866" s="9" t="str">
        <f t="shared" si="65"/>
        <v>Above Averg</v>
      </c>
      <c r="H866" s="11">
        <f t="shared" si="66"/>
        <v>673.04079999999988</v>
      </c>
      <c r="I866" s="9">
        <f t="shared" si="67"/>
        <v>25</v>
      </c>
      <c r="J866" s="12">
        <f>DATE(2025, MATCH(E866, {"January","February","March","April","May","June","July","August","September","October","November","December"},0),1)</f>
        <v>45870</v>
      </c>
      <c r="K866" s="13">
        <f t="shared" si="68"/>
        <v>17159.5</v>
      </c>
      <c r="L866" s="13">
        <v>343.10300558136998</v>
      </c>
      <c r="M866" s="14">
        <f t="shared" si="69"/>
        <v>3.887812051485106E-2</v>
      </c>
    </row>
    <row r="867" spans="1:13" ht="15.5" x14ac:dyDescent="0.35">
      <c r="A867" s="8" t="s">
        <v>79</v>
      </c>
      <c r="B867" s="9" t="s">
        <v>32</v>
      </c>
      <c r="C867" s="9" t="s">
        <v>15</v>
      </c>
      <c r="D867" s="10">
        <v>90.63</v>
      </c>
      <c r="E867" s="9" t="s">
        <v>72</v>
      </c>
      <c r="F867" s="9" t="s">
        <v>40</v>
      </c>
      <c r="G867" s="9" t="str">
        <f t="shared" si="65"/>
        <v>Low Averg</v>
      </c>
      <c r="H867" s="11">
        <f t="shared" si="66"/>
        <v>90.269599999999997</v>
      </c>
      <c r="I867" s="9">
        <f t="shared" si="67"/>
        <v>25</v>
      </c>
      <c r="J867" s="12">
        <f>DATE(2025, MATCH(E867, {"January","February","March","April","May","June","July","August","September","October","November","December"},0),1)</f>
        <v>45901</v>
      </c>
      <c r="K867" s="13">
        <f t="shared" si="68"/>
        <v>2265.75</v>
      </c>
      <c r="L867" s="13">
        <v>343.19317762639901</v>
      </c>
      <c r="M867" s="14">
        <f t="shared" si="69"/>
        <v>1.0501374254948939E-3</v>
      </c>
    </row>
    <row r="868" spans="1:13" ht="15.5" x14ac:dyDescent="0.35">
      <c r="A868" s="8" t="s">
        <v>81</v>
      </c>
      <c r="B868" s="9" t="s">
        <v>28</v>
      </c>
      <c r="C868" s="9" t="s">
        <v>69</v>
      </c>
      <c r="D868" s="10">
        <v>148.97</v>
      </c>
      <c r="E868" s="9" t="s">
        <v>39</v>
      </c>
      <c r="F868" s="9" t="s">
        <v>36</v>
      </c>
      <c r="G868" s="9" t="str">
        <f t="shared" si="65"/>
        <v>Low Averg</v>
      </c>
      <c r="H868" s="11">
        <f t="shared" si="66"/>
        <v>140.29840000000002</v>
      </c>
      <c r="I868" s="9">
        <f t="shared" si="67"/>
        <v>25</v>
      </c>
      <c r="J868" s="12">
        <f>DATE(2025, MATCH(E868, {"January","February","March","April","May","June","July","August","September","October","November","December"},0),1)</f>
        <v>45992</v>
      </c>
      <c r="K868" s="13">
        <f t="shared" si="68"/>
        <v>3724.25</v>
      </c>
      <c r="L868" s="13">
        <v>343.45030601225898</v>
      </c>
      <c r="M868" s="14">
        <f t="shared" si="69"/>
        <v>2.524848529233939E-2</v>
      </c>
    </row>
    <row r="869" spans="1:13" ht="15.5" x14ac:dyDescent="0.35">
      <c r="A869" s="8" t="s">
        <v>51</v>
      </c>
      <c r="B869" s="9" t="s">
        <v>28</v>
      </c>
      <c r="C869" s="9" t="s">
        <v>45</v>
      </c>
      <c r="D869" s="10">
        <v>120.36</v>
      </c>
      <c r="E869" s="9" t="s">
        <v>55</v>
      </c>
      <c r="F869" s="9" t="s">
        <v>30</v>
      </c>
      <c r="G869" s="9" t="str">
        <f t="shared" si="65"/>
        <v>Low Averg</v>
      </c>
      <c r="H869" s="11">
        <f t="shared" si="66"/>
        <v>122.0377142857143</v>
      </c>
      <c r="I869" s="9">
        <f t="shared" si="67"/>
        <v>35</v>
      </c>
      <c r="J869" s="12">
        <f>DATE(2025, MATCH(E869, {"January","February","March","April","May","June","July","August","September","October","November","December"},0),1)</f>
        <v>45962</v>
      </c>
      <c r="K869" s="13">
        <f t="shared" si="68"/>
        <v>4212.6000000000004</v>
      </c>
      <c r="L869" s="13">
        <v>343.88190255826498</v>
      </c>
      <c r="M869" s="14">
        <f t="shared" si="69"/>
        <v>-4.8787513190812403E-3</v>
      </c>
    </row>
    <row r="870" spans="1:13" ht="15.5" x14ac:dyDescent="0.35">
      <c r="A870" s="8" t="s">
        <v>65</v>
      </c>
      <c r="B870" s="9" t="s">
        <v>23</v>
      </c>
      <c r="C870" s="9" t="s">
        <v>15</v>
      </c>
      <c r="D870" s="10">
        <v>139.19</v>
      </c>
      <c r="E870" s="9" t="s">
        <v>46</v>
      </c>
      <c r="F870" s="9" t="s">
        <v>26</v>
      </c>
      <c r="G870" s="9" t="str">
        <f t="shared" si="65"/>
        <v>Low Averg</v>
      </c>
      <c r="H870" s="11">
        <f t="shared" si="66"/>
        <v>151.26457142857143</v>
      </c>
      <c r="I870" s="9">
        <f t="shared" si="67"/>
        <v>35</v>
      </c>
      <c r="J870" s="12">
        <f>DATE(2025, MATCH(E870, {"January","February","March","April","May","June","July","August","September","October","November","December"},0),1)</f>
        <v>45870</v>
      </c>
      <c r="K870" s="13">
        <f t="shared" si="68"/>
        <v>4871.6499999999996</v>
      </c>
      <c r="L870" s="13">
        <v>344.23233270081499</v>
      </c>
      <c r="M870" s="14">
        <f t="shared" si="69"/>
        <v>-3.5076807962330162E-2</v>
      </c>
    </row>
    <row r="871" spans="1:13" ht="15.5" x14ac:dyDescent="0.35">
      <c r="A871" s="8" t="s">
        <v>75</v>
      </c>
      <c r="B871" s="9" t="s">
        <v>28</v>
      </c>
      <c r="C871" s="9" t="s">
        <v>29</v>
      </c>
      <c r="D871" s="10">
        <v>128.96</v>
      </c>
      <c r="E871" s="9" t="s">
        <v>39</v>
      </c>
      <c r="F871" s="9" t="s">
        <v>30</v>
      </c>
      <c r="G871" s="9" t="str">
        <f t="shared" si="65"/>
        <v>Low Averg</v>
      </c>
      <c r="H871" s="11">
        <f t="shared" si="66"/>
        <v>120.53625</v>
      </c>
      <c r="I871" s="9">
        <f t="shared" si="67"/>
        <v>24</v>
      </c>
      <c r="J871" s="12">
        <f>DATE(2025, MATCH(E871, {"January","February","March","April","May","June","July","August","September","October","November","December"},0),1)</f>
        <v>45992</v>
      </c>
      <c r="K871" s="13">
        <f t="shared" si="68"/>
        <v>3095.04</v>
      </c>
      <c r="L871" s="13">
        <v>344.63760780437099</v>
      </c>
      <c r="M871" s="14">
        <f t="shared" si="69"/>
        <v>2.4442341199111511E-2</v>
      </c>
    </row>
    <row r="872" spans="1:13" ht="15.5" x14ac:dyDescent="0.35">
      <c r="A872" s="8" t="s">
        <v>76</v>
      </c>
      <c r="B872" s="9" t="s">
        <v>60</v>
      </c>
      <c r="C872" s="9" t="s">
        <v>20</v>
      </c>
      <c r="D872" s="10">
        <v>334.68</v>
      </c>
      <c r="E872" s="9" t="s">
        <v>55</v>
      </c>
      <c r="F872" s="9" t="s">
        <v>26</v>
      </c>
      <c r="G872" s="9" t="str">
        <f t="shared" si="65"/>
        <v>Low Averg</v>
      </c>
      <c r="H872" s="11">
        <f t="shared" si="66"/>
        <v>304.90820512820511</v>
      </c>
      <c r="I872" s="9">
        <f t="shared" si="67"/>
        <v>39</v>
      </c>
      <c r="J872" s="12">
        <f>DATE(2025, MATCH(E872, {"January","February","March","April","May","June","July","August","September","October","November","December"},0),1)</f>
        <v>45962</v>
      </c>
      <c r="K872" s="13">
        <f t="shared" si="68"/>
        <v>13052.52</v>
      </c>
      <c r="L872" s="13">
        <v>345.01332982203002</v>
      </c>
      <c r="M872" s="14">
        <f t="shared" si="69"/>
        <v>8.6291723531818992E-2</v>
      </c>
    </row>
    <row r="873" spans="1:13" ht="15.5" x14ac:dyDescent="0.35">
      <c r="A873" s="8" t="s">
        <v>22</v>
      </c>
      <c r="B873" s="9" t="s">
        <v>23</v>
      </c>
      <c r="C873" s="9" t="s">
        <v>69</v>
      </c>
      <c r="D873" s="10">
        <v>275.05</v>
      </c>
      <c r="E873" s="9" t="s">
        <v>57</v>
      </c>
      <c r="F873" s="9" t="s">
        <v>26</v>
      </c>
      <c r="G873" s="9" t="str">
        <f t="shared" si="65"/>
        <v>Low Averg</v>
      </c>
      <c r="H873" s="11">
        <f t="shared" si="66"/>
        <v>257.40029411764709</v>
      </c>
      <c r="I873" s="9">
        <f t="shared" si="67"/>
        <v>34</v>
      </c>
      <c r="J873" s="12">
        <f>DATE(2025, MATCH(E873, {"January","February","March","April","May","June","July","August","September","October","November","December"},0),1)</f>
        <v>45839</v>
      </c>
      <c r="K873" s="13">
        <f t="shared" si="68"/>
        <v>9351.7000000000007</v>
      </c>
      <c r="L873" s="13">
        <v>345.74198424782099</v>
      </c>
      <c r="M873" s="14">
        <f t="shared" si="69"/>
        <v>5.1048778240660411E-2</v>
      </c>
    </row>
    <row r="874" spans="1:13" ht="15.5" x14ac:dyDescent="0.35">
      <c r="A874" s="8" t="s">
        <v>31</v>
      </c>
      <c r="B874" s="9" t="s">
        <v>32</v>
      </c>
      <c r="C874" s="9" t="s">
        <v>49</v>
      </c>
      <c r="D874" s="10">
        <v>123.33</v>
      </c>
      <c r="E874" s="9" t="s">
        <v>39</v>
      </c>
      <c r="F874" s="9" t="s">
        <v>36</v>
      </c>
      <c r="G874" s="9" t="str">
        <f t="shared" si="65"/>
        <v>Low Averg</v>
      </c>
      <c r="H874" s="11">
        <f t="shared" si="66"/>
        <v>123.43305555555558</v>
      </c>
      <c r="I874" s="9">
        <f t="shared" si="67"/>
        <v>36</v>
      </c>
      <c r="J874" s="12">
        <f>DATE(2025, MATCH(E874, {"January","February","March","April","May","June","July","August","September","October","November","December"},0),1)</f>
        <v>45992</v>
      </c>
      <c r="K874" s="13">
        <f t="shared" si="68"/>
        <v>4439.88</v>
      </c>
      <c r="L874" s="13">
        <v>346.42679969451399</v>
      </c>
      <c r="M874" s="14">
        <f t="shared" si="69"/>
        <v>-2.974814755857844E-4</v>
      </c>
    </row>
    <row r="875" spans="1:13" ht="15.5" x14ac:dyDescent="0.35">
      <c r="A875" s="8" t="s">
        <v>18</v>
      </c>
      <c r="B875" s="9" t="s">
        <v>19</v>
      </c>
      <c r="C875" s="9" t="s">
        <v>69</v>
      </c>
      <c r="D875" s="10">
        <v>842.44</v>
      </c>
      <c r="E875" s="9" t="s">
        <v>57</v>
      </c>
      <c r="F875" s="9" t="s">
        <v>36</v>
      </c>
      <c r="G875" s="9" t="str">
        <f t="shared" si="65"/>
        <v>Above Averg</v>
      </c>
      <c r="H875" s="11">
        <f t="shared" si="66"/>
        <v>920.12567567567555</v>
      </c>
      <c r="I875" s="9">
        <f t="shared" si="67"/>
        <v>37</v>
      </c>
      <c r="J875" s="12">
        <f>DATE(2025, MATCH(E875, {"January","February","March","April","May","June","July","August","September","October","November","December"},0),1)</f>
        <v>45839</v>
      </c>
      <c r="K875" s="13">
        <f t="shared" si="68"/>
        <v>31170.280000000002</v>
      </c>
      <c r="L875" s="13">
        <v>346.79116442455597</v>
      </c>
      <c r="M875" s="14">
        <f t="shared" si="69"/>
        <v>-0.22401284589987278</v>
      </c>
    </row>
    <row r="876" spans="1:13" ht="15.5" x14ac:dyDescent="0.35">
      <c r="A876" s="8" t="s">
        <v>74</v>
      </c>
      <c r="B876" s="9" t="s">
        <v>38</v>
      </c>
      <c r="C876" s="9" t="s">
        <v>29</v>
      </c>
      <c r="D876" s="10">
        <v>344.42</v>
      </c>
      <c r="E876" s="9" t="s">
        <v>42</v>
      </c>
      <c r="F876" s="9" t="s">
        <v>26</v>
      </c>
      <c r="G876" s="9" t="str">
        <f t="shared" si="65"/>
        <v>Low Averg</v>
      </c>
      <c r="H876" s="11">
        <f t="shared" si="66"/>
        <v>368.73933333333326</v>
      </c>
      <c r="I876" s="9">
        <f t="shared" si="67"/>
        <v>30</v>
      </c>
      <c r="J876" s="12">
        <f>DATE(2025, MATCH(E876, {"January","February","March","April","May","June","July","August","September","October","November","December"},0),1)</f>
        <v>45658</v>
      </c>
      <c r="K876" s="13">
        <f t="shared" si="68"/>
        <v>10332.6</v>
      </c>
      <c r="L876" s="13">
        <v>346.152004785126</v>
      </c>
      <c r="M876" s="14">
        <f t="shared" si="69"/>
        <v>-7.0256225580520568E-2</v>
      </c>
    </row>
    <row r="877" spans="1:13" ht="15.5" x14ac:dyDescent="0.35">
      <c r="A877" s="8" t="s">
        <v>48</v>
      </c>
      <c r="B877" s="9" t="s">
        <v>19</v>
      </c>
      <c r="C877" s="9" t="s">
        <v>20</v>
      </c>
      <c r="D877" s="10">
        <v>1304.5999999999999</v>
      </c>
      <c r="E877" s="9" t="s">
        <v>39</v>
      </c>
      <c r="F877" s="9" t="s">
        <v>40</v>
      </c>
      <c r="G877" s="9" t="str">
        <f t="shared" si="65"/>
        <v>Above Averg</v>
      </c>
      <c r="H877" s="11">
        <f t="shared" si="66"/>
        <v>1235.856</v>
      </c>
      <c r="I877" s="9">
        <f t="shared" si="67"/>
        <v>25</v>
      </c>
      <c r="J877" s="12">
        <f>DATE(2025, MATCH(E877, {"January","February","March","April","May","June","July","August","September","October","November","December"},0),1)</f>
        <v>45992</v>
      </c>
      <c r="K877" s="13">
        <f t="shared" si="68"/>
        <v>32614.999999999996</v>
      </c>
      <c r="L877" s="13">
        <v>346.89968776012898</v>
      </c>
      <c r="M877" s="14">
        <f t="shared" si="69"/>
        <v>0.19816679698926218</v>
      </c>
    </row>
    <row r="878" spans="1:13" ht="15.5" x14ac:dyDescent="0.35">
      <c r="A878" s="8" t="s">
        <v>73</v>
      </c>
      <c r="B878" s="9" t="s">
        <v>54</v>
      </c>
      <c r="C878" s="9" t="s">
        <v>29</v>
      </c>
      <c r="D878" s="10">
        <v>45.5</v>
      </c>
      <c r="E878" s="9" t="s">
        <v>63</v>
      </c>
      <c r="F878" s="9" t="s">
        <v>36</v>
      </c>
      <c r="G878" s="9" t="str">
        <f t="shared" si="65"/>
        <v>Low Averg</v>
      </c>
      <c r="H878" s="11">
        <f t="shared" si="66"/>
        <v>40.881379310344826</v>
      </c>
      <c r="I878" s="9">
        <f t="shared" si="67"/>
        <v>29</v>
      </c>
      <c r="J878" s="12">
        <f>DATE(2025, MATCH(E878, {"January","February","March","April","May","June","July","August","September","October","November","December"},0),1)</f>
        <v>45717</v>
      </c>
      <c r="K878" s="13">
        <f t="shared" si="68"/>
        <v>1319.5</v>
      </c>
      <c r="L878" s="13">
        <v>342.09939389066898</v>
      </c>
      <c r="M878" s="14">
        <f t="shared" si="69"/>
        <v>1.3500815178676498E-2</v>
      </c>
    </row>
    <row r="879" spans="1:13" ht="15.5" x14ac:dyDescent="0.35">
      <c r="A879" s="8" t="s">
        <v>37</v>
      </c>
      <c r="B879" s="9" t="s">
        <v>38</v>
      </c>
      <c r="C879" s="9" t="s">
        <v>34</v>
      </c>
      <c r="D879" s="10">
        <v>1024.05</v>
      </c>
      <c r="E879" s="9" t="s">
        <v>72</v>
      </c>
      <c r="F879" s="9" t="s">
        <v>36</v>
      </c>
      <c r="G879" s="9" t="str">
        <f t="shared" si="65"/>
        <v>Above Averg</v>
      </c>
      <c r="H879" s="11">
        <f t="shared" si="66"/>
        <v>1024.1451428571424</v>
      </c>
      <c r="I879" s="9">
        <f t="shared" si="67"/>
        <v>35</v>
      </c>
      <c r="J879" s="12">
        <f>DATE(2025, MATCH(E879, {"January","February","March","April","May","June","July","August","September","October","November","December"},0),1)</f>
        <v>45901</v>
      </c>
      <c r="K879" s="13">
        <f t="shared" si="68"/>
        <v>35841.75</v>
      </c>
      <c r="L879" s="13">
        <v>342.18952402214501</v>
      </c>
      <c r="M879" s="14">
        <f t="shared" si="69"/>
        <v>-2.7804140823532058E-4</v>
      </c>
    </row>
    <row r="880" spans="1:13" ht="15.5" x14ac:dyDescent="0.35">
      <c r="A880" s="8" t="s">
        <v>82</v>
      </c>
      <c r="B880" s="9" t="s">
        <v>14</v>
      </c>
      <c r="C880" s="9" t="s">
        <v>43</v>
      </c>
      <c r="D880" s="10">
        <v>1000.55</v>
      </c>
      <c r="E880" s="9" t="s">
        <v>62</v>
      </c>
      <c r="F880" s="9" t="s">
        <v>36</v>
      </c>
      <c r="G880" s="9" t="str">
        <f t="shared" si="65"/>
        <v>Above Averg</v>
      </c>
      <c r="H880" s="11">
        <f t="shared" si="66"/>
        <v>905.6025925925926</v>
      </c>
      <c r="I880" s="9">
        <f t="shared" si="67"/>
        <v>27</v>
      </c>
      <c r="J880" s="12">
        <f>DATE(2025, MATCH(E880, {"January","February","March","April","May","June","July","August","September","October","November","December"},0),1)</f>
        <v>45689</v>
      </c>
      <c r="K880" s="13">
        <f t="shared" si="68"/>
        <v>27014.85</v>
      </c>
      <c r="L880" s="13">
        <v>340.14681090982299</v>
      </c>
      <c r="M880" s="14">
        <f t="shared" si="69"/>
        <v>0.27913655034260798</v>
      </c>
    </row>
    <row r="881" spans="1:13" ht="15.5" x14ac:dyDescent="0.35">
      <c r="A881" s="8" t="s">
        <v>79</v>
      </c>
      <c r="B881" s="9" t="s">
        <v>32</v>
      </c>
      <c r="C881" s="9" t="s">
        <v>34</v>
      </c>
      <c r="D881" s="10">
        <v>87.84</v>
      </c>
      <c r="E881" s="9" t="s">
        <v>42</v>
      </c>
      <c r="F881" s="9" t="s">
        <v>36</v>
      </c>
      <c r="G881" s="9" t="str">
        <f t="shared" si="65"/>
        <v>Low Averg</v>
      </c>
      <c r="H881" s="11">
        <f t="shared" si="66"/>
        <v>90.269599999999997</v>
      </c>
      <c r="I881" s="9">
        <f t="shared" si="67"/>
        <v>25</v>
      </c>
      <c r="J881" s="12">
        <f>DATE(2025, MATCH(E881, {"January","February","March","April","May","June","July","August","September","October","November","December"},0),1)</f>
        <v>45658</v>
      </c>
      <c r="K881" s="13">
        <f t="shared" si="68"/>
        <v>2196</v>
      </c>
      <c r="L881" s="13">
        <v>338.248688579739</v>
      </c>
      <c r="M881" s="14">
        <f t="shared" si="69"/>
        <v>-7.1828807679981226E-3</v>
      </c>
    </row>
    <row r="882" spans="1:13" ht="15.5" x14ac:dyDescent="0.35">
      <c r="A882" s="8" t="s">
        <v>77</v>
      </c>
      <c r="B882" s="9" t="s">
        <v>14</v>
      </c>
      <c r="C882" s="9" t="s">
        <v>69</v>
      </c>
      <c r="D882" s="10">
        <v>196.1</v>
      </c>
      <c r="E882" s="9" t="s">
        <v>72</v>
      </c>
      <c r="F882" s="9" t="s">
        <v>30</v>
      </c>
      <c r="G882" s="9" t="str">
        <f t="shared" si="65"/>
        <v>Low Averg</v>
      </c>
      <c r="H882" s="11">
        <f t="shared" si="66"/>
        <v>226.49633333333335</v>
      </c>
      <c r="I882" s="9">
        <f t="shared" si="67"/>
        <v>30</v>
      </c>
      <c r="J882" s="12">
        <f>DATE(2025, MATCH(E882, {"January","February","March","April","May","June","July","August","September","October","November","December"},0),1)</f>
        <v>45901</v>
      </c>
      <c r="K882" s="13">
        <f t="shared" si="68"/>
        <v>5883</v>
      </c>
      <c r="L882" s="13">
        <v>338.50641110648201</v>
      </c>
      <c r="M882" s="14">
        <f t="shared" si="69"/>
        <v>-8.9795443560363647E-2</v>
      </c>
    </row>
    <row r="883" spans="1:13" ht="15.5" x14ac:dyDescent="0.35">
      <c r="A883" s="8" t="s">
        <v>41</v>
      </c>
      <c r="B883" s="9" t="s">
        <v>32</v>
      </c>
      <c r="C883" s="9" t="s">
        <v>49</v>
      </c>
      <c r="D883" s="10">
        <v>64.17</v>
      </c>
      <c r="E883" s="9" t="s">
        <v>25</v>
      </c>
      <c r="F883" s="9" t="s">
        <v>30</v>
      </c>
      <c r="G883" s="9" t="str">
        <f t="shared" si="65"/>
        <v>Low Averg</v>
      </c>
      <c r="H883" s="11">
        <f t="shared" si="66"/>
        <v>70.278611111111118</v>
      </c>
      <c r="I883" s="9">
        <f t="shared" si="67"/>
        <v>36</v>
      </c>
      <c r="J883" s="12">
        <f>DATE(2025, MATCH(E883, {"January","February","March","April","May","June","July","August","September","October","November","December"},0),1)</f>
        <v>45931</v>
      </c>
      <c r="K883" s="13">
        <f t="shared" si="68"/>
        <v>2310.12</v>
      </c>
      <c r="L883" s="13">
        <v>339.07787436777102</v>
      </c>
      <c r="M883" s="14">
        <f t="shared" si="69"/>
        <v>-1.8015363351268351E-2</v>
      </c>
    </row>
    <row r="884" spans="1:13" ht="15.5" x14ac:dyDescent="0.35">
      <c r="A884" s="8" t="s">
        <v>18</v>
      </c>
      <c r="B884" s="9" t="s">
        <v>19</v>
      </c>
      <c r="C884" s="9" t="s">
        <v>24</v>
      </c>
      <c r="D884" s="10">
        <v>787.89</v>
      </c>
      <c r="E884" s="9" t="s">
        <v>63</v>
      </c>
      <c r="F884" s="9" t="s">
        <v>26</v>
      </c>
      <c r="G884" s="9" t="str">
        <f t="shared" si="65"/>
        <v>Above Averg</v>
      </c>
      <c r="H884" s="11">
        <f t="shared" si="66"/>
        <v>920.12567567567555</v>
      </c>
      <c r="I884" s="9">
        <f t="shared" si="67"/>
        <v>37</v>
      </c>
      <c r="J884" s="12">
        <f>DATE(2025, MATCH(E884, {"January","February","March","April","May","June","July","August","September","October","November","December"},0),1)</f>
        <v>45717</v>
      </c>
      <c r="K884" s="13">
        <f t="shared" si="68"/>
        <v>29151.93</v>
      </c>
      <c r="L884" s="13">
        <v>339.24355893123402</v>
      </c>
      <c r="M884" s="14">
        <f t="shared" si="69"/>
        <v>-0.38979568570815593</v>
      </c>
    </row>
    <row r="885" spans="1:13" ht="15.5" x14ac:dyDescent="0.35">
      <c r="A885" s="8" t="s">
        <v>64</v>
      </c>
      <c r="B885" s="9" t="s">
        <v>60</v>
      </c>
      <c r="C885" s="9" t="s">
        <v>49</v>
      </c>
      <c r="D885" s="10">
        <v>238.06</v>
      </c>
      <c r="E885" s="9" t="s">
        <v>16</v>
      </c>
      <c r="F885" s="9" t="s">
        <v>17</v>
      </c>
      <c r="G885" s="9" t="str">
        <f t="shared" si="65"/>
        <v>Low Averg</v>
      </c>
      <c r="H885" s="11">
        <f t="shared" si="66"/>
        <v>249.29749999999999</v>
      </c>
      <c r="I885" s="9">
        <f t="shared" si="67"/>
        <v>32</v>
      </c>
      <c r="J885" s="12">
        <f>DATE(2025, MATCH(E885, {"January","February","March","April","May","June","July","August","September","October","November","December"},0),1)</f>
        <v>45809</v>
      </c>
      <c r="K885" s="13">
        <f t="shared" si="68"/>
        <v>7617.92</v>
      </c>
      <c r="L885" s="13">
        <v>338.8129800209</v>
      </c>
      <c r="M885" s="14">
        <f t="shared" si="69"/>
        <v>-3.3167265313468176E-2</v>
      </c>
    </row>
    <row r="886" spans="1:13" ht="15.5" x14ac:dyDescent="0.35">
      <c r="A886" s="8" t="s">
        <v>13</v>
      </c>
      <c r="B886" s="9" t="s">
        <v>14</v>
      </c>
      <c r="C886" s="9" t="s">
        <v>24</v>
      </c>
      <c r="D886" s="10">
        <v>177.34</v>
      </c>
      <c r="E886" s="9" t="s">
        <v>57</v>
      </c>
      <c r="F886" s="9" t="s">
        <v>36</v>
      </c>
      <c r="G886" s="9" t="str">
        <f t="shared" si="65"/>
        <v>Low Averg</v>
      </c>
      <c r="H886" s="11">
        <f t="shared" si="66"/>
        <v>206.78702702702708</v>
      </c>
      <c r="I886" s="9">
        <f t="shared" si="67"/>
        <v>37</v>
      </c>
      <c r="J886" s="12">
        <f>DATE(2025, MATCH(E886, {"January","February","March","April","May","June","July","August","September","October","November","December"},0),1)</f>
        <v>45839</v>
      </c>
      <c r="K886" s="13">
        <f t="shared" si="68"/>
        <v>6561.58</v>
      </c>
      <c r="L886" s="13">
        <v>339.474519578735</v>
      </c>
      <c r="M886" s="14">
        <f t="shared" si="69"/>
        <v>-8.6742966934805155E-2</v>
      </c>
    </row>
    <row r="887" spans="1:13" ht="15.5" x14ac:dyDescent="0.35">
      <c r="A887" s="8" t="s">
        <v>52</v>
      </c>
      <c r="B887" s="9" t="s">
        <v>32</v>
      </c>
      <c r="C887" s="9" t="s">
        <v>49</v>
      </c>
      <c r="D887" s="10">
        <v>61.73</v>
      </c>
      <c r="E887" s="9" t="s">
        <v>62</v>
      </c>
      <c r="F887" s="9" t="s">
        <v>17</v>
      </c>
      <c r="G887" s="9" t="str">
        <f t="shared" si="65"/>
        <v>Low Averg</v>
      </c>
      <c r="H887" s="11">
        <f t="shared" si="66"/>
        <v>62.182121212121217</v>
      </c>
      <c r="I887" s="9">
        <f t="shared" si="67"/>
        <v>33</v>
      </c>
      <c r="J887" s="12">
        <f>DATE(2025, MATCH(E887, {"January","February","March","April","May","June","July","August","September","October","November","December"},0),1)</f>
        <v>45689</v>
      </c>
      <c r="K887" s="13">
        <f t="shared" si="68"/>
        <v>2037.09</v>
      </c>
      <c r="L887" s="13">
        <v>340.01292541266099</v>
      </c>
      <c r="M887" s="14">
        <f t="shared" si="69"/>
        <v>-1.3297177205028236E-3</v>
      </c>
    </row>
    <row r="888" spans="1:13" ht="15.5" x14ac:dyDescent="0.35">
      <c r="A888" s="8" t="s">
        <v>79</v>
      </c>
      <c r="B888" s="9" t="s">
        <v>32</v>
      </c>
      <c r="C888" s="9" t="s">
        <v>24</v>
      </c>
      <c r="D888" s="10">
        <v>84.06</v>
      </c>
      <c r="E888" s="9" t="s">
        <v>39</v>
      </c>
      <c r="F888" s="9" t="s">
        <v>40</v>
      </c>
      <c r="G888" s="9" t="str">
        <f t="shared" si="65"/>
        <v>Low Averg</v>
      </c>
      <c r="H888" s="11">
        <f t="shared" si="66"/>
        <v>90.269599999999997</v>
      </c>
      <c r="I888" s="9">
        <f t="shared" si="67"/>
        <v>25</v>
      </c>
      <c r="J888" s="12">
        <f>DATE(2025, MATCH(E888, {"January","February","March","April","May","June","July","August","September","October","November","December"},0),1)</f>
        <v>45992</v>
      </c>
      <c r="K888" s="13">
        <f t="shared" si="68"/>
        <v>2101.5</v>
      </c>
      <c r="L888" s="13">
        <v>340.17207390149002</v>
      </c>
      <c r="M888" s="14">
        <f t="shared" si="69"/>
        <v>-1.8254290920418779E-2</v>
      </c>
    </row>
    <row r="889" spans="1:13" ht="15.5" x14ac:dyDescent="0.35">
      <c r="A889" s="8" t="s">
        <v>44</v>
      </c>
      <c r="B889" s="9" t="s">
        <v>23</v>
      </c>
      <c r="C889" s="9" t="s">
        <v>69</v>
      </c>
      <c r="D889" s="10">
        <v>191.75</v>
      </c>
      <c r="E889" s="9" t="s">
        <v>72</v>
      </c>
      <c r="F889" s="9" t="s">
        <v>36</v>
      </c>
      <c r="G889" s="9" t="str">
        <f t="shared" si="65"/>
        <v>Low Averg</v>
      </c>
      <c r="H889" s="11">
        <f t="shared" si="66"/>
        <v>206.14838709677423</v>
      </c>
      <c r="I889" s="9">
        <f t="shared" si="67"/>
        <v>31</v>
      </c>
      <c r="J889" s="12">
        <f>DATE(2025, MATCH(E889, {"January","February","March","April","May","June","July","August","September","October","November","December"},0),1)</f>
        <v>45901</v>
      </c>
      <c r="K889" s="13">
        <f t="shared" si="68"/>
        <v>5944.25</v>
      </c>
      <c r="L889" s="13">
        <v>340.41543099120997</v>
      </c>
      <c r="M889" s="14">
        <f t="shared" si="69"/>
        <v>-4.2296517096329915E-2</v>
      </c>
    </row>
    <row r="890" spans="1:13" ht="15.5" x14ac:dyDescent="0.35">
      <c r="A890" s="8" t="s">
        <v>73</v>
      </c>
      <c r="B890" s="9" t="s">
        <v>54</v>
      </c>
      <c r="C890" s="9" t="s">
        <v>49</v>
      </c>
      <c r="D890" s="10">
        <v>43.74</v>
      </c>
      <c r="E890" s="9" t="s">
        <v>57</v>
      </c>
      <c r="F890" s="9" t="s">
        <v>30</v>
      </c>
      <c r="G890" s="9" t="str">
        <f t="shared" si="65"/>
        <v>Low Averg</v>
      </c>
      <c r="H890" s="11">
        <f t="shared" si="66"/>
        <v>40.881379310344826</v>
      </c>
      <c r="I890" s="9">
        <f t="shared" si="67"/>
        <v>29</v>
      </c>
      <c r="J890" s="12">
        <f>DATE(2025, MATCH(E890, {"January","February","March","April","May","June","July","August","September","October","November","December"},0),1)</f>
        <v>45839</v>
      </c>
      <c r="K890" s="13">
        <f t="shared" si="68"/>
        <v>1268.46</v>
      </c>
      <c r="L890" s="13">
        <v>340.99081709251601</v>
      </c>
      <c r="M890" s="14">
        <f t="shared" si="69"/>
        <v>8.3832776320178388E-3</v>
      </c>
    </row>
    <row r="891" spans="1:13" ht="15.5" x14ac:dyDescent="0.35">
      <c r="A891" s="8" t="s">
        <v>27</v>
      </c>
      <c r="B891" s="9" t="s">
        <v>28</v>
      </c>
      <c r="C891" s="9" t="s">
        <v>49</v>
      </c>
      <c r="D891" s="10">
        <v>122.53</v>
      </c>
      <c r="E891" s="9" t="s">
        <v>63</v>
      </c>
      <c r="F891" s="9" t="s">
        <v>30</v>
      </c>
      <c r="G891" s="9" t="str">
        <f t="shared" si="65"/>
        <v>Low Averg</v>
      </c>
      <c r="H891" s="11">
        <f t="shared" si="66"/>
        <v>113.26108695652174</v>
      </c>
      <c r="I891" s="9">
        <f t="shared" si="67"/>
        <v>46</v>
      </c>
      <c r="J891" s="12">
        <f>DATE(2025, MATCH(E891, {"January","February","March","April","May","June","July","August","September","October","November","December"},0),1)</f>
        <v>45717</v>
      </c>
      <c r="K891" s="13">
        <f t="shared" si="68"/>
        <v>5636.38</v>
      </c>
      <c r="L891" s="13">
        <v>341.064579023401</v>
      </c>
      <c r="M891" s="14">
        <f t="shared" si="69"/>
        <v>2.7176416472266703E-2</v>
      </c>
    </row>
    <row r="892" spans="1:13" ht="15.5" x14ac:dyDescent="0.35">
      <c r="A892" s="8" t="s">
        <v>82</v>
      </c>
      <c r="B892" s="9" t="s">
        <v>14</v>
      </c>
      <c r="C892" s="9" t="s">
        <v>43</v>
      </c>
      <c r="D892" s="10">
        <v>1046.5</v>
      </c>
      <c r="E892" s="9" t="s">
        <v>55</v>
      </c>
      <c r="F892" s="9" t="s">
        <v>36</v>
      </c>
      <c r="G892" s="9" t="str">
        <f t="shared" si="65"/>
        <v>Above Averg</v>
      </c>
      <c r="H892" s="11">
        <f t="shared" si="66"/>
        <v>905.6025925925926</v>
      </c>
      <c r="I892" s="9">
        <f t="shared" si="67"/>
        <v>27</v>
      </c>
      <c r="J892" s="12">
        <f>DATE(2025, MATCH(E892, {"January","February","March","April","May","June","July","August","September","October","November","December"},0),1)</f>
        <v>45962</v>
      </c>
      <c r="K892" s="13">
        <f t="shared" si="68"/>
        <v>28255.5</v>
      </c>
      <c r="L892" s="13">
        <v>341.44089821501501</v>
      </c>
      <c r="M892" s="14">
        <f t="shared" si="69"/>
        <v>0.41265533257436637</v>
      </c>
    </row>
    <row r="893" spans="1:13" ht="15.5" x14ac:dyDescent="0.35">
      <c r="A893" s="8" t="s">
        <v>18</v>
      </c>
      <c r="B893" s="9" t="s">
        <v>19</v>
      </c>
      <c r="C893" s="9" t="s">
        <v>43</v>
      </c>
      <c r="D893" s="10">
        <v>899.01</v>
      </c>
      <c r="E893" s="9" t="s">
        <v>57</v>
      </c>
      <c r="F893" s="9" t="s">
        <v>26</v>
      </c>
      <c r="G893" s="9" t="str">
        <f t="shared" si="65"/>
        <v>Above Averg</v>
      </c>
      <c r="H893" s="11">
        <f t="shared" si="66"/>
        <v>920.12567567567555</v>
      </c>
      <c r="I893" s="9">
        <f t="shared" si="67"/>
        <v>37</v>
      </c>
      <c r="J893" s="12">
        <f>DATE(2025, MATCH(E893, {"January","February","March","April","May","June","July","August","September","October","November","December"},0),1)</f>
        <v>45839</v>
      </c>
      <c r="K893" s="13">
        <f t="shared" si="68"/>
        <v>33263.370000000003</v>
      </c>
      <c r="L893" s="13">
        <v>339.08704642135598</v>
      </c>
      <c r="M893" s="14">
        <f t="shared" si="69"/>
        <v>-6.227213896409603E-2</v>
      </c>
    </row>
    <row r="894" spans="1:13" ht="15.5" x14ac:dyDescent="0.35">
      <c r="A894" s="8" t="s">
        <v>74</v>
      </c>
      <c r="B894" s="9" t="s">
        <v>38</v>
      </c>
      <c r="C894" s="9" t="s">
        <v>34</v>
      </c>
      <c r="D894" s="10">
        <v>363.83</v>
      </c>
      <c r="E894" s="9" t="s">
        <v>16</v>
      </c>
      <c r="F894" s="9" t="s">
        <v>36</v>
      </c>
      <c r="G894" s="9" t="str">
        <f t="shared" si="65"/>
        <v>Low Averg</v>
      </c>
      <c r="H894" s="11">
        <f t="shared" si="66"/>
        <v>368.73933333333326</v>
      </c>
      <c r="I894" s="9">
        <f t="shared" si="67"/>
        <v>30</v>
      </c>
      <c r="J894" s="12">
        <f>DATE(2025, MATCH(E894, {"January","February","March","April","May","June","July","August","September","October","November","December"},0),1)</f>
        <v>45809</v>
      </c>
      <c r="K894" s="13">
        <f t="shared" si="68"/>
        <v>10914.9</v>
      </c>
      <c r="L894" s="13">
        <v>337.91356513397199</v>
      </c>
      <c r="M894" s="14">
        <f t="shared" si="69"/>
        <v>-1.4528370091880996E-2</v>
      </c>
    </row>
    <row r="895" spans="1:13" ht="15.5" x14ac:dyDescent="0.35">
      <c r="A895" s="8" t="s">
        <v>41</v>
      </c>
      <c r="B895" s="9" t="s">
        <v>32</v>
      </c>
      <c r="C895" s="9" t="s">
        <v>24</v>
      </c>
      <c r="D895" s="10">
        <v>75.209999999999994</v>
      </c>
      <c r="E895" s="9" t="s">
        <v>35</v>
      </c>
      <c r="F895" s="9" t="s">
        <v>40</v>
      </c>
      <c r="G895" s="9" t="str">
        <f t="shared" si="65"/>
        <v>Low Averg</v>
      </c>
      <c r="H895" s="11">
        <f t="shared" si="66"/>
        <v>70.278611111111118</v>
      </c>
      <c r="I895" s="9">
        <f t="shared" si="67"/>
        <v>36</v>
      </c>
      <c r="J895" s="12">
        <f>DATE(2025, MATCH(E895, {"January","February","March","April","May","June","July","August","September","October","November","December"},0),1)</f>
        <v>45778</v>
      </c>
      <c r="K895" s="13">
        <f t="shared" si="68"/>
        <v>2707.56</v>
      </c>
      <c r="L895" s="13">
        <v>338.70958861221902</v>
      </c>
      <c r="M895" s="14">
        <f t="shared" si="69"/>
        <v>1.4559342441688923E-2</v>
      </c>
    </row>
    <row r="896" spans="1:13" ht="15.5" x14ac:dyDescent="0.35">
      <c r="A896" s="8" t="s">
        <v>73</v>
      </c>
      <c r="B896" s="9" t="s">
        <v>54</v>
      </c>
      <c r="C896" s="9" t="s">
        <v>15</v>
      </c>
      <c r="D896" s="10">
        <v>42.72</v>
      </c>
      <c r="E896" s="9" t="s">
        <v>35</v>
      </c>
      <c r="F896" s="9" t="s">
        <v>26</v>
      </c>
      <c r="G896" s="9" t="str">
        <f t="shared" si="65"/>
        <v>Low Averg</v>
      </c>
      <c r="H896" s="11">
        <f t="shared" si="66"/>
        <v>40.881379310344826</v>
      </c>
      <c r="I896" s="9">
        <f t="shared" si="67"/>
        <v>29</v>
      </c>
      <c r="J896" s="12">
        <f>DATE(2025, MATCH(E896, {"January","February","March","April","May","June","July","August","September","October","November","December"},0),1)</f>
        <v>45778</v>
      </c>
      <c r="K896" s="13">
        <f t="shared" si="68"/>
        <v>1238.8799999999999</v>
      </c>
      <c r="L896" s="13">
        <v>338.923204682505</v>
      </c>
      <c r="M896" s="14">
        <f t="shared" si="69"/>
        <v>5.424888777909284E-3</v>
      </c>
    </row>
    <row r="897" spans="1:13" ht="15.5" x14ac:dyDescent="0.35">
      <c r="A897" s="8" t="s">
        <v>31</v>
      </c>
      <c r="B897" s="9" t="s">
        <v>32</v>
      </c>
      <c r="C897" s="9" t="s">
        <v>15</v>
      </c>
      <c r="D897" s="10">
        <v>126.62</v>
      </c>
      <c r="E897" s="9" t="s">
        <v>55</v>
      </c>
      <c r="F897" s="9" t="s">
        <v>26</v>
      </c>
      <c r="G897" s="9" t="str">
        <f t="shared" si="65"/>
        <v>Low Averg</v>
      </c>
      <c r="H897" s="11">
        <f t="shared" si="66"/>
        <v>123.43305555555558</v>
      </c>
      <c r="I897" s="9">
        <f t="shared" si="67"/>
        <v>36</v>
      </c>
      <c r="J897" s="12">
        <f>DATE(2025, MATCH(E897, {"January","February","March","April","May","June","July","August","September","October","November","December"},0),1)</f>
        <v>45962</v>
      </c>
      <c r="K897" s="13">
        <f t="shared" si="68"/>
        <v>4558.32</v>
      </c>
      <c r="L897" s="13">
        <v>338.99233735917602</v>
      </c>
      <c r="M897" s="14">
        <f t="shared" si="69"/>
        <v>9.4012285624843657E-3</v>
      </c>
    </row>
    <row r="898" spans="1:13" ht="15.5" x14ac:dyDescent="0.35">
      <c r="A898" s="8" t="s">
        <v>78</v>
      </c>
      <c r="B898" s="9" t="s">
        <v>28</v>
      </c>
      <c r="C898" s="9" t="s">
        <v>45</v>
      </c>
      <c r="D898" s="10">
        <v>287.14999999999998</v>
      </c>
      <c r="E898" s="9" t="s">
        <v>55</v>
      </c>
      <c r="F898" s="9" t="s">
        <v>40</v>
      </c>
      <c r="G898" s="9" t="str">
        <f t="shared" si="65"/>
        <v>Low Averg</v>
      </c>
      <c r="H898" s="11">
        <f t="shared" si="66"/>
        <v>309.01727272727271</v>
      </c>
      <c r="I898" s="9">
        <f t="shared" si="67"/>
        <v>22</v>
      </c>
      <c r="J898" s="12">
        <f>DATE(2025, MATCH(E898, {"January","February","March","April","May","June","July","August","September","October","November","December"},0),1)</f>
        <v>45962</v>
      </c>
      <c r="K898" s="13">
        <f t="shared" si="68"/>
        <v>6317.2999999999993</v>
      </c>
      <c r="L898" s="13">
        <v>339.39143158358598</v>
      </c>
      <c r="M898" s="14">
        <f t="shared" si="69"/>
        <v>-6.4430833227701031E-2</v>
      </c>
    </row>
    <row r="899" spans="1:13" ht="15.5" x14ac:dyDescent="0.35">
      <c r="A899" s="8" t="s">
        <v>41</v>
      </c>
      <c r="B899" s="9" t="s">
        <v>32</v>
      </c>
      <c r="C899" s="9" t="s">
        <v>45</v>
      </c>
      <c r="D899" s="10">
        <v>68.62</v>
      </c>
      <c r="E899" s="9" t="s">
        <v>63</v>
      </c>
      <c r="F899" s="9" t="s">
        <v>30</v>
      </c>
      <c r="G899" s="9" t="str">
        <f t="shared" si="65"/>
        <v>Low Averg</v>
      </c>
      <c r="H899" s="11">
        <f t="shared" si="66"/>
        <v>70.278611111111118</v>
      </c>
      <c r="I899" s="9">
        <f t="shared" si="67"/>
        <v>36</v>
      </c>
      <c r="J899" s="12">
        <f>DATE(2025, MATCH(E899, {"January","February","March","April","May","June","July","August","September","October","November","December"},0),1)</f>
        <v>45717</v>
      </c>
      <c r="K899" s="13">
        <f t="shared" si="68"/>
        <v>2470.3200000000002</v>
      </c>
      <c r="L899" s="13">
        <v>340.15906401185498</v>
      </c>
      <c r="M899" s="14">
        <f t="shared" si="69"/>
        <v>-4.875986814960512E-3</v>
      </c>
    </row>
    <row r="900" spans="1:13" ht="15.5" x14ac:dyDescent="0.35">
      <c r="A900" s="8" t="s">
        <v>70</v>
      </c>
      <c r="B900" s="9" t="s">
        <v>71</v>
      </c>
      <c r="C900" s="9" t="s">
        <v>34</v>
      </c>
      <c r="D900" s="10">
        <v>985.43</v>
      </c>
      <c r="E900" s="9" t="s">
        <v>21</v>
      </c>
      <c r="F900" s="9" t="s">
        <v>36</v>
      </c>
      <c r="G900" s="9" t="str">
        <f t="shared" si="65"/>
        <v>Above Averg</v>
      </c>
      <c r="H900" s="11">
        <f t="shared" si="66"/>
        <v>911.5772916666665</v>
      </c>
      <c r="I900" s="9">
        <f t="shared" si="67"/>
        <v>48</v>
      </c>
      <c r="J900" s="12">
        <f>DATE(2025, MATCH(E900, {"January","February","March","April","May","June","July","August","September","October","November","December"},0),1)</f>
        <v>45748</v>
      </c>
      <c r="K900" s="13">
        <f t="shared" si="68"/>
        <v>47300.639999999999</v>
      </c>
      <c r="L900" s="13">
        <v>340.33642696028102</v>
      </c>
      <c r="M900" s="14">
        <f t="shared" si="69"/>
        <v>0.2169991293407815</v>
      </c>
    </row>
    <row r="901" spans="1:13" ht="15.5" x14ac:dyDescent="0.35">
      <c r="A901" s="8" t="s">
        <v>56</v>
      </c>
      <c r="B901" s="9" t="s">
        <v>19</v>
      </c>
      <c r="C901" s="9" t="s">
        <v>24</v>
      </c>
      <c r="D901" s="10">
        <v>513.55999999999995</v>
      </c>
      <c r="E901" s="9" t="s">
        <v>21</v>
      </c>
      <c r="F901" s="9" t="s">
        <v>40</v>
      </c>
      <c r="G901" s="9" t="str">
        <f t="shared" si="65"/>
        <v>Above Averg</v>
      </c>
      <c r="H901" s="11">
        <f t="shared" si="66"/>
        <v>533.4588235294118</v>
      </c>
      <c r="I901" s="9">
        <f t="shared" si="67"/>
        <v>34</v>
      </c>
      <c r="J901" s="12">
        <f>DATE(2025, MATCH(E901, {"January","February","March","April","May","June","July","August","September","October","November","December"},0),1)</f>
        <v>45748</v>
      </c>
      <c r="K901" s="13">
        <f t="shared" si="68"/>
        <v>17461.039999999997</v>
      </c>
      <c r="L901" s="13">
        <v>338.44786089495301</v>
      </c>
      <c r="M901" s="14">
        <f t="shared" si="69"/>
        <v>-5.8794354547828054E-2</v>
      </c>
    </row>
    <row r="902" spans="1:13" ht="15.5" x14ac:dyDescent="0.35">
      <c r="A902" s="8" t="s">
        <v>74</v>
      </c>
      <c r="B902" s="9" t="s">
        <v>38</v>
      </c>
      <c r="C902" s="9" t="s">
        <v>20</v>
      </c>
      <c r="D902" s="10">
        <v>401.97</v>
      </c>
      <c r="E902" s="9" t="s">
        <v>42</v>
      </c>
      <c r="F902" s="9" t="s">
        <v>26</v>
      </c>
      <c r="G902" s="9" t="str">
        <f t="shared" si="65"/>
        <v>Above Averg</v>
      </c>
      <c r="H902" s="11">
        <f t="shared" si="66"/>
        <v>368.73933333333326</v>
      </c>
      <c r="I902" s="9">
        <f t="shared" si="67"/>
        <v>30</v>
      </c>
      <c r="J902" s="12">
        <f>DATE(2025, MATCH(E902, {"January","February","March","April","May","June","July","August","September","October","November","December"},0),1)</f>
        <v>45658</v>
      </c>
      <c r="K902" s="13">
        <f t="shared" si="68"/>
        <v>12059.1</v>
      </c>
      <c r="L902" s="13">
        <v>339.11835716353897</v>
      </c>
      <c r="M902" s="14">
        <f t="shared" si="69"/>
        <v>9.7991353062144487E-2</v>
      </c>
    </row>
    <row r="903" spans="1:13" ht="15.5" x14ac:dyDescent="0.35">
      <c r="A903" s="8" t="s">
        <v>52</v>
      </c>
      <c r="B903" s="9" t="s">
        <v>32</v>
      </c>
      <c r="C903" s="9" t="s">
        <v>61</v>
      </c>
      <c r="D903" s="10">
        <v>62.21</v>
      </c>
      <c r="E903" s="9" t="s">
        <v>21</v>
      </c>
      <c r="F903" s="9" t="s">
        <v>17</v>
      </c>
      <c r="G903" s="9" t="str">
        <f t="shared" si="65"/>
        <v>Low Averg</v>
      </c>
      <c r="H903" s="11">
        <f t="shared" si="66"/>
        <v>62.182121212121217</v>
      </c>
      <c r="I903" s="9">
        <f t="shared" si="67"/>
        <v>33</v>
      </c>
      <c r="J903" s="12">
        <f>DATE(2025, MATCH(E903, {"January","February","March","April","May","June","July","August","September","October","November","December"},0),1)</f>
        <v>45748</v>
      </c>
      <c r="K903" s="13">
        <f t="shared" si="68"/>
        <v>2052.9299999999998</v>
      </c>
      <c r="L903" s="13">
        <v>339.939586920566</v>
      </c>
      <c r="M903" s="14">
        <f t="shared" si="69"/>
        <v>8.2011007106678349E-5</v>
      </c>
    </row>
    <row r="904" spans="1:13" ht="15.5" x14ac:dyDescent="0.35">
      <c r="A904" s="8" t="s">
        <v>74</v>
      </c>
      <c r="B904" s="9" t="s">
        <v>38</v>
      </c>
      <c r="C904" s="9" t="s">
        <v>43</v>
      </c>
      <c r="D904" s="10">
        <v>405.87</v>
      </c>
      <c r="E904" s="9" t="s">
        <v>35</v>
      </c>
      <c r="F904" s="9" t="s">
        <v>17</v>
      </c>
      <c r="G904" s="9" t="str">
        <f t="shared" ref="G904:G967" si="70">IF(D904&gt;AVERAGE(D:D),"Above Averg","Low Averg")</f>
        <v>Above Averg</v>
      </c>
      <c r="H904" s="11">
        <f t="shared" ref="H904:H967" si="71">AVERAGEIF(A:A,A904,D:D)</f>
        <v>368.73933333333326</v>
      </c>
      <c r="I904" s="9">
        <f t="shared" ref="I904:I967" si="72">COUNTIF(A:A,A904)</f>
        <v>30</v>
      </c>
      <c r="J904" s="12">
        <f>DATE(2025, MATCH(E904, {"January","February","March","April","May","June","July","August","September","October","November","December"},0),1)</f>
        <v>45778</v>
      </c>
      <c r="K904" s="13">
        <f t="shared" ref="K904:K967" si="73">1*(D904*I904)</f>
        <v>12176.1</v>
      </c>
      <c r="L904" s="13">
        <v>340.101788400592</v>
      </c>
      <c r="M904" s="14">
        <f t="shared" ref="M904:M967" si="74">(D904-H904)/L904</f>
        <v>0.10917515853498555</v>
      </c>
    </row>
    <row r="905" spans="1:13" ht="15.5" x14ac:dyDescent="0.35">
      <c r="A905" s="8" t="s">
        <v>41</v>
      </c>
      <c r="B905" s="9" t="s">
        <v>32</v>
      </c>
      <c r="C905" s="9" t="s">
        <v>15</v>
      </c>
      <c r="D905" s="10">
        <v>67.59</v>
      </c>
      <c r="E905" s="9" t="s">
        <v>39</v>
      </c>
      <c r="F905" s="9" t="s">
        <v>36</v>
      </c>
      <c r="G905" s="9" t="str">
        <f t="shared" si="70"/>
        <v>Low Averg</v>
      </c>
      <c r="H905" s="11">
        <f t="shared" si="71"/>
        <v>70.278611111111118</v>
      </c>
      <c r="I905" s="9">
        <f t="shared" si="72"/>
        <v>36</v>
      </c>
      <c r="J905" s="12">
        <f>DATE(2025, MATCH(E905, {"January","February","March","April","May","June","July","August","September","October","November","December"},0),1)</f>
        <v>45992</v>
      </c>
      <c r="K905" s="13">
        <f t="shared" si="73"/>
        <v>2433.2400000000002</v>
      </c>
      <c r="L905" s="13">
        <v>340.93222682147001</v>
      </c>
      <c r="M905" s="14">
        <f t="shared" si="74"/>
        <v>-7.886057402602226E-3</v>
      </c>
    </row>
    <row r="906" spans="1:13" ht="15.5" x14ac:dyDescent="0.35">
      <c r="A906" s="8" t="s">
        <v>66</v>
      </c>
      <c r="B906" s="9" t="s">
        <v>32</v>
      </c>
      <c r="C906" s="9" t="s">
        <v>34</v>
      </c>
      <c r="D906" s="10">
        <v>153.09</v>
      </c>
      <c r="E906" s="9" t="s">
        <v>39</v>
      </c>
      <c r="F906" s="9" t="s">
        <v>40</v>
      </c>
      <c r="G906" s="9" t="str">
        <f t="shared" si="70"/>
        <v>Low Averg</v>
      </c>
      <c r="H906" s="11">
        <f t="shared" si="71"/>
        <v>141.74161290322584</v>
      </c>
      <c r="I906" s="9">
        <f t="shared" si="72"/>
        <v>31</v>
      </c>
      <c r="J906" s="12">
        <f>DATE(2025, MATCH(E906, {"January","February","March","April","May","June","July","August","September","October","November","December"},0),1)</f>
        <v>45992</v>
      </c>
      <c r="K906" s="13">
        <f t="shared" si="73"/>
        <v>4745.79</v>
      </c>
      <c r="L906" s="13">
        <v>341.11851748312603</v>
      </c>
      <c r="M906" s="14">
        <f t="shared" si="74"/>
        <v>3.3268164919647104E-2</v>
      </c>
    </row>
    <row r="907" spans="1:13" ht="15.5" x14ac:dyDescent="0.35">
      <c r="A907" s="8" t="s">
        <v>50</v>
      </c>
      <c r="B907" s="9" t="s">
        <v>32</v>
      </c>
      <c r="C907" s="9" t="s">
        <v>15</v>
      </c>
      <c r="D907" s="10">
        <v>78.83</v>
      </c>
      <c r="E907" s="9" t="s">
        <v>62</v>
      </c>
      <c r="F907" s="9" t="s">
        <v>30</v>
      </c>
      <c r="G907" s="9" t="str">
        <f t="shared" si="70"/>
        <v>Low Averg</v>
      </c>
      <c r="H907" s="11">
        <f t="shared" si="71"/>
        <v>81.934666666666672</v>
      </c>
      <c r="I907" s="9">
        <f t="shared" si="72"/>
        <v>30</v>
      </c>
      <c r="J907" s="12">
        <f>DATE(2025, MATCH(E907, {"January","February","March","April","May","June","July","August","September","October","November","December"},0),1)</f>
        <v>45689</v>
      </c>
      <c r="K907" s="13">
        <f t="shared" si="73"/>
        <v>2364.9</v>
      </c>
      <c r="L907" s="13">
        <v>341.62602109091199</v>
      </c>
      <c r="M907" s="14">
        <f t="shared" si="74"/>
        <v>-9.0879103902933491E-3</v>
      </c>
    </row>
    <row r="908" spans="1:13" ht="15.5" x14ac:dyDescent="0.35">
      <c r="A908" s="8" t="s">
        <v>78</v>
      </c>
      <c r="B908" s="9" t="s">
        <v>28</v>
      </c>
      <c r="C908" s="9" t="s">
        <v>61</v>
      </c>
      <c r="D908" s="10">
        <v>323</v>
      </c>
      <c r="E908" s="9" t="s">
        <v>35</v>
      </c>
      <c r="F908" s="9" t="s">
        <v>17</v>
      </c>
      <c r="G908" s="9" t="str">
        <f t="shared" si="70"/>
        <v>Low Averg</v>
      </c>
      <c r="H908" s="11">
        <f t="shared" si="71"/>
        <v>309.01727272727271</v>
      </c>
      <c r="I908" s="9">
        <f t="shared" si="72"/>
        <v>22</v>
      </c>
      <c r="J908" s="12">
        <f>DATE(2025, MATCH(E908, {"January","February","March","April","May","June","July","August","September","October","November","December"},0),1)</f>
        <v>45778</v>
      </c>
      <c r="K908" s="13">
        <f t="shared" si="73"/>
        <v>7106</v>
      </c>
      <c r="L908" s="13">
        <v>341.85520102122803</v>
      </c>
      <c r="M908" s="14">
        <f t="shared" si="74"/>
        <v>4.0902485119303507E-2</v>
      </c>
    </row>
    <row r="909" spans="1:13" ht="15.5" x14ac:dyDescent="0.35">
      <c r="A909" s="8" t="s">
        <v>56</v>
      </c>
      <c r="B909" s="9" t="s">
        <v>19</v>
      </c>
      <c r="C909" s="9" t="s">
        <v>20</v>
      </c>
      <c r="D909" s="10">
        <v>604.41</v>
      </c>
      <c r="E909" s="9" t="s">
        <v>42</v>
      </c>
      <c r="F909" s="9" t="s">
        <v>30</v>
      </c>
      <c r="G909" s="9" t="str">
        <f t="shared" si="70"/>
        <v>Above Averg</v>
      </c>
      <c r="H909" s="11">
        <f t="shared" si="71"/>
        <v>533.4588235294118</v>
      </c>
      <c r="I909" s="9">
        <f t="shared" si="72"/>
        <v>34</v>
      </c>
      <c r="J909" s="12">
        <f>DATE(2025, MATCH(E909, {"January","February","March","April","May","June","July","August","September","October","November","December"},0),1)</f>
        <v>45658</v>
      </c>
      <c r="K909" s="13">
        <f t="shared" si="73"/>
        <v>20549.939999999999</v>
      </c>
      <c r="L909" s="13">
        <v>342.69958399696401</v>
      </c>
      <c r="M909" s="14">
        <f t="shared" si="74"/>
        <v>0.20703607411212011</v>
      </c>
    </row>
    <row r="910" spans="1:13" ht="15.5" x14ac:dyDescent="0.35">
      <c r="A910" s="8" t="s">
        <v>44</v>
      </c>
      <c r="B910" s="9" t="s">
        <v>23</v>
      </c>
      <c r="C910" s="9" t="s">
        <v>61</v>
      </c>
      <c r="D910" s="10">
        <v>216.67</v>
      </c>
      <c r="E910" s="9" t="s">
        <v>25</v>
      </c>
      <c r="F910" s="9" t="s">
        <v>36</v>
      </c>
      <c r="G910" s="9" t="str">
        <f t="shared" si="70"/>
        <v>Low Averg</v>
      </c>
      <c r="H910" s="11">
        <f t="shared" si="71"/>
        <v>206.14838709677423</v>
      </c>
      <c r="I910" s="9">
        <f t="shared" si="72"/>
        <v>31</v>
      </c>
      <c r="J910" s="12">
        <f>DATE(2025, MATCH(E910, {"January","February","March","April","May","June","July","August","September","October","November","December"},0),1)</f>
        <v>45931</v>
      </c>
      <c r="K910" s="13">
        <f t="shared" si="73"/>
        <v>6716.7699999999995</v>
      </c>
      <c r="L910" s="13">
        <v>343.16794889792402</v>
      </c>
      <c r="M910" s="14">
        <f t="shared" si="74"/>
        <v>3.0660243583398965E-2</v>
      </c>
    </row>
    <row r="911" spans="1:13" ht="15.5" x14ac:dyDescent="0.35">
      <c r="A911" s="8" t="s">
        <v>66</v>
      </c>
      <c r="B911" s="9" t="s">
        <v>32</v>
      </c>
      <c r="C911" s="9" t="s">
        <v>24</v>
      </c>
      <c r="D911" s="10">
        <v>142.84</v>
      </c>
      <c r="E911" s="9" t="s">
        <v>35</v>
      </c>
      <c r="F911" s="9" t="s">
        <v>26</v>
      </c>
      <c r="G911" s="9" t="str">
        <f t="shared" si="70"/>
        <v>Low Averg</v>
      </c>
      <c r="H911" s="11">
        <f t="shared" si="71"/>
        <v>141.74161290322584</v>
      </c>
      <c r="I911" s="9">
        <f t="shared" si="72"/>
        <v>31</v>
      </c>
      <c r="J911" s="12">
        <f>DATE(2025, MATCH(E911, {"January","February","March","April","May","June","July","August","September","October","November","December"},0),1)</f>
        <v>45778</v>
      </c>
      <c r="K911" s="13">
        <f t="shared" si="73"/>
        <v>4428.04</v>
      </c>
      <c r="L911" s="13">
        <v>343.86448332216202</v>
      </c>
      <c r="M911" s="14">
        <f t="shared" si="74"/>
        <v>3.1942440991938582E-3</v>
      </c>
    </row>
    <row r="912" spans="1:13" ht="15.5" x14ac:dyDescent="0.35">
      <c r="A912" s="8" t="s">
        <v>22</v>
      </c>
      <c r="B912" s="9" t="s">
        <v>23</v>
      </c>
      <c r="C912" s="9" t="s">
        <v>69</v>
      </c>
      <c r="D912" s="10">
        <v>253.9</v>
      </c>
      <c r="E912" s="9" t="s">
        <v>72</v>
      </c>
      <c r="F912" s="9" t="s">
        <v>26</v>
      </c>
      <c r="G912" s="9" t="str">
        <f t="shared" si="70"/>
        <v>Low Averg</v>
      </c>
      <c r="H912" s="11">
        <f t="shared" si="71"/>
        <v>257.40029411764709</v>
      </c>
      <c r="I912" s="9">
        <f t="shared" si="72"/>
        <v>34</v>
      </c>
      <c r="J912" s="12">
        <f>DATE(2025, MATCH(E912, {"January","February","March","April","May","June","July","August","September","October","November","December"},0),1)</f>
        <v>45901</v>
      </c>
      <c r="K912" s="13">
        <f t="shared" si="73"/>
        <v>8632.6</v>
      </c>
      <c r="L912" s="13">
        <v>344.35265253308302</v>
      </c>
      <c r="M912" s="14">
        <f t="shared" si="74"/>
        <v>-1.0164853071113785E-2</v>
      </c>
    </row>
    <row r="913" spans="1:13" ht="15.5" x14ac:dyDescent="0.35">
      <c r="A913" s="8" t="s">
        <v>53</v>
      </c>
      <c r="B913" s="9" t="s">
        <v>54</v>
      </c>
      <c r="C913" s="9" t="s">
        <v>29</v>
      </c>
      <c r="D913" s="10">
        <v>720.95</v>
      </c>
      <c r="E913" s="9" t="s">
        <v>57</v>
      </c>
      <c r="F913" s="9" t="s">
        <v>36</v>
      </c>
      <c r="G913" s="9" t="str">
        <f t="shared" si="70"/>
        <v>Above Averg</v>
      </c>
      <c r="H913" s="11">
        <f t="shared" si="71"/>
        <v>810.77454545454566</v>
      </c>
      <c r="I913" s="9">
        <f t="shared" si="72"/>
        <v>33</v>
      </c>
      <c r="J913" s="12">
        <f>DATE(2025, MATCH(E913, {"January","February","March","April","May","June","July","August","September","October","November","December"},0),1)</f>
        <v>45839</v>
      </c>
      <c r="K913" s="13">
        <f t="shared" si="73"/>
        <v>23791.350000000002</v>
      </c>
      <c r="L913" s="13">
        <v>345.13246893880802</v>
      </c>
      <c r="M913" s="14">
        <f t="shared" si="74"/>
        <v>-0.26026106941121063</v>
      </c>
    </row>
    <row r="914" spans="1:13" ht="15.5" x14ac:dyDescent="0.35">
      <c r="A914" s="8" t="s">
        <v>83</v>
      </c>
      <c r="B914" s="9" t="s">
        <v>23</v>
      </c>
      <c r="C914" s="9" t="s">
        <v>43</v>
      </c>
      <c r="D914" s="10">
        <v>128.9</v>
      </c>
      <c r="E914" s="9" t="s">
        <v>39</v>
      </c>
      <c r="F914" s="9" t="s">
        <v>30</v>
      </c>
      <c r="G914" s="9" t="str">
        <f t="shared" si="70"/>
        <v>Low Averg</v>
      </c>
      <c r="H914" s="11">
        <f t="shared" si="71"/>
        <v>132.90272727272728</v>
      </c>
      <c r="I914" s="9">
        <f t="shared" si="72"/>
        <v>22</v>
      </c>
      <c r="J914" s="12">
        <f>DATE(2025, MATCH(E914, {"January","February","March","April","May","June","July","August","September","October","November","December"},0),1)</f>
        <v>45992</v>
      </c>
      <c r="K914" s="13">
        <f t="shared" si="73"/>
        <v>2835.8</v>
      </c>
      <c r="L914" s="13">
        <v>345.11661301115902</v>
      </c>
      <c r="M914" s="14">
        <f t="shared" si="74"/>
        <v>-1.1598187748202796E-2</v>
      </c>
    </row>
    <row r="915" spans="1:13" ht="15.5" x14ac:dyDescent="0.35">
      <c r="A915" s="8" t="s">
        <v>31</v>
      </c>
      <c r="B915" s="9" t="s">
        <v>32</v>
      </c>
      <c r="C915" s="9" t="s">
        <v>45</v>
      </c>
      <c r="D915" s="10">
        <v>114.94</v>
      </c>
      <c r="E915" s="9" t="s">
        <v>46</v>
      </c>
      <c r="F915" s="9" t="s">
        <v>26</v>
      </c>
      <c r="G915" s="9" t="str">
        <f t="shared" si="70"/>
        <v>Low Averg</v>
      </c>
      <c r="H915" s="11">
        <f t="shared" si="71"/>
        <v>123.43305555555558</v>
      </c>
      <c r="I915" s="9">
        <f t="shared" si="72"/>
        <v>36</v>
      </c>
      <c r="J915" s="12">
        <f>DATE(2025, MATCH(E915, {"January","February","March","April","May","June","July","August","September","October","November","December"},0),1)</f>
        <v>45870</v>
      </c>
      <c r="K915" s="13">
        <f t="shared" si="73"/>
        <v>4137.84</v>
      </c>
      <c r="L915" s="13">
        <v>345.56727527623298</v>
      </c>
      <c r="M915" s="14">
        <f t="shared" si="74"/>
        <v>-2.4577140728289648E-2</v>
      </c>
    </row>
    <row r="916" spans="1:13" ht="15.5" x14ac:dyDescent="0.35">
      <c r="A916" s="8" t="s">
        <v>81</v>
      </c>
      <c r="B916" s="9" t="s">
        <v>28</v>
      </c>
      <c r="C916" s="9" t="s">
        <v>45</v>
      </c>
      <c r="D916" s="10">
        <v>154.77000000000001</v>
      </c>
      <c r="E916" s="9" t="s">
        <v>25</v>
      </c>
      <c r="F916" s="9" t="s">
        <v>40</v>
      </c>
      <c r="G916" s="9" t="str">
        <f t="shared" si="70"/>
        <v>Low Averg</v>
      </c>
      <c r="H916" s="11">
        <f t="shared" si="71"/>
        <v>140.29840000000002</v>
      </c>
      <c r="I916" s="9">
        <f t="shared" si="72"/>
        <v>25</v>
      </c>
      <c r="J916" s="12">
        <f>DATE(2025, MATCH(E916, {"January","February","March","April","May","June","July","August","September","October","November","December"},0),1)</f>
        <v>45931</v>
      </c>
      <c r="K916" s="13">
        <f t="shared" si="73"/>
        <v>3869.2500000000005</v>
      </c>
      <c r="L916" s="13">
        <v>345.96403956416299</v>
      </c>
      <c r="M916" s="14">
        <f t="shared" si="74"/>
        <v>4.1829780974435848E-2</v>
      </c>
    </row>
    <row r="917" spans="1:13" ht="15.5" x14ac:dyDescent="0.35">
      <c r="A917" s="8" t="s">
        <v>44</v>
      </c>
      <c r="B917" s="9" t="s">
        <v>23</v>
      </c>
      <c r="C917" s="9" t="s">
        <v>61</v>
      </c>
      <c r="D917" s="10">
        <v>192.56</v>
      </c>
      <c r="E917" s="9" t="s">
        <v>55</v>
      </c>
      <c r="F917" s="9" t="s">
        <v>17</v>
      </c>
      <c r="G917" s="9" t="str">
        <f t="shared" si="70"/>
        <v>Low Averg</v>
      </c>
      <c r="H917" s="11">
        <f t="shared" si="71"/>
        <v>206.14838709677423</v>
      </c>
      <c r="I917" s="9">
        <f t="shared" si="72"/>
        <v>31</v>
      </c>
      <c r="J917" s="12">
        <f>DATE(2025, MATCH(E917, {"January","February","March","April","May","June","July","August","September","October","November","December"},0),1)</f>
        <v>45962</v>
      </c>
      <c r="K917" s="13">
        <f t="shared" si="73"/>
        <v>5969.36</v>
      </c>
      <c r="L917" s="13">
        <v>346.50494642817199</v>
      </c>
      <c r="M917" s="14">
        <f t="shared" si="74"/>
        <v>-3.9215564559309989E-2</v>
      </c>
    </row>
    <row r="918" spans="1:13" ht="15.5" x14ac:dyDescent="0.35">
      <c r="A918" s="8" t="s">
        <v>80</v>
      </c>
      <c r="B918" s="9" t="s">
        <v>19</v>
      </c>
      <c r="C918" s="9" t="s">
        <v>45</v>
      </c>
      <c r="D918" s="10">
        <v>636.71</v>
      </c>
      <c r="E918" s="9" t="s">
        <v>72</v>
      </c>
      <c r="F918" s="9" t="s">
        <v>17</v>
      </c>
      <c r="G918" s="9" t="str">
        <f t="shared" si="70"/>
        <v>Above Averg</v>
      </c>
      <c r="H918" s="11">
        <f t="shared" si="71"/>
        <v>720.27689655172423</v>
      </c>
      <c r="I918" s="9">
        <f t="shared" si="72"/>
        <v>29</v>
      </c>
      <c r="J918" s="12">
        <f>DATE(2025, MATCH(E918, {"January","February","March","April","May","June","July","August","September","October","November","December"},0),1)</f>
        <v>45901</v>
      </c>
      <c r="K918" s="13">
        <f t="shared" si="73"/>
        <v>18464.59</v>
      </c>
      <c r="L918" s="13">
        <v>347.16377883424502</v>
      </c>
      <c r="M918" s="14">
        <f t="shared" si="74"/>
        <v>-0.24071317817871665</v>
      </c>
    </row>
    <row r="919" spans="1:13" ht="15.5" x14ac:dyDescent="0.35">
      <c r="A919" s="8" t="s">
        <v>70</v>
      </c>
      <c r="B919" s="9" t="s">
        <v>71</v>
      </c>
      <c r="C919" s="9" t="s">
        <v>43</v>
      </c>
      <c r="D919" s="10">
        <v>977.75</v>
      </c>
      <c r="E919" s="9" t="s">
        <v>57</v>
      </c>
      <c r="F919" s="9" t="s">
        <v>26</v>
      </c>
      <c r="G919" s="9" t="str">
        <f t="shared" si="70"/>
        <v>Above Averg</v>
      </c>
      <c r="H919" s="11">
        <f t="shared" si="71"/>
        <v>911.5772916666665</v>
      </c>
      <c r="I919" s="9">
        <f t="shared" si="72"/>
        <v>48</v>
      </c>
      <c r="J919" s="12">
        <f>DATE(2025, MATCH(E919, {"January","February","March","April","May","June","July","August","September","October","November","December"},0),1)</f>
        <v>45839</v>
      </c>
      <c r="K919" s="13">
        <f t="shared" si="73"/>
        <v>46932</v>
      </c>
      <c r="L919" s="13">
        <v>347.56576751119201</v>
      </c>
      <c r="M919" s="14">
        <f t="shared" si="74"/>
        <v>0.19038902711039477</v>
      </c>
    </row>
    <row r="920" spans="1:13" ht="15.5" x14ac:dyDescent="0.35">
      <c r="A920" s="8" t="s">
        <v>78</v>
      </c>
      <c r="B920" s="9" t="s">
        <v>28</v>
      </c>
      <c r="C920" s="9" t="s">
        <v>61</v>
      </c>
      <c r="D920" s="10">
        <v>314.83999999999997</v>
      </c>
      <c r="E920" s="9" t="s">
        <v>46</v>
      </c>
      <c r="F920" s="9" t="s">
        <v>40</v>
      </c>
      <c r="G920" s="9" t="str">
        <f t="shared" si="70"/>
        <v>Low Averg</v>
      </c>
      <c r="H920" s="11">
        <f t="shared" si="71"/>
        <v>309.01727272727271</v>
      </c>
      <c r="I920" s="9">
        <f t="shared" si="72"/>
        <v>22</v>
      </c>
      <c r="J920" s="12">
        <f>DATE(2025, MATCH(E920, {"January","February","March","April","May","June","July","August","September","October","November","December"},0),1)</f>
        <v>45870</v>
      </c>
      <c r="K920" s="13">
        <f t="shared" si="73"/>
        <v>6926.48</v>
      </c>
      <c r="L920" s="13">
        <v>345.68223266993402</v>
      </c>
      <c r="M920" s="14">
        <f t="shared" si="74"/>
        <v>1.6844161262655775E-2</v>
      </c>
    </row>
    <row r="921" spans="1:13" ht="15.5" x14ac:dyDescent="0.35">
      <c r="A921" s="8" t="s">
        <v>31</v>
      </c>
      <c r="B921" s="9" t="s">
        <v>32</v>
      </c>
      <c r="C921" s="9" t="s">
        <v>34</v>
      </c>
      <c r="D921" s="10">
        <v>117.93</v>
      </c>
      <c r="E921" s="9" t="s">
        <v>35</v>
      </c>
      <c r="F921" s="9" t="s">
        <v>17</v>
      </c>
      <c r="G921" s="9" t="str">
        <f t="shared" si="70"/>
        <v>Low Averg</v>
      </c>
      <c r="H921" s="11">
        <f t="shared" si="71"/>
        <v>123.43305555555558</v>
      </c>
      <c r="I921" s="9">
        <f t="shared" si="72"/>
        <v>36</v>
      </c>
      <c r="J921" s="12">
        <f>DATE(2025, MATCH(E921, {"January","February","March","April","May","June","July","August","September","October","November","December"},0),1)</f>
        <v>45778</v>
      </c>
      <c r="K921" s="13">
        <f t="shared" si="73"/>
        <v>4245.4800000000005</v>
      </c>
      <c r="L921" s="13">
        <v>346.58475454915902</v>
      </c>
      <c r="M921" s="14">
        <f t="shared" si="74"/>
        <v>-1.5877950438743352E-2</v>
      </c>
    </row>
    <row r="922" spans="1:13" ht="15.5" x14ac:dyDescent="0.35">
      <c r="A922" s="8" t="s">
        <v>75</v>
      </c>
      <c r="B922" s="9" t="s">
        <v>28</v>
      </c>
      <c r="C922" s="9" t="s">
        <v>24</v>
      </c>
      <c r="D922" s="10">
        <v>110.66</v>
      </c>
      <c r="E922" s="9" t="s">
        <v>55</v>
      </c>
      <c r="F922" s="9" t="s">
        <v>26</v>
      </c>
      <c r="G922" s="9" t="str">
        <f t="shared" si="70"/>
        <v>Low Averg</v>
      </c>
      <c r="H922" s="11">
        <f t="shared" si="71"/>
        <v>120.53625</v>
      </c>
      <c r="I922" s="9">
        <f t="shared" si="72"/>
        <v>24</v>
      </c>
      <c r="J922" s="12">
        <f>DATE(2025, MATCH(E922, {"January","February","March","April","May","June","July","August","September","October","November","December"},0),1)</f>
        <v>45962</v>
      </c>
      <c r="K922" s="13">
        <f t="shared" si="73"/>
        <v>2655.84</v>
      </c>
      <c r="L922" s="13">
        <v>347.01385635516402</v>
      </c>
      <c r="M922" s="14">
        <f t="shared" si="74"/>
        <v>-2.8460679074128352E-2</v>
      </c>
    </row>
    <row r="923" spans="1:13" ht="15.5" x14ac:dyDescent="0.35">
      <c r="A923" s="8" t="s">
        <v>82</v>
      </c>
      <c r="B923" s="9" t="s">
        <v>14</v>
      </c>
      <c r="C923" s="9" t="s">
        <v>20</v>
      </c>
      <c r="D923" s="10">
        <v>1053.0899999999999</v>
      </c>
      <c r="E923" s="9" t="s">
        <v>39</v>
      </c>
      <c r="F923" s="9" t="s">
        <v>36</v>
      </c>
      <c r="G923" s="9" t="str">
        <f t="shared" si="70"/>
        <v>Above Averg</v>
      </c>
      <c r="H923" s="11">
        <f t="shared" si="71"/>
        <v>905.6025925925926</v>
      </c>
      <c r="I923" s="9">
        <f t="shared" si="72"/>
        <v>27</v>
      </c>
      <c r="J923" s="12">
        <f>DATE(2025, MATCH(E923, {"January","February","March","April","May","June","July","August","September","October","November","December"},0),1)</f>
        <v>45992</v>
      </c>
      <c r="K923" s="13">
        <f t="shared" si="73"/>
        <v>28433.429999999997</v>
      </c>
      <c r="L923" s="13">
        <v>347.41192435934403</v>
      </c>
      <c r="M923" s="14">
        <f t="shared" si="74"/>
        <v>0.42453179371832483</v>
      </c>
    </row>
    <row r="924" spans="1:13" ht="15.5" x14ac:dyDescent="0.35">
      <c r="A924" s="8" t="s">
        <v>18</v>
      </c>
      <c r="B924" s="9" t="s">
        <v>19</v>
      </c>
      <c r="C924" s="9" t="s">
        <v>45</v>
      </c>
      <c r="D924" s="10">
        <v>888.46</v>
      </c>
      <c r="E924" s="9" t="s">
        <v>39</v>
      </c>
      <c r="F924" s="9" t="s">
        <v>40</v>
      </c>
      <c r="G924" s="9" t="str">
        <f t="shared" si="70"/>
        <v>Above Averg</v>
      </c>
      <c r="H924" s="11">
        <f t="shared" si="71"/>
        <v>920.12567567567555</v>
      </c>
      <c r="I924" s="9">
        <f t="shared" si="72"/>
        <v>37</v>
      </c>
      <c r="J924" s="12">
        <f>DATE(2025, MATCH(E924, {"January","February","March","April","May","June","July","August","September","October","November","December"},0),1)</f>
        <v>45992</v>
      </c>
      <c r="K924" s="13">
        <f t="shared" si="73"/>
        <v>32873.020000000004</v>
      </c>
      <c r="L924" s="13">
        <v>344.71599079873198</v>
      </c>
      <c r="M924" s="14">
        <f t="shared" si="74"/>
        <v>-9.1860187867420492E-2</v>
      </c>
    </row>
    <row r="925" spans="1:13" ht="15.5" x14ac:dyDescent="0.35">
      <c r="A925" s="8" t="s">
        <v>73</v>
      </c>
      <c r="B925" s="9" t="s">
        <v>54</v>
      </c>
      <c r="C925" s="9" t="s">
        <v>45</v>
      </c>
      <c r="D925" s="10">
        <v>45.54</v>
      </c>
      <c r="E925" s="9" t="s">
        <v>16</v>
      </c>
      <c r="F925" s="9" t="s">
        <v>17</v>
      </c>
      <c r="G925" s="9" t="str">
        <f t="shared" si="70"/>
        <v>Low Averg</v>
      </c>
      <c r="H925" s="11">
        <f t="shared" si="71"/>
        <v>40.881379310344826</v>
      </c>
      <c r="I925" s="9">
        <f t="shared" si="72"/>
        <v>29</v>
      </c>
      <c r="J925" s="12">
        <f>DATE(2025, MATCH(E925, {"January","February","March","April","May","June","July","August","September","October","November","December"},0),1)</f>
        <v>45809</v>
      </c>
      <c r="K925" s="13">
        <f t="shared" si="73"/>
        <v>1320.66</v>
      </c>
      <c r="L925" s="13">
        <v>343.51878356586502</v>
      </c>
      <c r="M925" s="14">
        <f t="shared" si="74"/>
        <v>1.3561472945661925E-2</v>
      </c>
    </row>
    <row r="926" spans="1:13" ht="15.5" x14ac:dyDescent="0.35">
      <c r="A926" s="8" t="s">
        <v>67</v>
      </c>
      <c r="B926" s="9" t="s">
        <v>23</v>
      </c>
      <c r="C926" s="9" t="s">
        <v>15</v>
      </c>
      <c r="D926" s="10">
        <v>238.86</v>
      </c>
      <c r="E926" s="9" t="s">
        <v>42</v>
      </c>
      <c r="F926" s="9" t="s">
        <v>30</v>
      </c>
      <c r="G926" s="9" t="str">
        <f t="shared" si="70"/>
        <v>Low Averg</v>
      </c>
      <c r="H926" s="11">
        <f t="shared" si="71"/>
        <v>226.566129032258</v>
      </c>
      <c r="I926" s="9">
        <f t="shared" si="72"/>
        <v>31</v>
      </c>
      <c r="J926" s="12">
        <f>DATE(2025, MATCH(E926, {"January","February","March","April","May","June","July","August","September","October","November","December"},0),1)</f>
        <v>45658</v>
      </c>
      <c r="K926" s="13">
        <f t="shared" si="73"/>
        <v>7404.6600000000008</v>
      </c>
      <c r="L926" s="13">
        <v>343.623842965976</v>
      </c>
      <c r="M926" s="14">
        <f t="shared" si="74"/>
        <v>3.5777118553904565E-2</v>
      </c>
    </row>
    <row r="927" spans="1:13" ht="15.5" x14ac:dyDescent="0.35">
      <c r="A927" s="8" t="s">
        <v>52</v>
      </c>
      <c r="B927" s="9" t="s">
        <v>32</v>
      </c>
      <c r="C927" s="9" t="s">
        <v>29</v>
      </c>
      <c r="D927" s="10">
        <v>60.48</v>
      </c>
      <c r="E927" s="9" t="s">
        <v>42</v>
      </c>
      <c r="F927" s="9" t="s">
        <v>30</v>
      </c>
      <c r="G927" s="9" t="str">
        <f t="shared" si="70"/>
        <v>Low Averg</v>
      </c>
      <c r="H927" s="11">
        <f t="shared" si="71"/>
        <v>62.182121212121217</v>
      </c>
      <c r="I927" s="9">
        <f t="shared" si="72"/>
        <v>33</v>
      </c>
      <c r="J927" s="12">
        <f>DATE(2025, MATCH(E927, {"January","February","March","April","May","June","July","August","September","October","November","December"},0),1)</f>
        <v>45658</v>
      </c>
      <c r="K927" s="13">
        <f t="shared" si="73"/>
        <v>1995.84</v>
      </c>
      <c r="L927" s="13">
        <v>344.43680938984801</v>
      </c>
      <c r="M927" s="14">
        <f t="shared" si="74"/>
        <v>-4.9417517690296805E-3</v>
      </c>
    </row>
    <row r="928" spans="1:13" ht="15.5" x14ac:dyDescent="0.35">
      <c r="A928" s="8" t="s">
        <v>22</v>
      </c>
      <c r="B928" s="9" t="s">
        <v>23</v>
      </c>
      <c r="C928" s="9" t="s">
        <v>69</v>
      </c>
      <c r="D928" s="10">
        <v>255</v>
      </c>
      <c r="E928" s="9" t="s">
        <v>21</v>
      </c>
      <c r="F928" s="9" t="s">
        <v>17</v>
      </c>
      <c r="G928" s="9" t="str">
        <f t="shared" si="70"/>
        <v>Low Averg</v>
      </c>
      <c r="H928" s="11">
        <f t="shared" si="71"/>
        <v>257.40029411764709</v>
      </c>
      <c r="I928" s="9">
        <f t="shared" si="72"/>
        <v>34</v>
      </c>
      <c r="J928" s="12">
        <f>DATE(2025, MATCH(E928, {"January","February","March","April","May","June","July","August","September","October","November","December"},0),1)</f>
        <v>45748</v>
      </c>
      <c r="K928" s="13">
        <f t="shared" si="73"/>
        <v>8670</v>
      </c>
      <c r="L928" s="13">
        <v>344.61207639544</v>
      </c>
      <c r="M928" s="14">
        <f t="shared" si="74"/>
        <v>-6.9652060448768824E-3</v>
      </c>
    </row>
    <row r="929" spans="1:13" ht="15.5" x14ac:dyDescent="0.35">
      <c r="A929" s="8" t="s">
        <v>53</v>
      </c>
      <c r="B929" s="9" t="s">
        <v>54</v>
      </c>
      <c r="C929" s="9" t="s">
        <v>29</v>
      </c>
      <c r="D929" s="10">
        <v>885.88</v>
      </c>
      <c r="E929" s="9" t="s">
        <v>39</v>
      </c>
      <c r="F929" s="9" t="s">
        <v>36</v>
      </c>
      <c r="G929" s="9" t="str">
        <f t="shared" si="70"/>
        <v>Above Averg</v>
      </c>
      <c r="H929" s="11">
        <f t="shared" si="71"/>
        <v>810.77454545454566</v>
      </c>
      <c r="I929" s="9">
        <f t="shared" si="72"/>
        <v>33</v>
      </c>
      <c r="J929" s="12">
        <f>DATE(2025, MATCH(E929, {"January","February","March","April","May","June","July","August","September","October","November","December"},0),1)</f>
        <v>45992</v>
      </c>
      <c r="K929" s="13">
        <f t="shared" si="73"/>
        <v>29234.04</v>
      </c>
      <c r="L929" s="13">
        <v>345.46524250519502</v>
      </c>
      <c r="M929" s="14">
        <f t="shared" si="74"/>
        <v>0.2174037943754209</v>
      </c>
    </row>
    <row r="930" spans="1:13" ht="15.5" x14ac:dyDescent="0.35">
      <c r="A930" s="8" t="s">
        <v>64</v>
      </c>
      <c r="B930" s="9" t="s">
        <v>60</v>
      </c>
      <c r="C930" s="9" t="s">
        <v>45</v>
      </c>
      <c r="D930" s="10">
        <v>242.04</v>
      </c>
      <c r="E930" s="9" t="s">
        <v>21</v>
      </c>
      <c r="F930" s="9" t="s">
        <v>36</v>
      </c>
      <c r="G930" s="9" t="str">
        <f t="shared" si="70"/>
        <v>Low Averg</v>
      </c>
      <c r="H930" s="11">
        <f t="shared" si="71"/>
        <v>249.29749999999999</v>
      </c>
      <c r="I930" s="9">
        <f t="shared" si="72"/>
        <v>32</v>
      </c>
      <c r="J930" s="12">
        <f>DATE(2025, MATCH(E930, {"January","February","March","April","May","June","July","August","September","October","November","December"},0),1)</f>
        <v>45748</v>
      </c>
      <c r="K930" s="13">
        <f t="shared" si="73"/>
        <v>7745.28</v>
      </c>
      <c r="L930" s="13">
        <v>344.28015777817802</v>
      </c>
      <c r="M930" s="14">
        <f t="shared" si="74"/>
        <v>-2.1080215737196359E-2</v>
      </c>
    </row>
    <row r="931" spans="1:13" ht="15.5" x14ac:dyDescent="0.35">
      <c r="A931" s="8" t="s">
        <v>48</v>
      </c>
      <c r="B931" s="9" t="s">
        <v>19</v>
      </c>
      <c r="C931" s="9" t="s">
        <v>15</v>
      </c>
      <c r="D931" s="10">
        <v>1156.1199999999999</v>
      </c>
      <c r="E931" s="9" t="s">
        <v>21</v>
      </c>
      <c r="F931" s="9" t="s">
        <v>17</v>
      </c>
      <c r="G931" s="9" t="str">
        <f t="shared" si="70"/>
        <v>Above Averg</v>
      </c>
      <c r="H931" s="11">
        <f t="shared" si="71"/>
        <v>1235.856</v>
      </c>
      <c r="I931" s="9">
        <f t="shared" si="72"/>
        <v>25</v>
      </c>
      <c r="J931" s="12">
        <f>DATE(2025, MATCH(E931, {"January","February","March","April","May","June","July","August","September","October","November","December"},0),1)</f>
        <v>45748</v>
      </c>
      <c r="K931" s="13">
        <f t="shared" si="73"/>
        <v>28902.999999999996</v>
      </c>
      <c r="L931" s="13">
        <v>345.12004330253501</v>
      </c>
      <c r="M931" s="14">
        <f t="shared" si="74"/>
        <v>-0.23103845038088061</v>
      </c>
    </row>
    <row r="932" spans="1:13" ht="15.5" x14ac:dyDescent="0.35">
      <c r="A932" s="8" t="s">
        <v>78</v>
      </c>
      <c r="B932" s="9" t="s">
        <v>28</v>
      </c>
      <c r="C932" s="9" t="s">
        <v>61</v>
      </c>
      <c r="D932" s="10">
        <v>312.45</v>
      </c>
      <c r="E932" s="9" t="s">
        <v>25</v>
      </c>
      <c r="F932" s="9" t="s">
        <v>36</v>
      </c>
      <c r="G932" s="9" t="str">
        <f t="shared" si="70"/>
        <v>Low Averg</v>
      </c>
      <c r="H932" s="11">
        <f t="shared" si="71"/>
        <v>309.01727272727271</v>
      </c>
      <c r="I932" s="9">
        <f t="shared" si="72"/>
        <v>22</v>
      </c>
      <c r="J932" s="12">
        <f>DATE(2025, MATCH(E932, {"January","February","March","April","May","June","July","August","September","October","November","December"},0),1)</f>
        <v>45931</v>
      </c>
      <c r="K932" s="13">
        <f t="shared" si="73"/>
        <v>6873.9</v>
      </c>
      <c r="L932" s="13">
        <v>340.95315637107598</v>
      </c>
      <c r="M932" s="14">
        <f t="shared" si="74"/>
        <v>1.0068031952727466E-2</v>
      </c>
    </row>
    <row r="933" spans="1:13" ht="15.5" x14ac:dyDescent="0.35">
      <c r="A933" s="8" t="s">
        <v>66</v>
      </c>
      <c r="B933" s="9" t="s">
        <v>32</v>
      </c>
      <c r="C933" s="9" t="s">
        <v>29</v>
      </c>
      <c r="D933" s="10">
        <v>131.5</v>
      </c>
      <c r="E933" s="9" t="s">
        <v>62</v>
      </c>
      <c r="F933" s="9" t="s">
        <v>40</v>
      </c>
      <c r="G933" s="9" t="str">
        <f t="shared" si="70"/>
        <v>Low Averg</v>
      </c>
      <c r="H933" s="11">
        <f t="shared" si="71"/>
        <v>141.74161290322584</v>
      </c>
      <c r="I933" s="9">
        <f t="shared" si="72"/>
        <v>31</v>
      </c>
      <c r="J933" s="12">
        <f>DATE(2025, MATCH(E933, {"January","February","March","April","May","June","July","August","September","October","November","December"},0),1)</f>
        <v>45689</v>
      </c>
      <c r="K933" s="13">
        <f t="shared" si="73"/>
        <v>4076.5</v>
      </c>
      <c r="L933" s="13">
        <v>341.90647137097801</v>
      </c>
      <c r="M933" s="14">
        <f t="shared" si="74"/>
        <v>-2.9954428362116047E-2</v>
      </c>
    </row>
    <row r="934" spans="1:13" ht="15.5" x14ac:dyDescent="0.35">
      <c r="A934" s="8" t="s">
        <v>73</v>
      </c>
      <c r="B934" s="9" t="s">
        <v>54</v>
      </c>
      <c r="C934" s="9" t="s">
        <v>45</v>
      </c>
      <c r="D934" s="10">
        <v>40.369999999999997</v>
      </c>
      <c r="E934" s="9" t="s">
        <v>62</v>
      </c>
      <c r="F934" s="9" t="s">
        <v>30</v>
      </c>
      <c r="G934" s="9" t="str">
        <f t="shared" si="70"/>
        <v>Low Averg</v>
      </c>
      <c r="H934" s="11">
        <f t="shared" si="71"/>
        <v>40.881379310344826</v>
      </c>
      <c r="I934" s="9">
        <f t="shared" si="72"/>
        <v>29</v>
      </c>
      <c r="J934" s="12">
        <f>DATE(2025, MATCH(E934, {"January","February","March","April","May","June","July","August","September","October","November","December"},0),1)</f>
        <v>45689</v>
      </c>
      <c r="K934" s="13">
        <f t="shared" si="73"/>
        <v>1170.73</v>
      </c>
      <c r="L934" s="13">
        <v>342.422020067424</v>
      </c>
      <c r="M934" s="14">
        <f t="shared" si="74"/>
        <v>-1.4934182978189794E-3</v>
      </c>
    </row>
    <row r="935" spans="1:13" ht="15.5" x14ac:dyDescent="0.35">
      <c r="A935" s="8" t="s">
        <v>82</v>
      </c>
      <c r="B935" s="9" t="s">
        <v>14</v>
      </c>
      <c r="C935" s="9" t="s">
        <v>69</v>
      </c>
      <c r="D935" s="10">
        <v>948.91</v>
      </c>
      <c r="E935" s="9" t="s">
        <v>72</v>
      </c>
      <c r="F935" s="9" t="s">
        <v>36</v>
      </c>
      <c r="G935" s="9" t="str">
        <f t="shared" si="70"/>
        <v>Above Averg</v>
      </c>
      <c r="H935" s="11">
        <f t="shared" si="71"/>
        <v>905.6025925925926</v>
      </c>
      <c r="I935" s="9">
        <f t="shared" si="72"/>
        <v>27</v>
      </c>
      <c r="J935" s="12">
        <f>DATE(2025, MATCH(E935, {"January","February","March","April","May","June","July","August","September","October","November","December"},0),1)</f>
        <v>45901</v>
      </c>
      <c r="K935" s="13">
        <f t="shared" si="73"/>
        <v>25620.57</v>
      </c>
      <c r="L935" s="13">
        <v>342.49788750732802</v>
      </c>
      <c r="M935" s="14">
        <f t="shared" si="74"/>
        <v>0.12644576503112234</v>
      </c>
    </row>
    <row r="936" spans="1:13" ht="15.5" x14ac:dyDescent="0.35">
      <c r="A936" s="8" t="s">
        <v>66</v>
      </c>
      <c r="B936" s="9" t="s">
        <v>32</v>
      </c>
      <c r="C936" s="9" t="s">
        <v>49</v>
      </c>
      <c r="D936" s="10">
        <v>135.01</v>
      </c>
      <c r="E936" s="9" t="s">
        <v>62</v>
      </c>
      <c r="F936" s="9" t="s">
        <v>26</v>
      </c>
      <c r="G936" s="9" t="str">
        <f t="shared" si="70"/>
        <v>Low Averg</v>
      </c>
      <c r="H936" s="11">
        <f t="shared" si="71"/>
        <v>141.74161290322584</v>
      </c>
      <c r="I936" s="9">
        <f t="shared" si="72"/>
        <v>31</v>
      </c>
      <c r="J936" s="12">
        <f>DATE(2025, MATCH(E936, {"January","February","March","April","May","June","July","August","September","October","November","December"},0),1)</f>
        <v>45689</v>
      </c>
      <c r="K936" s="13">
        <f t="shared" si="73"/>
        <v>4185.3099999999995</v>
      </c>
      <c r="L936" s="13">
        <v>340.62073007070001</v>
      </c>
      <c r="M936" s="14">
        <f t="shared" si="74"/>
        <v>-1.9762781031643677E-2</v>
      </c>
    </row>
    <row r="937" spans="1:13" ht="15.5" x14ac:dyDescent="0.35">
      <c r="A937" s="8" t="s">
        <v>64</v>
      </c>
      <c r="B937" s="9" t="s">
        <v>60</v>
      </c>
      <c r="C937" s="9" t="s">
        <v>24</v>
      </c>
      <c r="D937" s="10">
        <v>257.06</v>
      </c>
      <c r="E937" s="9" t="s">
        <v>46</v>
      </c>
      <c r="F937" s="9" t="s">
        <v>17</v>
      </c>
      <c r="G937" s="9" t="str">
        <f t="shared" si="70"/>
        <v>Low Averg</v>
      </c>
      <c r="H937" s="11">
        <f t="shared" si="71"/>
        <v>249.29749999999999</v>
      </c>
      <c r="I937" s="9">
        <f t="shared" si="72"/>
        <v>32</v>
      </c>
      <c r="J937" s="12">
        <f>DATE(2025, MATCH(E937, {"January","February","March","April","May","June","July","August","September","October","November","December"},0),1)</f>
        <v>45870</v>
      </c>
      <c r="K937" s="13">
        <f t="shared" si="73"/>
        <v>8225.92</v>
      </c>
      <c r="L937" s="13">
        <v>341.154423710679</v>
      </c>
      <c r="M937" s="14">
        <f t="shared" si="74"/>
        <v>2.2753625515297783E-2</v>
      </c>
    </row>
    <row r="938" spans="1:13" ht="15.5" x14ac:dyDescent="0.35">
      <c r="A938" s="8" t="s">
        <v>50</v>
      </c>
      <c r="B938" s="9" t="s">
        <v>32</v>
      </c>
      <c r="C938" s="9" t="s">
        <v>61</v>
      </c>
      <c r="D938" s="10">
        <v>76.89</v>
      </c>
      <c r="E938" s="9" t="s">
        <v>57</v>
      </c>
      <c r="F938" s="9" t="s">
        <v>40</v>
      </c>
      <c r="G938" s="9" t="str">
        <f t="shared" si="70"/>
        <v>Low Averg</v>
      </c>
      <c r="H938" s="11">
        <f t="shared" si="71"/>
        <v>81.934666666666672</v>
      </c>
      <c r="I938" s="9">
        <f t="shared" si="72"/>
        <v>30</v>
      </c>
      <c r="J938" s="12">
        <f>DATE(2025, MATCH(E938, {"January","February","March","April","May","June","July","August","September","October","November","December"},0),1)</f>
        <v>45839</v>
      </c>
      <c r="K938" s="13">
        <f t="shared" si="73"/>
        <v>2306.6999999999998</v>
      </c>
      <c r="L938" s="13">
        <v>342.05437916695701</v>
      </c>
      <c r="M938" s="14">
        <f t="shared" si="74"/>
        <v>-1.4748142324482173E-2</v>
      </c>
    </row>
    <row r="939" spans="1:13" ht="15.5" x14ac:dyDescent="0.35">
      <c r="A939" s="8" t="s">
        <v>27</v>
      </c>
      <c r="B939" s="9" t="s">
        <v>28</v>
      </c>
      <c r="C939" s="9" t="s">
        <v>24</v>
      </c>
      <c r="D939" s="10">
        <v>115.64</v>
      </c>
      <c r="E939" s="9" t="s">
        <v>55</v>
      </c>
      <c r="F939" s="9" t="s">
        <v>17</v>
      </c>
      <c r="G939" s="9" t="str">
        <f t="shared" si="70"/>
        <v>Low Averg</v>
      </c>
      <c r="H939" s="11">
        <f t="shared" si="71"/>
        <v>113.26108695652174</v>
      </c>
      <c r="I939" s="9">
        <f t="shared" si="72"/>
        <v>46</v>
      </c>
      <c r="J939" s="12">
        <f>DATE(2025, MATCH(E939, {"January","February","March","April","May","June","July","August","September","October","November","December"},0),1)</f>
        <v>45962</v>
      </c>
      <c r="K939" s="13">
        <f t="shared" si="73"/>
        <v>5319.44</v>
      </c>
      <c r="L939" s="13">
        <v>342.32504634685398</v>
      </c>
      <c r="M939" s="14">
        <f t="shared" si="74"/>
        <v>6.9492813011054928E-3</v>
      </c>
    </row>
    <row r="940" spans="1:13" ht="15.5" x14ac:dyDescent="0.35">
      <c r="A940" s="8" t="s">
        <v>79</v>
      </c>
      <c r="B940" s="9" t="s">
        <v>32</v>
      </c>
      <c r="C940" s="9" t="s">
        <v>29</v>
      </c>
      <c r="D940" s="10">
        <v>85.63</v>
      </c>
      <c r="E940" s="9" t="s">
        <v>62</v>
      </c>
      <c r="F940" s="9" t="s">
        <v>30</v>
      </c>
      <c r="G940" s="9" t="str">
        <f t="shared" si="70"/>
        <v>Low Averg</v>
      </c>
      <c r="H940" s="11">
        <f t="shared" si="71"/>
        <v>90.269599999999997</v>
      </c>
      <c r="I940" s="9">
        <f t="shared" si="72"/>
        <v>25</v>
      </c>
      <c r="J940" s="12">
        <f>DATE(2025, MATCH(E940, {"January","February","March","April","May","June","July","August","September","October","November","December"},0),1)</f>
        <v>45689</v>
      </c>
      <c r="K940" s="13">
        <f t="shared" si="73"/>
        <v>2140.75</v>
      </c>
      <c r="L940" s="13">
        <v>342.77680771497899</v>
      </c>
      <c r="M940" s="14">
        <f t="shared" si="74"/>
        <v>-1.3535338142999037E-2</v>
      </c>
    </row>
    <row r="941" spans="1:13" ht="15.5" x14ac:dyDescent="0.35">
      <c r="A941" s="8" t="s">
        <v>65</v>
      </c>
      <c r="B941" s="9" t="s">
        <v>23</v>
      </c>
      <c r="C941" s="9" t="s">
        <v>69</v>
      </c>
      <c r="D941" s="10">
        <v>144.71</v>
      </c>
      <c r="E941" s="9" t="s">
        <v>39</v>
      </c>
      <c r="F941" s="9" t="s">
        <v>26</v>
      </c>
      <c r="G941" s="9" t="str">
        <f t="shared" si="70"/>
        <v>Low Averg</v>
      </c>
      <c r="H941" s="11">
        <f t="shared" si="71"/>
        <v>151.26457142857143</v>
      </c>
      <c r="I941" s="9">
        <f t="shared" si="72"/>
        <v>35</v>
      </c>
      <c r="J941" s="12">
        <f>DATE(2025, MATCH(E941, {"January","February","March","April","May","June","July","August","September","October","November","December"},0),1)</f>
        <v>45992</v>
      </c>
      <c r="K941" s="13">
        <f t="shared" si="73"/>
        <v>5064.8500000000004</v>
      </c>
      <c r="L941" s="13">
        <v>343.08252975990501</v>
      </c>
      <c r="M941" s="14">
        <f t="shared" si="74"/>
        <v>-1.9104940823301091E-2</v>
      </c>
    </row>
    <row r="942" spans="1:13" ht="15.5" x14ac:dyDescent="0.35">
      <c r="A942" s="8" t="s">
        <v>31</v>
      </c>
      <c r="B942" s="9" t="s">
        <v>32</v>
      </c>
      <c r="C942" s="9" t="s">
        <v>15</v>
      </c>
      <c r="D942" s="10">
        <v>115.83</v>
      </c>
      <c r="E942" s="9" t="s">
        <v>39</v>
      </c>
      <c r="F942" s="9" t="s">
        <v>30</v>
      </c>
      <c r="G942" s="9" t="str">
        <f t="shared" si="70"/>
        <v>Low Averg</v>
      </c>
      <c r="H942" s="11">
        <f t="shared" si="71"/>
        <v>123.43305555555558</v>
      </c>
      <c r="I942" s="9">
        <f t="shared" si="72"/>
        <v>36</v>
      </c>
      <c r="J942" s="12">
        <f>DATE(2025, MATCH(E942, {"January","February","March","April","May","June","July","August","September","October","November","December"},0),1)</f>
        <v>45992</v>
      </c>
      <c r="K942" s="13">
        <f t="shared" si="73"/>
        <v>4169.88</v>
      </c>
      <c r="L942" s="13">
        <v>343.65434915382701</v>
      </c>
      <c r="M942" s="14">
        <f t="shared" si="74"/>
        <v>-2.2124135993845068E-2</v>
      </c>
    </row>
    <row r="943" spans="1:13" ht="15.5" x14ac:dyDescent="0.35">
      <c r="A943" s="8" t="s">
        <v>65</v>
      </c>
      <c r="B943" s="9" t="s">
        <v>23</v>
      </c>
      <c r="C943" s="9" t="s">
        <v>34</v>
      </c>
      <c r="D943" s="10">
        <v>135.76</v>
      </c>
      <c r="E943" s="9" t="s">
        <v>62</v>
      </c>
      <c r="F943" s="9" t="s">
        <v>40</v>
      </c>
      <c r="G943" s="9" t="str">
        <f t="shared" si="70"/>
        <v>Low Averg</v>
      </c>
      <c r="H943" s="11">
        <f t="shared" si="71"/>
        <v>151.26457142857143</v>
      </c>
      <c r="I943" s="9">
        <f t="shared" si="72"/>
        <v>35</v>
      </c>
      <c r="J943" s="12">
        <f>DATE(2025, MATCH(E943, {"January","February","March","April","May","June","July","August","September","October","November","December"},0),1)</f>
        <v>45689</v>
      </c>
      <c r="K943" s="13">
        <f t="shared" si="73"/>
        <v>4751.5999999999995</v>
      </c>
      <c r="L943" s="13">
        <v>344.100294605133</v>
      </c>
      <c r="M943" s="14">
        <f t="shared" si="74"/>
        <v>-4.5058291642451134E-2</v>
      </c>
    </row>
    <row r="944" spans="1:13" ht="15.5" x14ac:dyDescent="0.35">
      <c r="A944" s="8" t="s">
        <v>70</v>
      </c>
      <c r="B944" s="9" t="s">
        <v>71</v>
      </c>
      <c r="C944" s="9" t="s">
        <v>49</v>
      </c>
      <c r="D944" s="10">
        <v>954.71</v>
      </c>
      <c r="E944" s="9" t="s">
        <v>42</v>
      </c>
      <c r="F944" s="9" t="s">
        <v>30</v>
      </c>
      <c r="G944" s="9" t="str">
        <f t="shared" si="70"/>
        <v>Above Averg</v>
      </c>
      <c r="H944" s="11">
        <f t="shared" si="71"/>
        <v>911.5772916666665</v>
      </c>
      <c r="I944" s="9">
        <f t="shared" si="72"/>
        <v>48</v>
      </c>
      <c r="J944" s="12">
        <f>DATE(2025, MATCH(E944, {"January","February","March","April","May","June","July","August","September","October","November","December"},0),1)</f>
        <v>45658</v>
      </c>
      <c r="K944" s="13">
        <f t="shared" si="73"/>
        <v>45826.080000000002</v>
      </c>
      <c r="L944" s="13">
        <v>344.633441379771</v>
      </c>
      <c r="M944" s="14">
        <f t="shared" si="74"/>
        <v>0.12515531911426778</v>
      </c>
    </row>
    <row r="945" spans="1:13" ht="15.5" x14ac:dyDescent="0.35">
      <c r="A945" s="8" t="s">
        <v>33</v>
      </c>
      <c r="B945" s="9" t="s">
        <v>19</v>
      </c>
      <c r="C945" s="9" t="s">
        <v>24</v>
      </c>
      <c r="D945" s="10">
        <v>1112.03</v>
      </c>
      <c r="E945" s="9" t="s">
        <v>25</v>
      </c>
      <c r="F945" s="9" t="s">
        <v>26</v>
      </c>
      <c r="G945" s="9" t="str">
        <f t="shared" si="70"/>
        <v>Above Averg</v>
      </c>
      <c r="H945" s="11">
        <f t="shared" si="71"/>
        <v>1113.4854166666667</v>
      </c>
      <c r="I945" s="9">
        <f t="shared" si="72"/>
        <v>24</v>
      </c>
      <c r="J945" s="12">
        <f>DATE(2025, MATCH(E945, {"January","February","March","April","May","June","July","August","September","October","November","December"},0),1)</f>
        <v>45931</v>
      </c>
      <c r="K945" s="13">
        <f t="shared" si="73"/>
        <v>26688.720000000001</v>
      </c>
      <c r="L945" s="13">
        <v>342.699726172326</v>
      </c>
      <c r="M945" s="14">
        <f t="shared" si="74"/>
        <v>-4.2469151724236417E-3</v>
      </c>
    </row>
    <row r="946" spans="1:13" ht="15.5" x14ac:dyDescent="0.35">
      <c r="A946" s="8" t="s">
        <v>52</v>
      </c>
      <c r="B946" s="9" t="s">
        <v>32</v>
      </c>
      <c r="C946" s="9" t="s">
        <v>69</v>
      </c>
      <c r="D946" s="10">
        <v>65.44</v>
      </c>
      <c r="E946" s="9" t="s">
        <v>63</v>
      </c>
      <c r="F946" s="9" t="s">
        <v>17</v>
      </c>
      <c r="G946" s="9" t="str">
        <f t="shared" si="70"/>
        <v>Low Averg</v>
      </c>
      <c r="H946" s="11">
        <f t="shared" si="71"/>
        <v>62.182121212121217</v>
      </c>
      <c r="I946" s="9">
        <f t="shared" si="72"/>
        <v>33</v>
      </c>
      <c r="J946" s="12">
        <f>DATE(2025, MATCH(E946, {"January","February","March","April","May","June","July","August","September","October","November","December"},0),1)</f>
        <v>45717</v>
      </c>
      <c r="K946" s="13">
        <f t="shared" si="73"/>
        <v>2159.52</v>
      </c>
      <c r="L946" s="13">
        <v>338.78777577701698</v>
      </c>
      <c r="M946" s="14">
        <f t="shared" si="74"/>
        <v>9.616281993666289E-3</v>
      </c>
    </row>
    <row r="947" spans="1:13" ht="15.5" x14ac:dyDescent="0.35">
      <c r="A947" s="8" t="s">
        <v>64</v>
      </c>
      <c r="B947" s="9" t="s">
        <v>60</v>
      </c>
      <c r="C947" s="9" t="s">
        <v>69</v>
      </c>
      <c r="D947" s="10">
        <v>241.84</v>
      </c>
      <c r="E947" s="9" t="s">
        <v>25</v>
      </c>
      <c r="F947" s="9" t="s">
        <v>26</v>
      </c>
      <c r="G947" s="9" t="str">
        <f t="shared" si="70"/>
        <v>Low Averg</v>
      </c>
      <c r="H947" s="11">
        <f t="shared" si="71"/>
        <v>249.29749999999999</v>
      </c>
      <c r="I947" s="9">
        <f t="shared" si="72"/>
        <v>32</v>
      </c>
      <c r="J947" s="12">
        <f>DATE(2025, MATCH(E947, {"January","February","March","April","May","June","July","August","September","October","November","December"},0),1)</f>
        <v>45931</v>
      </c>
      <c r="K947" s="13">
        <f t="shared" si="73"/>
        <v>7738.88</v>
      </c>
      <c r="L947" s="13">
        <v>338.98333457556498</v>
      </c>
      <c r="M947" s="14">
        <f t="shared" si="74"/>
        <v>-2.1999606586375064E-2</v>
      </c>
    </row>
    <row r="948" spans="1:13" ht="15.5" x14ac:dyDescent="0.35">
      <c r="A948" s="8" t="s">
        <v>47</v>
      </c>
      <c r="B948" s="9" t="s">
        <v>19</v>
      </c>
      <c r="C948" s="9" t="s">
        <v>49</v>
      </c>
      <c r="D948" s="10">
        <v>666.04</v>
      </c>
      <c r="E948" s="9" t="s">
        <v>46</v>
      </c>
      <c r="F948" s="9" t="s">
        <v>26</v>
      </c>
      <c r="G948" s="9" t="str">
        <f t="shared" si="70"/>
        <v>Above Averg</v>
      </c>
      <c r="H948" s="11">
        <f t="shared" si="71"/>
        <v>673.04079999999988</v>
      </c>
      <c r="I948" s="9">
        <f t="shared" si="72"/>
        <v>25</v>
      </c>
      <c r="J948" s="12">
        <f>DATE(2025, MATCH(E948, {"January","February","March","April","May","June","July","August","September","October","November","December"},0),1)</f>
        <v>45870</v>
      </c>
      <c r="K948" s="13">
        <f t="shared" si="73"/>
        <v>16651</v>
      </c>
      <c r="L948" s="13">
        <v>339.88928119953403</v>
      </c>
      <c r="M948" s="14">
        <f t="shared" si="74"/>
        <v>-2.059729561136131E-2</v>
      </c>
    </row>
    <row r="949" spans="1:13" ht="15.5" x14ac:dyDescent="0.35">
      <c r="A949" s="8" t="s">
        <v>37</v>
      </c>
      <c r="B949" s="9" t="s">
        <v>38</v>
      </c>
      <c r="C949" s="9" t="s">
        <v>43</v>
      </c>
      <c r="D949" s="10">
        <v>920.28</v>
      </c>
      <c r="E949" s="9" t="s">
        <v>72</v>
      </c>
      <c r="F949" s="9" t="s">
        <v>36</v>
      </c>
      <c r="G949" s="9" t="str">
        <f t="shared" si="70"/>
        <v>Above Averg</v>
      </c>
      <c r="H949" s="11">
        <f t="shared" si="71"/>
        <v>1024.1451428571424</v>
      </c>
      <c r="I949" s="9">
        <f t="shared" si="72"/>
        <v>35</v>
      </c>
      <c r="J949" s="12">
        <f>DATE(2025, MATCH(E949, {"January","February","March","April","May","June","July","August","September","October","November","December"},0),1)</f>
        <v>45901</v>
      </c>
      <c r="K949" s="13">
        <f t="shared" si="73"/>
        <v>32209.8</v>
      </c>
      <c r="L949" s="13">
        <v>340.16075088263801</v>
      </c>
      <c r="M949" s="14">
        <f t="shared" si="74"/>
        <v>-0.30534134989894218</v>
      </c>
    </row>
    <row r="950" spans="1:13" ht="15.5" x14ac:dyDescent="0.35">
      <c r="A950" s="8" t="s">
        <v>52</v>
      </c>
      <c r="B950" s="9" t="s">
        <v>32</v>
      </c>
      <c r="C950" s="9" t="s">
        <v>20</v>
      </c>
      <c r="D950" s="10">
        <v>63.96</v>
      </c>
      <c r="E950" s="9" t="s">
        <v>42</v>
      </c>
      <c r="F950" s="9" t="s">
        <v>36</v>
      </c>
      <c r="G950" s="9" t="str">
        <f t="shared" si="70"/>
        <v>Low Averg</v>
      </c>
      <c r="H950" s="11">
        <f t="shared" si="71"/>
        <v>62.182121212121217</v>
      </c>
      <c r="I950" s="9">
        <f t="shared" si="72"/>
        <v>33</v>
      </c>
      <c r="J950" s="12">
        <f>DATE(2025, MATCH(E950, {"January","February","March","April","May","June","July","August","September","October","November","December"},0),1)</f>
        <v>45658</v>
      </c>
      <c r="K950" s="13">
        <f t="shared" si="73"/>
        <v>2110.6799999999998</v>
      </c>
      <c r="L950" s="13">
        <v>338.39954372994401</v>
      </c>
      <c r="M950" s="14">
        <f t="shared" si="74"/>
        <v>5.2537860077541956E-3</v>
      </c>
    </row>
    <row r="951" spans="1:13" ht="15.5" x14ac:dyDescent="0.35">
      <c r="A951" s="8" t="s">
        <v>27</v>
      </c>
      <c r="B951" s="9" t="s">
        <v>28</v>
      </c>
      <c r="C951" s="9" t="s">
        <v>15</v>
      </c>
      <c r="D951" s="10">
        <v>115.3</v>
      </c>
      <c r="E951" s="9" t="s">
        <v>63</v>
      </c>
      <c r="F951" s="9" t="s">
        <v>26</v>
      </c>
      <c r="G951" s="9" t="str">
        <f t="shared" si="70"/>
        <v>Low Averg</v>
      </c>
      <c r="H951" s="11">
        <f t="shared" si="71"/>
        <v>113.26108695652174</v>
      </c>
      <c r="I951" s="9">
        <f t="shared" si="72"/>
        <v>46</v>
      </c>
      <c r="J951" s="12">
        <f>DATE(2025, MATCH(E951, {"January","February","March","April","May","June","July","August","September","October","November","December"},0),1)</f>
        <v>45717</v>
      </c>
      <c r="K951" s="13">
        <f t="shared" si="73"/>
        <v>5303.8</v>
      </c>
      <c r="L951" s="13">
        <v>338.604258465501</v>
      </c>
      <c r="M951" s="14">
        <f t="shared" si="74"/>
        <v>6.0215221530830112E-3</v>
      </c>
    </row>
    <row r="952" spans="1:13" ht="15.5" x14ac:dyDescent="0.35">
      <c r="A952" s="8" t="s">
        <v>80</v>
      </c>
      <c r="B952" s="9" t="s">
        <v>19</v>
      </c>
      <c r="C952" s="9" t="s">
        <v>24</v>
      </c>
      <c r="D952" s="10">
        <v>597.47</v>
      </c>
      <c r="E952" s="9" t="s">
        <v>57</v>
      </c>
      <c r="F952" s="9" t="s">
        <v>26</v>
      </c>
      <c r="G952" s="9" t="str">
        <f t="shared" si="70"/>
        <v>Above Averg</v>
      </c>
      <c r="H952" s="11">
        <f t="shared" si="71"/>
        <v>720.27689655172423</v>
      </c>
      <c r="I952" s="9">
        <f t="shared" si="72"/>
        <v>29</v>
      </c>
      <c r="J952" s="12">
        <f>DATE(2025, MATCH(E952, {"January","February","March","April","May","June","July","August","September","October","November","December"},0),1)</f>
        <v>45839</v>
      </c>
      <c r="K952" s="13">
        <f t="shared" si="73"/>
        <v>17326.63</v>
      </c>
      <c r="L952" s="13">
        <v>339.075615033411</v>
      </c>
      <c r="M952" s="14">
        <f t="shared" si="74"/>
        <v>-0.3621814459869766</v>
      </c>
    </row>
    <row r="953" spans="1:13" ht="15.5" x14ac:dyDescent="0.35">
      <c r="A953" s="8" t="s">
        <v>64</v>
      </c>
      <c r="B953" s="9" t="s">
        <v>60</v>
      </c>
      <c r="C953" s="9" t="s">
        <v>43</v>
      </c>
      <c r="D953" s="10">
        <v>246.71</v>
      </c>
      <c r="E953" s="9" t="s">
        <v>57</v>
      </c>
      <c r="F953" s="9" t="s">
        <v>40</v>
      </c>
      <c r="G953" s="9" t="str">
        <f t="shared" si="70"/>
        <v>Low Averg</v>
      </c>
      <c r="H953" s="11">
        <f t="shared" si="71"/>
        <v>249.29749999999999</v>
      </c>
      <c r="I953" s="9">
        <f t="shared" si="72"/>
        <v>32</v>
      </c>
      <c r="J953" s="12">
        <f>DATE(2025, MATCH(E953, {"January","February","March","April","May","June","July","August","September","October","November","December"},0),1)</f>
        <v>45839</v>
      </c>
      <c r="K953" s="13">
        <f t="shared" si="73"/>
        <v>7894.72</v>
      </c>
      <c r="L953" s="13">
        <v>339.68319636745599</v>
      </c>
      <c r="M953" s="14">
        <f t="shared" si="74"/>
        <v>-7.6173918158757578E-3</v>
      </c>
    </row>
    <row r="954" spans="1:13" ht="15.5" x14ac:dyDescent="0.35">
      <c r="A954" s="8" t="s">
        <v>37</v>
      </c>
      <c r="B954" s="9" t="s">
        <v>38</v>
      </c>
      <c r="C954" s="9" t="s">
        <v>24</v>
      </c>
      <c r="D954" s="10">
        <v>1042.6400000000001</v>
      </c>
      <c r="E954" s="9" t="s">
        <v>42</v>
      </c>
      <c r="F954" s="9" t="s">
        <v>40</v>
      </c>
      <c r="G954" s="9" t="str">
        <f t="shared" si="70"/>
        <v>Above Averg</v>
      </c>
      <c r="H954" s="11">
        <f t="shared" si="71"/>
        <v>1024.1451428571424</v>
      </c>
      <c r="I954" s="9">
        <f t="shared" si="72"/>
        <v>35</v>
      </c>
      <c r="J954" s="12">
        <f>DATE(2025, MATCH(E954, {"January","February","March","April","May","June","July","August","September","October","November","December"},0),1)</f>
        <v>45658</v>
      </c>
      <c r="K954" s="13">
        <f t="shared" si="73"/>
        <v>36492.400000000001</v>
      </c>
      <c r="L954" s="13">
        <v>340.64499515846899</v>
      </c>
      <c r="M954" s="14">
        <f t="shared" si="74"/>
        <v>5.4293641197498868E-2</v>
      </c>
    </row>
    <row r="955" spans="1:13" ht="15.5" x14ac:dyDescent="0.35">
      <c r="A955" s="8" t="s">
        <v>82</v>
      </c>
      <c r="B955" s="9" t="s">
        <v>14</v>
      </c>
      <c r="C955" s="9" t="s">
        <v>69</v>
      </c>
      <c r="D955" s="10">
        <v>1022.66</v>
      </c>
      <c r="E955" s="9" t="s">
        <v>16</v>
      </c>
      <c r="F955" s="9" t="s">
        <v>17</v>
      </c>
      <c r="G955" s="9" t="str">
        <f t="shared" si="70"/>
        <v>Above Averg</v>
      </c>
      <c r="H955" s="11">
        <f t="shared" si="71"/>
        <v>905.6025925925926</v>
      </c>
      <c r="I955" s="9">
        <f t="shared" si="72"/>
        <v>27</v>
      </c>
      <c r="J955" s="12">
        <f>DATE(2025, MATCH(E955, {"January","February","March","April","May","June","July","August","September","October","November","December"},0),1)</f>
        <v>45809</v>
      </c>
      <c r="K955" s="13">
        <f t="shared" si="73"/>
        <v>27611.82</v>
      </c>
      <c r="L955" s="13">
        <v>337.36103713278698</v>
      </c>
      <c r="M955" s="14">
        <f t="shared" si="74"/>
        <v>0.34697962871549093</v>
      </c>
    </row>
    <row r="956" spans="1:13" ht="15.5" x14ac:dyDescent="0.35">
      <c r="A956" s="8" t="s">
        <v>48</v>
      </c>
      <c r="B956" s="9" t="s">
        <v>19</v>
      </c>
      <c r="C956" s="9" t="s">
        <v>45</v>
      </c>
      <c r="D956" s="10">
        <v>1092.46</v>
      </c>
      <c r="E956" s="9" t="s">
        <v>62</v>
      </c>
      <c r="F956" s="9" t="s">
        <v>17</v>
      </c>
      <c r="G956" s="9" t="str">
        <f t="shared" si="70"/>
        <v>Above Averg</v>
      </c>
      <c r="H956" s="11">
        <f t="shared" si="71"/>
        <v>1235.856</v>
      </c>
      <c r="I956" s="9">
        <f t="shared" si="72"/>
        <v>25</v>
      </c>
      <c r="J956" s="12">
        <f>DATE(2025, MATCH(E956, {"January","February","March","April","May","June","July","August","September","October","November","December"},0),1)</f>
        <v>45689</v>
      </c>
      <c r="K956" s="13">
        <f t="shared" si="73"/>
        <v>27311.5</v>
      </c>
      <c r="L956" s="13">
        <v>334.20702428721802</v>
      </c>
      <c r="M956" s="14">
        <f t="shared" si="74"/>
        <v>-0.42906339358314988</v>
      </c>
    </row>
    <row r="957" spans="1:13" ht="15.5" x14ac:dyDescent="0.35">
      <c r="A957" s="8" t="s">
        <v>83</v>
      </c>
      <c r="B957" s="9" t="s">
        <v>23</v>
      </c>
      <c r="C957" s="9" t="s">
        <v>29</v>
      </c>
      <c r="D957" s="10">
        <v>121.62</v>
      </c>
      <c r="E957" s="9" t="s">
        <v>63</v>
      </c>
      <c r="F957" s="9" t="s">
        <v>26</v>
      </c>
      <c r="G957" s="9" t="str">
        <f t="shared" si="70"/>
        <v>Low Averg</v>
      </c>
      <c r="H957" s="11">
        <f t="shared" si="71"/>
        <v>132.90272727272728</v>
      </c>
      <c r="I957" s="9">
        <f t="shared" si="72"/>
        <v>22</v>
      </c>
      <c r="J957" s="12">
        <f>DATE(2025, MATCH(E957, {"January","February","March","April","May","June","July","August","September","October","November","December"},0),1)</f>
        <v>45717</v>
      </c>
      <c r="K957" s="13">
        <f t="shared" si="73"/>
        <v>2675.6400000000003</v>
      </c>
      <c r="L957" s="13">
        <v>329.93639282487101</v>
      </c>
      <c r="M957" s="14">
        <f t="shared" si="74"/>
        <v>-3.4196674019880254E-2</v>
      </c>
    </row>
    <row r="958" spans="1:13" ht="15.5" x14ac:dyDescent="0.35">
      <c r="A958" s="8" t="s">
        <v>31</v>
      </c>
      <c r="B958" s="9" t="s">
        <v>32</v>
      </c>
      <c r="C958" s="9" t="s">
        <v>20</v>
      </c>
      <c r="D958" s="10">
        <v>121.15</v>
      </c>
      <c r="E958" s="9" t="s">
        <v>57</v>
      </c>
      <c r="F958" s="9" t="s">
        <v>36</v>
      </c>
      <c r="G958" s="9" t="str">
        <f t="shared" si="70"/>
        <v>Low Averg</v>
      </c>
      <c r="H958" s="11">
        <f t="shared" si="71"/>
        <v>123.43305555555558</v>
      </c>
      <c r="I958" s="9">
        <f t="shared" si="72"/>
        <v>36</v>
      </c>
      <c r="J958" s="12">
        <f>DATE(2025, MATCH(E958, {"January","February","March","April","May","June","July","August","September","October","November","December"},0),1)</f>
        <v>45839</v>
      </c>
      <c r="K958" s="13">
        <f t="shared" si="73"/>
        <v>4361.4000000000005</v>
      </c>
      <c r="L958" s="13">
        <v>330.47520126493799</v>
      </c>
      <c r="M958" s="14">
        <f t="shared" si="74"/>
        <v>-6.9084020429275098E-3</v>
      </c>
    </row>
    <row r="959" spans="1:13" ht="15.5" x14ac:dyDescent="0.35">
      <c r="A959" s="8" t="s">
        <v>22</v>
      </c>
      <c r="B959" s="9" t="s">
        <v>23</v>
      </c>
      <c r="C959" s="9" t="s">
        <v>69</v>
      </c>
      <c r="D959" s="10">
        <v>242.64</v>
      </c>
      <c r="E959" s="9" t="s">
        <v>35</v>
      </c>
      <c r="F959" s="9" t="s">
        <v>36</v>
      </c>
      <c r="G959" s="9" t="str">
        <f t="shared" si="70"/>
        <v>Low Averg</v>
      </c>
      <c r="H959" s="11">
        <f t="shared" si="71"/>
        <v>257.40029411764709</v>
      </c>
      <c r="I959" s="9">
        <f t="shared" si="72"/>
        <v>34</v>
      </c>
      <c r="J959" s="12">
        <f>DATE(2025, MATCH(E959, {"January","February","March","April","May","June","July","August","September","October","November","December"},0),1)</f>
        <v>45778</v>
      </c>
      <c r="K959" s="13">
        <f t="shared" si="73"/>
        <v>8249.76</v>
      </c>
      <c r="L959" s="13">
        <v>331.01045433019902</v>
      </c>
      <c r="M959" s="14">
        <f t="shared" si="74"/>
        <v>-4.4591625202637847E-2</v>
      </c>
    </row>
    <row r="960" spans="1:13" ht="15.5" x14ac:dyDescent="0.35">
      <c r="A960" s="8" t="s">
        <v>50</v>
      </c>
      <c r="B960" s="9" t="s">
        <v>32</v>
      </c>
      <c r="C960" s="9" t="s">
        <v>20</v>
      </c>
      <c r="D960" s="10">
        <v>78.89</v>
      </c>
      <c r="E960" s="9" t="s">
        <v>35</v>
      </c>
      <c r="F960" s="9" t="s">
        <v>26</v>
      </c>
      <c r="G960" s="9" t="str">
        <f t="shared" si="70"/>
        <v>Low Averg</v>
      </c>
      <c r="H960" s="11">
        <f t="shared" si="71"/>
        <v>81.934666666666672</v>
      </c>
      <c r="I960" s="9">
        <f t="shared" si="72"/>
        <v>30</v>
      </c>
      <c r="J960" s="12">
        <f>DATE(2025, MATCH(E960, {"January","February","March","April","May","June","July","August","September","October","November","December"},0),1)</f>
        <v>45778</v>
      </c>
      <c r="K960" s="13">
        <f t="shared" si="73"/>
        <v>2366.6999999999998</v>
      </c>
      <c r="L960" s="13">
        <v>331.99166318239799</v>
      </c>
      <c r="M960" s="14">
        <f t="shared" si="74"/>
        <v>-9.1709130207703899E-3</v>
      </c>
    </row>
    <row r="961" spans="1:13" ht="15.5" x14ac:dyDescent="0.35">
      <c r="A961" s="8" t="s">
        <v>75</v>
      </c>
      <c r="B961" s="9" t="s">
        <v>28</v>
      </c>
      <c r="C961" s="9" t="s">
        <v>49</v>
      </c>
      <c r="D961" s="10">
        <v>136.44</v>
      </c>
      <c r="E961" s="9" t="s">
        <v>63</v>
      </c>
      <c r="F961" s="9" t="s">
        <v>26</v>
      </c>
      <c r="G961" s="9" t="str">
        <f t="shared" si="70"/>
        <v>Low Averg</v>
      </c>
      <c r="H961" s="11">
        <f t="shared" si="71"/>
        <v>120.53625</v>
      </c>
      <c r="I961" s="9">
        <f t="shared" si="72"/>
        <v>24</v>
      </c>
      <c r="J961" s="12">
        <f>DATE(2025, MATCH(E961, {"January","February","March","April","May","June","July","August","September","October","November","December"},0),1)</f>
        <v>45717</v>
      </c>
      <c r="K961" s="13">
        <f t="shared" si="73"/>
        <v>3274.56</v>
      </c>
      <c r="L961" s="13">
        <v>332.30135051260697</v>
      </c>
      <c r="M961" s="14">
        <f t="shared" si="74"/>
        <v>4.7859420298674474E-2</v>
      </c>
    </row>
    <row r="962" spans="1:13" ht="15.5" x14ac:dyDescent="0.35">
      <c r="A962" s="8" t="s">
        <v>31</v>
      </c>
      <c r="B962" s="9" t="s">
        <v>32</v>
      </c>
      <c r="C962" s="9" t="s">
        <v>69</v>
      </c>
      <c r="D962" s="10">
        <v>119.09</v>
      </c>
      <c r="E962" s="9" t="s">
        <v>39</v>
      </c>
      <c r="F962" s="9" t="s">
        <v>17</v>
      </c>
      <c r="G962" s="9" t="str">
        <f t="shared" si="70"/>
        <v>Low Averg</v>
      </c>
      <c r="H962" s="11">
        <f t="shared" si="71"/>
        <v>123.43305555555558</v>
      </c>
      <c r="I962" s="9">
        <f t="shared" si="72"/>
        <v>36</v>
      </c>
      <c r="J962" s="12">
        <f>DATE(2025, MATCH(E962, {"January","February","March","April","May","June","July","August","September","October","November","December"},0),1)</f>
        <v>45992</v>
      </c>
      <c r="K962" s="13">
        <f t="shared" si="73"/>
        <v>4287.24</v>
      </c>
      <c r="L962" s="13">
        <v>332.910285763319</v>
      </c>
      <c r="M962" s="14">
        <f t="shared" si="74"/>
        <v>-1.3045723551609502E-2</v>
      </c>
    </row>
    <row r="963" spans="1:13" ht="15.5" x14ac:dyDescent="0.35">
      <c r="A963" s="8" t="s">
        <v>74</v>
      </c>
      <c r="B963" s="9" t="s">
        <v>38</v>
      </c>
      <c r="C963" s="9" t="s">
        <v>24</v>
      </c>
      <c r="D963" s="10">
        <v>341.05</v>
      </c>
      <c r="E963" s="9" t="s">
        <v>62</v>
      </c>
      <c r="F963" s="9" t="s">
        <v>40</v>
      </c>
      <c r="G963" s="9" t="str">
        <f t="shared" si="70"/>
        <v>Low Averg</v>
      </c>
      <c r="H963" s="11">
        <f t="shared" si="71"/>
        <v>368.73933333333326</v>
      </c>
      <c r="I963" s="9">
        <f t="shared" si="72"/>
        <v>30</v>
      </c>
      <c r="J963" s="12">
        <f>DATE(2025, MATCH(E963, {"January","February","March","April","May","June","July","August","September","October","November","December"},0),1)</f>
        <v>45689</v>
      </c>
      <c r="K963" s="13">
        <f t="shared" si="73"/>
        <v>10231.5</v>
      </c>
      <c r="L963" s="13">
        <v>333.43297277561601</v>
      </c>
      <c r="M963" s="14">
        <f t="shared" si="74"/>
        <v>-8.3043176872512878E-2</v>
      </c>
    </row>
    <row r="964" spans="1:13" ht="15.5" x14ac:dyDescent="0.35">
      <c r="A964" s="8" t="s">
        <v>65</v>
      </c>
      <c r="B964" s="9" t="s">
        <v>23</v>
      </c>
      <c r="C964" s="9" t="s">
        <v>15</v>
      </c>
      <c r="D964" s="10">
        <v>154.72999999999999</v>
      </c>
      <c r="E964" s="9" t="s">
        <v>72</v>
      </c>
      <c r="F964" s="9" t="s">
        <v>26</v>
      </c>
      <c r="G964" s="9" t="str">
        <f t="shared" si="70"/>
        <v>Low Averg</v>
      </c>
      <c r="H964" s="11">
        <f t="shared" si="71"/>
        <v>151.26457142857143</v>
      </c>
      <c r="I964" s="9">
        <f t="shared" si="72"/>
        <v>35</v>
      </c>
      <c r="J964" s="12">
        <f>DATE(2025, MATCH(E964, {"January","February","March","April","May","June","July","August","September","October","November","December"},0),1)</f>
        <v>45901</v>
      </c>
      <c r="K964" s="13">
        <f t="shared" si="73"/>
        <v>5415.5499999999993</v>
      </c>
      <c r="L964" s="13">
        <v>334.59010249620098</v>
      </c>
      <c r="M964" s="14">
        <f t="shared" si="74"/>
        <v>1.0357235750773314E-2</v>
      </c>
    </row>
    <row r="965" spans="1:13" ht="15.5" x14ac:dyDescent="0.35">
      <c r="A965" s="8" t="s">
        <v>41</v>
      </c>
      <c r="B965" s="9" t="s">
        <v>32</v>
      </c>
      <c r="C965" s="9" t="s">
        <v>45</v>
      </c>
      <c r="D965" s="10">
        <v>79.349999999999994</v>
      </c>
      <c r="E965" s="9" t="s">
        <v>21</v>
      </c>
      <c r="F965" s="9" t="s">
        <v>17</v>
      </c>
      <c r="G965" s="9" t="str">
        <f t="shared" si="70"/>
        <v>Low Averg</v>
      </c>
      <c r="H965" s="11">
        <f t="shared" si="71"/>
        <v>70.278611111111118</v>
      </c>
      <c r="I965" s="9">
        <f t="shared" si="72"/>
        <v>36</v>
      </c>
      <c r="J965" s="12">
        <f>DATE(2025, MATCH(E965, {"January","February","March","April","May","June","July","August","September","October","November","December"},0),1)</f>
        <v>45748</v>
      </c>
      <c r="K965" s="13">
        <f t="shared" si="73"/>
        <v>2856.6</v>
      </c>
      <c r="L965" s="13">
        <v>335.29252881335702</v>
      </c>
      <c r="M965" s="14">
        <f t="shared" si="74"/>
        <v>2.7055147697426115E-2</v>
      </c>
    </row>
    <row r="966" spans="1:13" ht="15.5" x14ac:dyDescent="0.35">
      <c r="A966" s="8" t="s">
        <v>52</v>
      </c>
      <c r="B966" s="9" t="s">
        <v>32</v>
      </c>
      <c r="C966" s="9" t="s">
        <v>49</v>
      </c>
      <c r="D966" s="10">
        <v>65.36</v>
      </c>
      <c r="E966" s="9" t="s">
        <v>72</v>
      </c>
      <c r="F966" s="9" t="s">
        <v>36</v>
      </c>
      <c r="G966" s="9" t="str">
        <f t="shared" si="70"/>
        <v>Low Averg</v>
      </c>
      <c r="H966" s="11">
        <f t="shared" si="71"/>
        <v>62.182121212121217</v>
      </c>
      <c r="I966" s="9">
        <f t="shared" si="72"/>
        <v>33</v>
      </c>
      <c r="J966" s="12">
        <f>DATE(2025, MATCH(E966, {"January","February","March","April","May","June","July","August","September","October","November","December"},0),1)</f>
        <v>45901</v>
      </c>
      <c r="K966" s="13">
        <f t="shared" si="73"/>
        <v>2156.88</v>
      </c>
      <c r="L966" s="13">
        <v>335.59448227591298</v>
      </c>
      <c r="M966" s="14">
        <f t="shared" si="74"/>
        <v>9.4694011842127116E-3</v>
      </c>
    </row>
    <row r="967" spans="1:13" ht="15.5" x14ac:dyDescent="0.35">
      <c r="A967" s="8" t="s">
        <v>74</v>
      </c>
      <c r="B967" s="9" t="s">
        <v>38</v>
      </c>
      <c r="C967" s="9" t="s">
        <v>20</v>
      </c>
      <c r="D967" s="10">
        <v>357.94</v>
      </c>
      <c r="E967" s="9" t="s">
        <v>25</v>
      </c>
      <c r="F967" s="9" t="s">
        <v>40</v>
      </c>
      <c r="G967" s="9" t="str">
        <f t="shared" si="70"/>
        <v>Low Averg</v>
      </c>
      <c r="H967" s="11">
        <f t="shared" si="71"/>
        <v>368.73933333333326</v>
      </c>
      <c r="I967" s="9">
        <f t="shared" si="72"/>
        <v>30</v>
      </c>
      <c r="J967" s="12">
        <f>DATE(2025, MATCH(E967, {"January","February","March","April","May","June","July","August","September","October","November","December"},0),1)</f>
        <v>45931</v>
      </c>
      <c r="K967" s="13">
        <f t="shared" si="73"/>
        <v>10738.2</v>
      </c>
      <c r="L967" s="13">
        <v>335.79864892943999</v>
      </c>
      <c r="M967" s="14">
        <f t="shared" si="74"/>
        <v>-3.2160145276827742E-2</v>
      </c>
    </row>
    <row r="968" spans="1:13" ht="15.5" x14ac:dyDescent="0.35">
      <c r="A968" s="8" t="s">
        <v>56</v>
      </c>
      <c r="B968" s="9" t="s">
        <v>19</v>
      </c>
      <c r="C968" s="9" t="s">
        <v>29</v>
      </c>
      <c r="D968" s="10">
        <v>536.92999999999995</v>
      </c>
      <c r="E968" s="9" t="s">
        <v>62</v>
      </c>
      <c r="F968" s="9" t="s">
        <v>17</v>
      </c>
      <c r="G968" s="9" t="str">
        <f t="shared" ref="G968:G1031" si="75">IF(D968&gt;AVERAGE(D:D),"Above Averg","Low Averg")</f>
        <v>Above Averg</v>
      </c>
      <c r="H968" s="11">
        <f t="shared" ref="H968:H1031" si="76">AVERAGEIF(A:A,A968,D:D)</f>
        <v>533.4588235294118</v>
      </c>
      <c r="I968" s="9">
        <f t="shared" ref="I968:I1031" si="77">COUNTIF(A:A,A968)</f>
        <v>34</v>
      </c>
      <c r="J968" s="12">
        <f>DATE(2025, MATCH(E968, {"January","February","March","April","May","June","July","August","September","October","November","December"},0),1)</f>
        <v>45689</v>
      </c>
      <c r="K968" s="13">
        <f t="shared" ref="K968:K1031" si="78">1*(D968*I968)</f>
        <v>18255.62</v>
      </c>
      <c r="L968" s="13">
        <v>337.00223447845099</v>
      </c>
      <c r="M968" s="14">
        <f t="shared" ref="M968:M1031" si="79">(D968-H968)/L968</f>
        <v>1.0300158620491598E-2</v>
      </c>
    </row>
    <row r="969" spans="1:13" ht="15.5" x14ac:dyDescent="0.35">
      <c r="A969" s="8" t="s">
        <v>65</v>
      </c>
      <c r="B969" s="9" t="s">
        <v>23</v>
      </c>
      <c r="C969" s="9" t="s">
        <v>29</v>
      </c>
      <c r="D969" s="10">
        <v>164.08</v>
      </c>
      <c r="E969" s="9" t="s">
        <v>16</v>
      </c>
      <c r="F969" s="9" t="s">
        <v>36</v>
      </c>
      <c r="G969" s="9" t="str">
        <f t="shared" si="75"/>
        <v>Low Averg</v>
      </c>
      <c r="H969" s="11">
        <f t="shared" si="76"/>
        <v>151.26457142857143</v>
      </c>
      <c r="I969" s="9">
        <f t="shared" si="77"/>
        <v>35</v>
      </c>
      <c r="J969" s="12">
        <f>DATE(2025, MATCH(E969, {"January","February","March","April","May","June","July","August","September","October","November","December"},0),1)</f>
        <v>45809</v>
      </c>
      <c r="K969" s="13">
        <f t="shared" si="78"/>
        <v>5742.8</v>
      </c>
      <c r="L969" s="13">
        <v>337.928181556472</v>
      </c>
      <c r="M969" s="14">
        <f t="shared" si="79"/>
        <v>3.7923527160125196E-2</v>
      </c>
    </row>
    <row r="970" spans="1:13" ht="15.5" x14ac:dyDescent="0.35">
      <c r="A970" s="8" t="s">
        <v>77</v>
      </c>
      <c r="B970" s="9" t="s">
        <v>14</v>
      </c>
      <c r="C970" s="9" t="s">
        <v>24</v>
      </c>
      <c r="D970" s="10">
        <v>226.72</v>
      </c>
      <c r="E970" s="9" t="s">
        <v>57</v>
      </c>
      <c r="F970" s="9" t="s">
        <v>17</v>
      </c>
      <c r="G970" s="9" t="str">
        <f t="shared" si="75"/>
        <v>Low Averg</v>
      </c>
      <c r="H970" s="11">
        <f t="shared" si="76"/>
        <v>226.49633333333335</v>
      </c>
      <c r="I970" s="9">
        <f t="shared" si="77"/>
        <v>30</v>
      </c>
      <c r="J970" s="12">
        <f>DATE(2025, MATCH(E970, {"January","February","March","April","May","June","July","August","September","October","November","December"},0),1)</f>
        <v>45839</v>
      </c>
      <c r="K970" s="13">
        <f t="shared" si="78"/>
        <v>6801.6</v>
      </c>
      <c r="L970" s="13">
        <v>338.69474435468601</v>
      </c>
      <c r="M970" s="14">
        <f t="shared" si="79"/>
        <v>6.6037832117175747E-4</v>
      </c>
    </row>
    <row r="971" spans="1:13" ht="15.5" x14ac:dyDescent="0.35">
      <c r="A971" s="8" t="s">
        <v>22</v>
      </c>
      <c r="B971" s="9" t="s">
        <v>23</v>
      </c>
      <c r="C971" s="9" t="s">
        <v>24</v>
      </c>
      <c r="D971" s="10">
        <v>232.72</v>
      </c>
      <c r="E971" s="9" t="s">
        <v>72</v>
      </c>
      <c r="F971" s="9" t="s">
        <v>36</v>
      </c>
      <c r="G971" s="9" t="str">
        <f t="shared" si="75"/>
        <v>Low Averg</v>
      </c>
      <c r="H971" s="11">
        <f t="shared" si="76"/>
        <v>257.40029411764709</v>
      </c>
      <c r="I971" s="9">
        <f t="shared" si="77"/>
        <v>34</v>
      </c>
      <c r="J971" s="12">
        <f>DATE(2025, MATCH(E971, {"January","February","March","April","May","June","July","August","September","October","November","December"},0),1)</f>
        <v>45901</v>
      </c>
      <c r="K971" s="13">
        <f t="shared" si="78"/>
        <v>7912.48</v>
      </c>
      <c r="L971" s="13">
        <v>339.705984891752</v>
      </c>
      <c r="M971" s="14">
        <f t="shared" si="79"/>
        <v>-7.2651926122265759E-2</v>
      </c>
    </row>
    <row r="972" spans="1:13" ht="15.5" x14ac:dyDescent="0.35">
      <c r="A972" s="8" t="s">
        <v>76</v>
      </c>
      <c r="B972" s="9" t="s">
        <v>60</v>
      </c>
      <c r="C972" s="9" t="s">
        <v>61</v>
      </c>
      <c r="D972" s="10">
        <v>273.85000000000002</v>
      </c>
      <c r="E972" s="9" t="s">
        <v>25</v>
      </c>
      <c r="F972" s="9" t="s">
        <v>26</v>
      </c>
      <c r="G972" s="9" t="str">
        <f t="shared" si="75"/>
        <v>Low Averg</v>
      </c>
      <c r="H972" s="11">
        <f t="shared" si="76"/>
        <v>304.90820512820511</v>
      </c>
      <c r="I972" s="9">
        <f t="shared" si="77"/>
        <v>39</v>
      </c>
      <c r="J972" s="12">
        <f>DATE(2025, MATCH(E972, {"January","February","March","April","May","June","July","August","September","October","November","December"},0),1)</f>
        <v>45931</v>
      </c>
      <c r="K972" s="13">
        <f t="shared" si="78"/>
        <v>10680.150000000001</v>
      </c>
      <c r="L972" s="13">
        <v>340.74461932499003</v>
      </c>
      <c r="M972" s="14">
        <f t="shared" si="79"/>
        <v>-9.1148042747471486E-2</v>
      </c>
    </row>
    <row r="973" spans="1:13" ht="15.5" x14ac:dyDescent="0.35">
      <c r="A973" s="8" t="s">
        <v>73</v>
      </c>
      <c r="B973" s="9" t="s">
        <v>54</v>
      </c>
      <c r="C973" s="9" t="s">
        <v>61</v>
      </c>
      <c r="D973" s="10">
        <v>36</v>
      </c>
      <c r="E973" s="9" t="s">
        <v>57</v>
      </c>
      <c r="F973" s="9" t="s">
        <v>30</v>
      </c>
      <c r="G973" s="9" t="str">
        <f t="shared" si="75"/>
        <v>Low Averg</v>
      </c>
      <c r="H973" s="11">
        <f t="shared" si="76"/>
        <v>40.881379310344826</v>
      </c>
      <c r="I973" s="9">
        <f t="shared" si="77"/>
        <v>29</v>
      </c>
      <c r="J973" s="12">
        <f>DATE(2025, MATCH(E973, {"January","February","March","April","May","June","July","August","September","October","November","December"},0),1)</f>
        <v>45839</v>
      </c>
      <c r="K973" s="13">
        <f t="shared" si="78"/>
        <v>1044</v>
      </c>
      <c r="L973" s="13">
        <v>341.90205315531398</v>
      </c>
      <c r="M973" s="14">
        <f t="shared" si="79"/>
        <v>-1.4277127806914305E-2</v>
      </c>
    </row>
    <row r="974" spans="1:13" ht="15.5" x14ac:dyDescent="0.35">
      <c r="A974" s="8" t="s">
        <v>80</v>
      </c>
      <c r="B974" s="9" t="s">
        <v>19</v>
      </c>
      <c r="C974" s="9" t="s">
        <v>43</v>
      </c>
      <c r="D974" s="10">
        <v>795.68</v>
      </c>
      <c r="E974" s="9" t="s">
        <v>57</v>
      </c>
      <c r="F974" s="9" t="s">
        <v>26</v>
      </c>
      <c r="G974" s="9" t="str">
        <f t="shared" si="75"/>
        <v>Above Averg</v>
      </c>
      <c r="H974" s="11">
        <f t="shared" si="76"/>
        <v>720.27689655172423</v>
      </c>
      <c r="I974" s="9">
        <f t="shared" si="77"/>
        <v>29</v>
      </c>
      <c r="J974" s="12">
        <f>DATE(2025, MATCH(E974, {"January","February","March","April","May","June","July","August","September","October","November","December"},0),1)</f>
        <v>45839</v>
      </c>
      <c r="K974" s="13">
        <f t="shared" si="78"/>
        <v>23074.719999999998</v>
      </c>
      <c r="L974" s="13">
        <v>341.91155099874697</v>
      </c>
      <c r="M974" s="14">
        <f t="shared" si="79"/>
        <v>0.22053394577638019</v>
      </c>
    </row>
    <row r="975" spans="1:13" ht="15.5" x14ac:dyDescent="0.35">
      <c r="A975" s="8" t="s">
        <v>70</v>
      </c>
      <c r="B975" s="9" t="s">
        <v>71</v>
      </c>
      <c r="C975" s="9" t="s">
        <v>61</v>
      </c>
      <c r="D975" s="10">
        <v>822.7</v>
      </c>
      <c r="E975" s="9" t="s">
        <v>72</v>
      </c>
      <c r="F975" s="9" t="s">
        <v>36</v>
      </c>
      <c r="G975" s="9" t="str">
        <f t="shared" si="75"/>
        <v>Above Averg</v>
      </c>
      <c r="H975" s="11">
        <f t="shared" si="76"/>
        <v>911.5772916666665</v>
      </c>
      <c r="I975" s="9">
        <f t="shared" si="77"/>
        <v>48</v>
      </c>
      <c r="J975" s="12">
        <f>DATE(2025, MATCH(E975, {"January","February","March","April","May","June","July","August","September","October","November","December"},0),1)</f>
        <v>45901</v>
      </c>
      <c r="K975" s="13">
        <f t="shared" si="78"/>
        <v>39489.600000000006</v>
      </c>
      <c r="L975" s="13">
        <v>341.25790625304501</v>
      </c>
      <c r="M975" s="14">
        <f t="shared" si="79"/>
        <v>-0.26044024193468313</v>
      </c>
    </row>
    <row r="976" spans="1:13" ht="15.5" x14ac:dyDescent="0.35">
      <c r="A976" s="8" t="s">
        <v>18</v>
      </c>
      <c r="B976" s="9" t="s">
        <v>19</v>
      </c>
      <c r="C976" s="9" t="s">
        <v>29</v>
      </c>
      <c r="D976" s="10">
        <v>886.32</v>
      </c>
      <c r="E976" s="9" t="s">
        <v>46</v>
      </c>
      <c r="F976" s="9" t="s">
        <v>30</v>
      </c>
      <c r="G976" s="9" t="str">
        <f t="shared" si="75"/>
        <v>Above Averg</v>
      </c>
      <c r="H976" s="11">
        <f t="shared" si="76"/>
        <v>920.12567567567555</v>
      </c>
      <c r="I976" s="9">
        <f t="shared" si="77"/>
        <v>37</v>
      </c>
      <c r="J976" s="12">
        <f>DATE(2025, MATCH(E976, {"January","February","March","April","May","June","July","August","September","October","November","December"},0),1)</f>
        <v>45870</v>
      </c>
      <c r="K976" s="13">
        <f t="shared" si="78"/>
        <v>32793.840000000004</v>
      </c>
      <c r="L976" s="13">
        <v>340.29793646271997</v>
      </c>
      <c r="M976" s="14">
        <f t="shared" si="79"/>
        <v>-9.934140661290479E-2</v>
      </c>
    </row>
    <row r="977" spans="1:13" ht="15.5" x14ac:dyDescent="0.35">
      <c r="A977" s="8" t="s">
        <v>76</v>
      </c>
      <c r="B977" s="9" t="s">
        <v>60</v>
      </c>
      <c r="C977" s="9" t="s">
        <v>29</v>
      </c>
      <c r="D977" s="10">
        <v>289.26</v>
      </c>
      <c r="E977" s="9" t="s">
        <v>16</v>
      </c>
      <c r="F977" s="9" t="s">
        <v>40</v>
      </c>
      <c r="G977" s="9" t="str">
        <f t="shared" si="75"/>
        <v>Low Averg</v>
      </c>
      <c r="H977" s="11">
        <f t="shared" si="76"/>
        <v>304.90820512820511</v>
      </c>
      <c r="I977" s="9">
        <f t="shared" si="77"/>
        <v>39</v>
      </c>
      <c r="J977" s="12">
        <f>DATE(2025, MATCH(E977, {"January","February","March","April","May","June","July","August","September","October","November","December"},0),1)</f>
        <v>45809</v>
      </c>
      <c r="K977" s="13">
        <f t="shared" si="78"/>
        <v>11281.14</v>
      </c>
      <c r="L977" s="13">
        <v>338.58250478543101</v>
      </c>
      <c r="M977" s="14">
        <f t="shared" si="79"/>
        <v>-4.6216815420282317E-2</v>
      </c>
    </row>
    <row r="978" spans="1:13" ht="15.5" x14ac:dyDescent="0.35">
      <c r="A978" s="8" t="s">
        <v>58</v>
      </c>
      <c r="B978" s="9" t="s">
        <v>23</v>
      </c>
      <c r="C978" s="9" t="s">
        <v>15</v>
      </c>
      <c r="D978" s="10">
        <v>108.22</v>
      </c>
      <c r="E978" s="9" t="s">
        <v>72</v>
      </c>
      <c r="F978" s="9" t="s">
        <v>30</v>
      </c>
      <c r="G978" s="9" t="str">
        <f t="shared" si="75"/>
        <v>Low Averg</v>
      </c>
      <c r="H978" s="11">
        <f t="shared" si="76"/>
        <v>121.60903225806452</v>
      </c>
      <c r="I978" s="9">
        <f t="shared" si="77"/>
        <v>31</v>
      </c>
      <c r="J978" s="12">
        <f>DATE(2025, MATCH(E978, {"January","February","March","April","May","June","July","August","September","October","November","December"},0),1)</f>
        <v>45901</v>
      </c>
      <c r="K978" s="13">
        <f t="shared" si="78"/>
        <v>3354.82</v>
      </c>
      <c r="L978" s="13">
        <v>339.82206427593798</v>
      </c>
      <c r="M978" s="14">
        <f t="shared" si="79"/>
        <v>-3.9400126317850059E-2</v>
      </c>
    </row>
    <row r="979" spans="1:13" ht="15.5" x14ac:dyDescent="0.35">
      <c r="A979" s="8" t="s">
        <v>27</v>
      </c>
      <c r="B979" s="9" t="s">
        <v>28</v>
      </c>
      <c r="C979" s="9" t="s">
        <v>45</v>
      </c>
      <c r="D979" s="10">
        <v>109.44</v>
      </c>
      <c r="E979" s="9" t="s">
        <v>72</v>
      </c>
      <c r="F979" s="9" t="s">
        <v>17</v>
      </c>
      <c r="G979" s="9" t="str">
        <f t="shared" si="75"/>
        <v>Low Averg</v>
      </c>
      <c r="H979" s="11">
        <f t="shared" si="76"/>
        <v>113.26108695652174</v>
      </c>
      <c r="I979" s="9">
        <f t="shared" si="77"/>
        <v>46</v>
      </c>
      <c r="J979" s="12">
        <f>DATE(2025, MATCH(E979, {"January","February","March","April","May","June","July","August","September","October","November","December"},0),1)</f>
        <v>45901</v>
      </c>
      <c r="K979" s="13">
        <f t="shared" si="78"/>
        <v>5034.24</v>
      </c>
      <c r="L979" s="13">
        <v>340.36705027467298</v>
      </c>
      <c r="M979" s="14">
        <f t="shared" si="79"/>
        <v>-1.1226371511102964E-2</v>
      </c>
    </row>
    <row r="980" spans="1:13" ht="15.5" x14ac:dyDescent="0.35">
      <c r="A980" s="8" t="s">
        <v>41</v>
      </c>
      <c r="B980" s="9" t="s">
        <v>32</v>
      </c>
      <c r="C980" s="9" t="s">
        <v>24</v>
      </c>
      <c r="D980" s="10">
        <v>60.14</v>
      </c>
      <c r="E980" s="9" t="s">
        <v>57</v>
      </c>
      <c r="F980" s="9" t="s">
        <v>40</v>
      </c>
      <c r="G980" s="9" t="str">
        <f t="shared" si="75"/>
        <v>Low Averg</v>
      </c>
      <c r="H980" s="11">
        <f t="shared" si="76"/>
        <v>70.278611111111118</v>
      </c>
      <c r="I980" s="9">
        <f t="shared" si="77"/>
        <v>36</v>
      </c>
      <c r="J980" s="12">
        <f>DATE(2025, MATCH(E980, {"January","February","March","April","May","June","July","August","September","October","November","December"},0),1)</f>
        <v>45839</v>
      </c>
      <c r="K980" s="13">
        <f t="shared" si="78"/>
        <v>2165.04</v>
      </c>
      <c r="L980" s="13">
        <v>340.91486959073097</v>
      </c>
      <c r="M980" s="14">
        <f t="shared" si="79"/>
        <v>-2.9739421818950115E-2</v>
      </c>
    </row>
    <row r="981" spans="1:13" ht="15.5" x14ac:dyDescent="0.35">
      <c r="A981" s="8" t="s">
        <v>50</v>
      </c>
      <c r="B981" s="9" t="s">
        <v>32</v>
      </c>
      <c r="C981" s="9" t="s">
        <v>49</v>
      </c>
      <c r="D981" s="10">
        <v>83.33</v>
      </c>
      <c r="E981" s="9" t="s">
        <v>25</v>
      </c>
      <c r="F981" s="9" t="s">
        <v>30</v>
      </c>
      <c r="G981" s="9" t="str">
        <f t="shared" si="75"/>
        <v>Low Averg</v>
      </c>
      <c r="H981" s="11">
        <f t="shared" si="76"/>
        <v>81.934666666666672</v>
      </c>
      <c r="I981" s="9">
        <f t="shared" si="77"/>
        <v>30</v>
      </c>
      <c r="J981" s="12">
        <f>DATE(2025, MATCH(E981, {"January","February","March","April","May","June","July","August","September","October","November","December"},0),1)</f>
        <v>45931</v>
      </c>
      <c r="K981" s="13">
        <f t="shared" si="78"/>
        <v>2499.9</v>
      </c>
      <c r="L981" s="13">
        <v>341.12599093592002</v>
      </c>
      <c r="M981" s="14">
        <f t="shared" si="79"/>
        <v>4.0903753170641209E-3</v>
      </c>
    </row>
    <row r="982" spans="1:13" ht="15.5" x14ac:dyDescent="0.35">
      <c r="A982" s="8" t="s">
        <v>22</v>
      </c>
      <c r="B982" s="9" t="s">
        <v>23</v>
      </c>
      <c r="C982" s="9" t="s">
        <v>61</v>
      </c>
      <c r="D982" s="10">
        <v>232.62</v>
      </c>
      <c r="E982" s="9" t="s">
        <v>62</v>
      </c>
      <c r="F982" s="9" t="s">
        <v>30</v>
      </c>
      <c r="G982" s="9" t="str">
        <f t="shared" si="75"/>
        <v>Low Averg</v>
      </c>
      <c r="H982" s="11">
        <f t="shared" si="76"/>
        <v>257.40029411764709</v>
      </c>
      <c r="I982" s="9">
        <f t="shared" si="77"/>
        <v>34</v>
      </c>
      <c r="J982" s="12">
        <f>DATE(2025, MATCH(E982, {"January","February","March","April","May","June","July","August","September","October","November","December"},0),1)</f>
        <v>45689</v>
      </c>
      <c r="K982" s="13">
        <f t="shared" si="78"/>
        <v>7909.08</v>
      </c>
      <c r="L982" s="13">
        <v>341.48796706176199</v>
      </c>
      <c r="M982" s="14">
        <f t="shared" si="79"/>
        <v>-7.2565643618023271E-2</v>
      </c>
    </row>
    <row r="983" spans="1:13" ht="15.5" x14ac:dyDescent="0.35">
      <c r="A983" s="8" t="s">
        <v>78</v>
      </c>
      <c r="B983" s="9" t="s">
        <v>28</v>
      </c>
      <c r="C983" s="9" t="s">
        <v>45</v>
      </c>
      <c r="D983" s="10">
        <v>344.54</v>
      </c>
      <c r="E983" s="9" t="s">
        <v>35</v>
      </c>
      <c r="F983" s="9" t="s">
        <v>30</v>
      </c>
      <c r="G983" s="9" t="str">
        <f t="shared" si="75"/>
        <v>Low Averg</v>
      </c>
      <c r="H983" s="11">
        <f t="shared" si="76"/>
        <v>309.01727272727271</v>
      </c>
      <c r="I983" s="9">
        <f t="shared" si="77"/>
        <v>22</v>
      </c>
      <c r="J983" s="12">
        <f>DATE(2025, MATCH(E983, {"January","February","March","April","May","June","July","August","September","October","November","December"},0),1)</f>
        <v>45778</v>
      </c>
      <c r="K983" s="13">
        <f t="shared" si="78"/>
        <v>7579.88</v>
      </c>
      <c r="L983" s="13">
        <v>342.61544682788502</v>
      </c>
      <c r="M983" s="14">
        <f t="shared" si="79"/>
        <v>0.10368104416077997</v>
      </c>
    </row>
    <row r="984" spans="1:13" ht="15.5" x14ac:dyDescent="0.35">
      <c r="A984" s="8" t="s">
        <v>68</v>
      </c>
      <c r="B984" s="9" t="s">
        <v>28</v>
      </c>
      <c r="C984" s="9" t="s">
        <v>61</v>
      </c>
      <c r="D984" s="10">
        <v>97.04</v>
      </c>
      <c r="E984" s="9" t="s">
        <v>42</v>
      </c>
      <c r="F984" s="9" t="s">
        <v>17</v>
      </c>
      <c r="G984" s="9" t="str">
        <f t="shared" si="75"/>
        <v>Low Averg</v>
      </c>
      <c r="H984" s="11">
        <f t="shared" si="76"/>
        <v>102.25285714285715</v>
      </c>
      <c r="I984" s="9">
        <f t="shared" si="77"/>
        <v>28</v>
      </c>
      <c r="J984" s="12">
        <f>DATE(2025, MATCH(E984, {"January","February","March","April","May","June","July","August","September","October","November","December"},0),1)</f>
        <v>45658</v>
      </c>
      <c r="K984" s="13">
        <f t="shared" si="78"/>
        <v>2717.1200000000003</v>
      </c>
      <c r="L984" s="13">
        <v>343.99202643640302</v>
      </c>
      <c r="M984" s="14">
        <f t="shared" si="79"/>
        <v>-1.5154005739202491E-2</v>
      </c>
    </row>
    <row r="985" spans="1:13" ht="15.5" x14ac:dyDescent="0.35">
      <c r="A985" s="8" t="s">
        <v>53</v>
      </c>
      <c r="B985" s="9" t="s">
        <v>54</v>
      </c>
      <c r="C985" s="9" t="s">
        <v>24</v>
      </c>
      <c r="D985" s="10">
        <v>835.89</v>
      </c>
      <c r="E985" s="9" t="s">
        <v>16</v>
      </c>
      <c r="F985" s="9" t="s">
        <v>26</v>
      </c>
      <c r="G985" s="9" t="str">
        <f t="shared" si="75"/>
        <v>Above Averg</v>
      </c>
      <c r="H985" s="11">
        <f t="shared" si="76"/>
        <v>810.77454545454566</v>
      </c>
      <c r="I985" s="9">
        <f t="shared" si="77"/>
        <v>33</v>
      </c>
      <c r="J985" s="12">
        <f>DATE(2025, MATCH(E985, {"January","February","March","April","May","June","July","August","September","October","November","December"},0),1)</f>
        <v>45809</v>
      </c>
      <c r="K985" s="13">
        <f t="shared" si="78"/>
        <v>27584.37</v>
      </c>
      <c r="L985" s="13">
        <v>344.451485979457</v>
      </c>
      <c r="M985" s="14">
        <f t="shared" si="79"/>
        <v>7.2914345177051157E-2</v>
      </c>
    </row>
    <row r="986" spans="1:13" ht="15.5" x14ac:dyDescent="0.35">
      <c r="A986" s="8" t="s">
        <v>47</v>
      </c>
      <c r="B986" s="9" t="s">
        <v>19</v>
      </c>
      <c r="C986" s="9" t="s">
        <v>43</v>
      </c>
      <c r="D986" s="10">
        <v>737.41</v>
      </c>
      <c r="E986" s="9" t="s">
        <v>16</v>
      </c>
      <c r="F986" s="9" t="s">
        <v>26</v>
      </c>
      <c r="G986" s="9" t="str">
        <f t="shared" si="75"/>
        <v>Above Averg</v>
      </c>
      <c r="H986" s="11">
        <f t="shared" si="76"/>
        <v>673.04079999999988</v>
      </c>
      <c r="I986" s="9">
        <f t="shared" si="77"/>
        <v>25</v>
      </c>
      <c r="J986" s="12">
        <f>DATE(2025, MATCH(E986, {"January","February","March","April","May","June","July","August","September","October","November","December"},0),1)</f>
        <v>45809</v>
      </c>
      <c r="K986" s="13">
        <f t="shared" si="78"/>
        <v>18435.25</v>
      </c>
      <c r="L986" s="13">
        <v>343.36565044030903</v>
      </c>
      <c r="M986" s="14">
        <f t="shared" si="79"/>
        <v>0.18746546114166446</v>
      </c>
    </row>
    <row r="987" spans="1:13" ht="15.5" x14ac:dyDescent="0.35">
      <c r="A987" s="8" t="s">
        <v>27</v>
      </c>
      <c r="B987" s="9" t="s">
        <v>28</v>
      </c>
      <c r="C987" s="9" t="s">
        <v>45</v>
      </c>
      <c r="D987" s="10">
        <v>110.52</v>
      </c>
      <c r="E987" s="9" t="s">
        <v>35</v>
      </c>
      <c r="F987" s="9" t="s">
        <v>17</v>
      </c>
      <c r="G987" s="9" t="str">
        <f t="shared" si="75"/>
        <v>Low Averg</v>
      </c>
      <c r="H987" s="11">
        <f t="shared" si="76"/>
        <v>113.26108695652174</v>
      </c>
      <c r="I987" s="9">
        <f t="shared" si="77"/>
        <v>46</v>
      </c>
      <c r="J987" s="12">
        <f>DATE(2025, MATCH(E987, {"January","February","March","April","May","June","July","August","September","October","November","December"},0),1)</f>
        <v>45778</v>
      </c>
      <c r="K987" s="13">
        <f t="shared" si="78"/>
        <v>5083.92</v>
      </c>
      <c r="L987" s="13">
        <v>343.20558658197098</v>
      </c>
      <c r="M987" s="14">
        <f t="shared" si="79"/>
        <v>-7.9867200992285187E-3</v>
      </c>
    </row>
    <row r="988" spans="1:13" ht="15.5" x14ac:dyDescent="0.35">
      <c r="A988" s="8" t="s">
        <v>76</v>
      </c>
      <c r="B988" s="9" t="s">
        <v>60</v>
      </c>
      <c r="C988" s="9" t="s">
        <v>61</v>
      </c>
      <c r="D988" s="10">
        <v>297.49</v>
      </c>
      <c r="E988" s="9" t="s">
        <v>39</v>
      </c>
      <c r="F988" s="9" t="s">
        <v>40</v>
      </c>
      <c r="G988" s="9" t="str">
        <f t="shared" si="75"/>
        <v>Low Averg</v>
      </c>
      <c r="H988" s="11">
        <f t="shared" si="76"/>
        <v>304.90820512820511</v>
      </c>
      <c r="I988" s="9">
        <f t="shared" si="77"/>
        <v>39</v>
      </c>
      <c r="J988" s="12">
        <f>DATE(2025, MATCH(E988, {"January","February","March","April","May","June","July","August","September","October","November","December"},0),1)</f>
        <v>45992</v>
      </c>
      <c r="K988" s="13">
        <f t="shared" si="78"/>
        <v>11602.11</v>
      </c>
      <c r="L988" s="13">
        <v>343.79108230144698</v>
      </c>
      <c r="M988" s="14">
        <f t="shared" si="79"/>
        <v>-2.1577654308381926E-2</v>
      </c>
    </row>
    <row r="989" spans="1:13" ht="15.5" x14ac:dyDescent="0.35">
      <c r="A989" s="8" t="s">
        <v>79</v>
      </c>
      <c r="B989" s="9" t="s">
        <v>32</v>
      </c>
      <c r="C989" s="9" t="s">
        <v>49</v>
      </c>
      <c r="D989" s="10">
        <v>81.86</v>
      </c>
      <c r="E989" s="9" t="s">
        <v>46</v>
      </c>
      <c r="F989" s="9" t="s">
        <v>40</v>
      </c>
      <c r="G989" s="9" t="str">
        <f t="shared" si="75"/>
        <v>Low Averg</v>
      </c>
      <c r="H989" s="11">
        <f t="shared" si="76"/>
        <v>90.269599999999997</v>
      </c>
      <c r="I989" s="9">
        <f t="shared" si="77"/>
        <v>25</v>
      </c>
      <c r="J989" s="12">
        <f>DATE(2025, MATCH(E989, {"January","February","March","April","May","June","July","August","September","October","November","December"},0),1)</f>
        <v>45870</v>
      </c>
      <c r="K989" s="13">
        <f t="shared" si="78"/>
        <v>2046.5</v>
      </c>
      <c r="L989" s="13">
        <v>345.16835624530199</v>
      </c>
      <c r="M989" s="14">
        <f t="shared" si="79"/>
        <v>-2.436376292276201E-2</v>
      </c>
    </row>
    <row r="990" spans="1:13" ht="15.5" x14ac:dyDescent="0.35">
      <c r="A990" s="8" t="s">
        <v>44</v>
      </c>
      <c r="B990" s="9" t="s">
        <v>23</v>
      </c>
      <c r="C990" s="9" t="s">
        <v>24</v>
      </c>
      <c r="D990" s="10">
        <v>174.91</v>
      </c>
      <c r="E990" s="9" t="s">
        <v>55</v>
      </c>
      <c r="F990" s="9" t="s">
        <v>30</v>
      </c>
      <c r="G990" s="9" t="str">
        <f t="shared" si="75"/>
        <v>Low Averg</v>
      </c>
      <c r="H990" s="11">
        <f t="shared" si="76"/>
        <v>206.14838709677423</v>
      </c>
      <c r="I990" s="9">
        <f t="shared" si="77"/>
        <v>31</v>
      </c>
      <c r="J990" s="12">
        <f>DATE(2025, MATCH(E990, {"January","February","March","April","May","June","July","August","September","October","November","December"},0),1)</f>
        <v>45962</v>
      </c>
      <c r="K990" s="13">
        <f t="shared" si="78"/>
        <v>5422.21</v>
      </c>
      <c r="L990" s="13">
        <v>345.55772629778198</v>
      </c>
      <c r="M990" s="14">
        <f t="shared" si="79"/>
        <v>-9.0399909246580604E-2</v>
      </c>
    </row>
    <row r="991" spans="1:13" ht="15.5" x14ac:dyDescent="0.35">
      <c r="A991" s="8" t="s">
        <v>76</v>
      </c>
      <c r="B991" s="9" t="s">
        <v>60</v>
      </c>
      <c r="C991" s="9" t="s">
        <v>34</v>
      </c>
      <c r="D991" s="10">
        <v>320.5</v>
      </c>
      <c r="E991" s="9" t="s">
        <v>55</v>
      </c>
      <c r="F991" s="9" t="s">
        <v>17</v>
      </c>
      <c r="G991" s="9" t="str">
        <f t="shared" si="75"/>
        <v>Low Averg</v>
      </c>
      <c r="H991" s="11">
        <f t="shared" si="76"/>
        <v>304.90820512820511</v>
      </c>
      <c r="I991" s="9">
        <f t="shared" si="77"/>
        <v>39</v>
      </c>
      <c r="J991" s="12">
        <f>DATE(2025, MATCH(E991, {"January","February","March","April","May","June","July","August","September","October","November","December"},0),1)</f>
        <v>45962</v>
      </c>
      <c r="K991" s="13">
        <f t="shared" si="78"/>
        <v>12499.5</v>
      </c>
      <c r="L991" s="13">
        <v>346.52077653330599</v>
      </c>
      <c r="M991" s="14">
        <f t="shared" si="79"/>
        <v>4.4995267030680561E-2</v>
      </c>
    </row>
    <row r="992" spans="1:13" ht="15.5" x14ac:dyDescent="0.35">
      <c r="A992" s="8" t="s">
        <v>37</v>
      </c>
      <c r="B992" s="9" t="s">
        <v>38</v>
      </c>
      <c r="C992" s="9" t="s">
        <v>29</v>
      </c>
      <c r="D992" s="10">
        <v>990.48</v>
      </c>
      <c r="E992" s="9" t="s">
        <v>21</v>
      </c>
      <c r="F992" s="9" t="s">
        <v>17</v>
      </c>
      <c r="G992" s="9" t="str">
        <f t="shared" si="75"/>
        <v>Above Averg</v>
      </c>
      <c r="H992" s="11">
        <f t="shared" si="76"/>
        <v>1024.1451428571424</v>
      </c>
      <c r="I992" s="9">
        <f t="shared" si="77"/>
        <v>35</v>
      </c>
      <c r="J992" s="12">
        <f>DATE(2025, MATCH(E992, {"January","February","March","April","May","June","July","August","September","October","November","December"},0),1)</f>
        <v>45748</v>
      </c>
      <c r="K992" s="13">
        <f t="shared" si="78"/>
        <v>34666.800000000003</v>
      </c>
      <c r="L992" s="13">
        <v>347.97806936416401</v>
      </c>
      <c r="M992" s="14">
        <f t="shared" si="79"/>
        <v>-9.6745013036759434E-2</v>
      </c>
    </row>
    <row r="993" spans="1:13" ht="15.5" x14ac:dyDescent="0.35">
      <c r="A993" s="8" t="s">
        <v>75</v>
      </c>
      <c r="B993" s="9" t="s">
        <v>28</v>
      </c>
      <c r="C993" s="9" t="s">
        <v>29</v>
      </c>
      <c r="D993" s="10">
        <v>130.44</v>
      </c>
      <c r="E993" s="9" t="s">
        <v>63</v>
      </c>
      <c r="F993" s="9" t="s">
        <v>26</v>
      </c>
      <c r="G993" s="9" t="str">
        <f t="shared" si="75"/>
        <v>Low Averg</v>
      </c>
      <c r="H993" s="11">
        <f t="shared" si="76"/>
        <v>120.53625</v>
      </c>
      <c r="I993" s="9">
        <f t="shared" si="77"/>
        <v>24</v>
      </c>
      <c r="J993" s="12">
        <f>DATE(2025, MATCH(E993, {"January","February","March","April","May","June","July","August","September","October","November","December"},0),1)</f>
        <v>45717</v>
      </c>
      <c r="K993" s="13">
        <f t="shared" si="78"/>
        <v>3130.56</v>
      </c>
      <c r="L993" s="13">
        <v>344.77421955177601</v>
      </c>
      <c r="M993" s="14">
        <f t="shared" si="79"/>
        <v>2.872532062540923E-2</v>
      </c>
    </row>
    <row r="994" spans="1:13" ht="15.5" x14ac:dyDescent="0.35">
      <c r="A994" s="8" t="s">
        <v>22</v>
      </c>
      <c r="B994" s="9" t="s">
        <v>23</v>
      </c>
      <c r="C994" s="9" t="s">
        <v>15</v>
      </c>
      <c r="D994" s="10">
        <v>243.66</v>
      </c>
      <c r="E994" s="9" t="s">
        <v>39</v>
      </c>
      <c r="F994" s="9" t="s">
        <v>30</v>
      </c>
      <c r="G994" s="9" t="str">
        <f t="shared" si="75"/>
        <v>Low Averg</v>
      </c>
      <c r="H994" s="11">
        <f t="shared" si="76"/>
        <v>257.40029411764709</v>
      </c>
      <c r="I994" s="9">
        <f t="shared" si="77"/>
        <v>34</v>
      </c>
      <c r="J994" s="12">
        <f>DATE(2025, MATCH(E994, {"January","February","March","April","May","June","July","August","September","October","November","December"},0),1)</f>
        <v>45992</v>
      </c>
      <c r="K994" s="13">
        <f t="shared" si="78"/>
        <v>8284.44</v>
      </c>
      <c r="L994" s="13">
        <v>345.51714502760501</v>
      </c>
      <c r="M994" s="14">
        <f t="shared" si="79"/>
        <v>-3.976732939417324E-2</v>
      </c>
    </row>
    <row r="995" spans="1:13" ht="15.5" x14ac:dyDescent="0.35">
      <c r="A995" s="8" t="s">
        <v>74</v>
      </c>
      <c r="B995" s="9" t="s">
        <v>38</v>
      </c>
      <c r="C995" s="9" t="s">
        <v>49</v>
      </c>
      <c r="D995" s="10">
        <v>380.05</v>
      </c>
      <c r="E995" s="9" t="s">
        <v>21</v>
      </c>
      <c r="F995" s="9" t="s">
        <v>17</v>
      </c>
      <c r="G995" s="9" t="str">
        <f t="shared" si="75"/>
        <v>Above Averg</v>
      </c>
      <c r="H995" s="11">
        <f t="shared" si="76"/>
        <v>368.73933333333326</v>
      </c>
      <c r="I995" s="9">
        <f t="shared" si="77"/>
        <v>30</v>
      </c>
      <c r="J995" s="12">
        <f>DATE(2025, MATCH(E995, {"January","February","March","April","May","June","July","August","September","October","November","December"},0),1)</f>
        <v>45748</v>
      </c>
      <c r="K995" s="13">
        <f t="shared" si="78"/>
        <v>11401.5</v>
      </c>
      <c r="L995" s="13">
        <v>346.82074435761001</v>
      </c>
      <c r="M995" s="14">
        <f t="shared" si="79"/>
        <v>3.2612428324080345E-2</v>
      </c>
    </row>
    <row r="996" spans="1:13" ht="15.5" x14ac:dyDescent="0.35">
      <c r="A996" s="8" t="s">
        <v>44</v>
      </c>
      <c r="B996" s="9" t="s">
        <v>23</v>
      </c>
      <c r="C996" s="9" t="s">
        <v>43</v>
      </c>
      <c r="D996" s="10">
        <v>189.88</v>
      </c>
      <c r="E996" s="9" t="s">
        <v>57</v>
      </c>
      <c r="F996" s="9" t="s">
        <v>26</v>
      </c>
      <c r="G996" s="9" t="str">
        <f t="shared" si="75"/>
        <v>Low Averg</v>
      </c>
      <c r="H996" s="11">
        <f t="shared" si="76"/>
        <v>206.14838709677423</v>
      </c>
      <c r="I996" s="9">
        <f t="shared" si="77"/>
        <v>31</v>
      </c>
      <c r="J996" s="12">
        <f>DATE(2025, MATCH(E996, {"January","February","March","April","May","June","July","August","September","October","November","December"},0),1)</f>
        <v>45839</v>
      </c>
      <c r="K996" s="13">
        <f t="shared" si="78"/>
        <v>5886.28</v>
      </c>
      <c r="L996" s="13">
        <v>348.37949359649502</v>
      </c>
      <c r="M996" s="14">
        <f t="shared" si="79"/>
        <v>-4.6697315415518782E-2</v>
      </c>
    </row>
    <row r="997" spans="1:13" ht="15.5" x14ac:dyDescent="0.35">
      <c r="A997" s="8" t="s">
        <v>83</v>
      </c>
      <c r="B997" s="9" t="s">
        <v>23</v>
      </c>
      <c r="C997" s="9" t="s">
        <v>45</v>
      </c>
      <c r="D997" s="10">
        <v>141.13999999999999</v>
      </c>
      <c r="E997" s="9" t="s">
        <v>57</v>
      </c>
      <c r="F997" s="9" t="s">
        <v>36</v>
      </c>
      <c r="G997" s="9" t="str">
        <f t="shared" si="75"/>
        <v>Low Averg</v>
      </c>
      <c r="H997" s="11">
        <f t="shared" si="76"/>
        <v>132.90272727272728</v>
      </c>
      <c r="I997" s="9">
        <f t="shared" si="77"/>
        <v>22</v>
      </c>
      <c r="J997" s="12">
        <f>DATE(2025, MATCH(E997, {"January","February","March","April","May","June","July","August","September","October","November","December"},0),1)</f>
        <v>45839</v>
      </c>
      <c r="K997" s="13">
        <f t="shared" si="78"/>
        <v>3105.08</v>
      </c>
      <c r="L997" s="13">
        <v>349.48779325931298</v>
      </c>
      <c r="M997" s="14">
        <f t="shared" si="79"/>
        <v>2.3569557753225497E-2</v>
      </c>
    </row>
    <row r="998" spans="1:13" ht="15.5" x14ac:dyDescent="0.35">
      <c r="A998" s="8" t="s">
        <v>68</v>
      </c>
      <c r="B998" s="9" t="s">
        <v>28</v>
      </c>
      <c r="C998" s="9" t="s">
        <v>29</v>
      </c>
      <c r="D998" s="10">
        <v>100.18</v>
      </c>
      <c r="E998" s="9" t="s">
        <v>46</v>
      </c>
      <c r="F998" s="9" t="s">
        <v>40</v>
      </c>
      <c r="G998" s="9" t="str">
        <f t="shared" si="75"/>
        <v>Low Averg</v>
      </c>
      <c r="H998" s="11">
        <f t="shared" si="76"/>
        <v>102.25285714285715</v>
      </c>
      <c r="I998" s="9">
        <f t="shared" si="77"/>
        <v>28</v>
      </c>
      <c r="J998" s="12">
        <f>DATE(2025, MATCH(E998, {"January","February","March","April","May","June","July","August","September","October","November","December"},0),1)</f>
        <v>45870</v>
      </c>
      <c r="K998" s="13">
        <f t="shared" si="78"/>
        <v>2805.04</v>
      </c>
      <c r="L998" s="13">
        <v>350.32645383564198</v>
      </c>
      <c r="M998" s="14">
        <f t="shared" si="79"/>
        <v>-5.9169301095076321E-3</v>
      </c>
    </row>
    <row r="999" spans="1:13" ht="15.5" x14ac:dyDescent="0.35">
      <c r="A999" s="8" t="s">
        <v>68</v>
      </c>
      <c r="B999" s="9" t="s">
        <v>28</v>
      </c>
      <c r="C999" s="9" t="s">
        <v>24</v>
      </c>
      <c r="D999" s="10">
        <v>90.5</v>
      </c>
      <c r="E999" s="9" t="s">
        <v>57</v>
      </c>
      <c r="F999" s="9" t="s">
        <v>40</v>
      </c>
      <c r="G999" s="9" t="str">
        <f t="shared" si="75"/>
        <v>Low Averg</v>
      </c>
      <c r="H999" s="11">
        <f t="shared" si="76"/>
        <v>102.25285714285715</v>
      </c>
      <c r="I999" s="9">
        <f t="shared" si="77"/>
        <v>28</v>
      </c>
      <c r="J999" s="12">
        <f>DATE(2025, MATCH(E999, {"January","February","March","April","May","June","July","August","September","October","November","December"},0),1)</f>
        <v>45839</v>
      </c>
      <c r="K999" s="13">
        <f t="shared" si="78"/>
        <v>2534</v>
      </c>
      <c r="L999" s="13">
        <v>350.878017382775</v>
      </c>
      <c r="M999" s="14">
        <f t="shared" si="79"/>
        <v>-3.3495564157944635E-2</v>
      </c>
    </row>
    <row r="1000" spans="1:13" ht="15.5" x14ac:dyDescent="0.35">
      <c r="A1000" s="8" t="s">
        <v>56</v>
      </c>
      <c r="B1000" s="9" t="s">
        <v>19</v>
      </c>
      <c r="C1000" s="9" t="s">
        <v>15</v>
      </c>
      <c r="D1000" s="10">
        <v>513.38</v>
      </c>
      <c r="E1000" s="9" t="s">
        <v>21</v>
      </c>
      <c r="F1000" s="9" t="s">
        <v>36</v>
      </c>
      <c r="G1000" s="9" t="str">
        <f t="shared" si="75"/>
        <v>Above Averg</v>
      </c>
      <c r="H1000" s="11">
        <f t="shared" si="76"/>
        <v>533.4588235294118</v>
      </c>
      <c r="I1000" s="9">
        <f t="shared" si="77"/>
        <v>34</v>
      </c>
      <c r="J1000" s="12">
        <f>DATE(2025, MATCH(E1000, {"January","February","March","April","May","June","July","August","September","October","November","December"},0),1)</f>
        <v>45748</v>
      </c>
      <c r="K1000" s="13">
        <f t="shared" si="78"/>
        <v>17454.919999999998</v>
      </c>
      <c r="L1000" s="13">
        <v>351.34353480437301</v>
      </c>
      <c r="M1000" s="14">
        <f t="shared" si="79"/>
        <v>-5.7148692206878474E-2</v>
      </c>
    </row>
    <row r="1001" spans="1:13" ht="15.5" x14ac:dyDescent="0.35">
      <c r="A1001" s="8" t="s">
        <v>76</v>
      </c>
      <c r="B1001" s="9" t="s">
        <v>60</v>
      </c>
      <c r="C1001" s="9" t="s">
        <v>24</v>
      </c>
      <c r="D1001" s="10">
        <v>301.52</v>
      </c>
      <c r="E1001" s="9" t="s">
        <v>42</v>
      </c>
      <c r="F1001" s="9" t="s">
        <v>40</v>
      </c>
      <c r="G1001" s="9" t="str">
        <f t="shared" si="75"/>
        <v>Low Averg</v>
      </c>
      <c r="H1001" s="11">
        <f t="shared" si="76"/>
        <v>304.90820512820511</v>
      </c>
      <c r="I1001" s="9">
        <f t="shared" si="77"/>
        <v>39</v>
      </c>
      <c r="J1001" s="12">
        <f>DATE(2025, MATCH(E1001, {"January","February","March","April","May","June","July","August","September","October","November","December"},0),1)</f>
        <v>45658</v>
      </c>
      <c r="K1001" s="13">
        <f t="shared" si="78"/>
        <v>11759.279999999999</v>
      </c>
      <c r="L1001" s="13">
        <v>352.78736859890199</v>
      </c>
      <c r="M1001" s="14">
        <f t="shared" si="79"/>
        <v>-9.6040998907115475E-3</v>
      </c>
    </row>
    <row r="1002" spans="1:13" ht="15.5" x14ac:dyDescent="0.35">
      <c r="A1002" s="8" t="s">
        <v>66</v>
      </c>
      <c r="B1002" s="9" t="s">
        <v>32</v>
      </c>
      <c r="C1002" s="9" t="s">
        <v>15</v>
      </c>
      <c r="D1002" s="10">
        <v>121.06</v>
      </c>
      <c r="E1002" s="9" t="s">
        <v>46</v>
      </c>
      <c r="F1002" s="9" t="s">
        <v>30</v>
      </c>
      <c r="G1002" s="9" t="str">
        <f t="shared" si="75"/>
        <v>Low Averg</v>
      </c>
      <c r="H1002" s="11">
        <f t="shared" si="76"/>
        <v>141.74161290322584</v>
      </c>
      <c r="I1002" s="9">
        <f t="shared" si="77"/>
        <v>31</v>
      </c>
      <c r="J1002" s="12">
        <f>DATE(2025, MATCH(E1002, {"January","February","March","April","May","June","July","August","September","October","November","December"},0),1)</f>
        <v>45870</v>
      </c>
      <c r="K1002" s="13">
        <f t="shared" si="78"/>
        <v>3752.86</v>
      </c>
      <c r="L1002" s="13">
        <v>354.36286297528102</v>
      </c>
      <c r="M1002" s="14">
        <f t="shared" si="79"/>
        <v>-5.8362811299073711E-2</v>
      </c>
    </row>
    <row r="1003" spans="1:13" ht="15.5" x14ac:dyDescent="0.35">
      <c r="A1003" s="8" t="s">
        <v>83</v>
      </c>
      <c r="B1003" s="9" t="s">
        <v>23</v>
      </c>
      <c r="C1003" s="9" t="s">
        <v>45</v>
      </c>
      <c r="D1003" s="10">
        <v>133.82</v>
      </c>
      <c r="E1003" s="9" t="s">
        <v>21</v>
      </c>
      <c r="F1003" s="9" t="s">
        <v>26</v>
      </c>
      <c r="G1003" s="9" t="str">
        <f t="shared" si="75"/>
        <v>Low Averg</v>
      </c>
      <c r="H1003" s="11">
        <f t="shared" si="76"/>
        <v>132.90272727272728</v>
      </c>
      <c r="I1003" s="9">
        <f t="shared" si="77"/>
        <v>22</v>
      </c>
      <c r="J1003" s="12">
        <f>DATE(2025, MATCH(E1003, {"January","February","March","April","May","June","July","August","September","October","November","December"},0),1)</f>
        <v>45748</v>
      </c>
      <c r="K1003" s="13">
        <f t="shared" si="78"/>
        <v>2944.04</v>
      </c>
      <c r="L1003" s="13">
        <v>355.08691757656902</v>
      </c>
      <c r="M1003" s="14">
        <f t="shared" si="79"/>
        <v>2.5832343628230726E-3</v>
      </c>
    </row>
    <row r="1004" spans="1:13" ht="15.5" x14ac:dyDescent="0.35">
      <c r="A1004" s="8" t="s">
        <v>13</v>
      </c>
      <c r="B1004" s="9" t="s">
        <v>14</v>
      </c>
      <c r="C1004" s="9" t="s">
        <v>49</v>
      </c>
      <c r="D1004" s="10">
        <v>189.52</v>
      </c>
      <c r="E1004" s="9" t="s">
        <v>57</v>
      </c>
      <c r="F1004" s="9" t="s">
        <v>26</v>
      </c>
      <c r="G1004" s="9" t="str">
        <f t="shared" si="75"/>
        <v>Low Averg</v>
      </c>
      <c r="H1004" s="11">
        <f t="shared" si="76"/>
        <v>206.78702702702708</v>
      </c>
      <c r="I1004" s="9">
        <f t="shared" si="77"/>
        <v>37</v>
      </c>
      <c r="J1004" s="12">
        <f>DATE(2025, MATCH(E1004, {"January","February","March","April","May","June","July","August","September","October","November","December"},0),1)</f>
        <v>45839</v>
      </c>
      <c r="K1004" s="13">
        <f t="shared" si="78"/>
        <v>7012.2400000000007</v>
      </c>
      <c r="L1004" s="13">
        <v>355.89720179358198</v>
      </c>
      <c r="M1004" s="14">
        <f t="shared" si="79"/>
        <v>-4.8516894597676073E-2</v>
      </c>
    </row>
    <row r="1005" spans="1:13" ht="15.5" x14ac:dyDescent="0.35">
      <c r="A1005" s="8" t="s">
        <v>53</v>
      </c>
      <c r="B1005" s="9" t="s">
        <v>54</v>
      </c>
      <c r="C1005" s="9" t="s">
        <v>24</v>
      </c>
      <c r="D1005" s="10">
        <v>875.31</v>
      </c>
      <c r="E1005" s="9" t="s">
        <v>39</v>
      </c>
      <c r="F1005" s="9" t="s">
        <v>30</v>
      </c>
      <c r="G1005" s="9" t="str">
        <f t="shared" si="75"/>
        <v>Above Averg</v>
      </c>
      <c r="H1005" s="11">
        <f t="shared" si="76"/>
        <v>810.77454545454566</v>
      </c>
      <c r="I1005" s="9">
        <f t="shared" si="77"/>
        <v>33</v>
      </c>
      <c r="J1005" s="12">
        <f>DATE(2025, MATCH(E1005, {"January","February","March","April","May","June","July","August","September","October","November","December"},0),1)</f>
        <v>45992</v>
      </c>
      <c r="K1005" s="13">
        <f t="shared" si="78"/>
        <v>28885.23</v>
      </c>
      <c r="L1005" s="13">
        <v>357.06171393955202</v>
      </c>
      <c r="M1005" s="14">
        <f t="shared" si="79"/>
        <v>0.18074033710704607</v>
      </c>
    </row>
    <row r="1006" spans="1:13" ht="15.5" x14ac:dyDescent="0.35">
      <c r="A1006" s="8" t="s">
        <v>51</v>
      </c>
      <c r="B1006" s="9" t="s">
        <v>28</v>
      </c>
      <c r="C1006" s="9" t="s">
        <v>69</v>
      </c>
      <c r="D1006" s="10">
        <v>119.09</v>
      </c>
      <c r="E1006" s="9" t="s">
        <v>42</v>
      </c>
      <c r="F1006" s="9" t="s">
        <v>17</v>
      </c>
      <c r="G1006" s="9" t="str">
        <f t="shared" si="75"/>
        <v>Low Averg</v>
      </c>
      <c r="H1006" s="11">
        <f t="shared" si="76"/>
        <v>122.0377142857143</v>
      </c>
      <c r="I1006" s="9">
        <f t="shared" si="77"/>
        <v>35</v>
      </c>
      <c r="J1006" s="12">
        <f>DATE(2025, MATCH(E1006, {"January","February","March","April","May","June","July","August","September","October","November","December"},0),1)</f>
        <v>45658</v>
      </c>
      <c r="K1006" s="13">
        <f t="shared" si="78"/>
        <v>4168.1500000000005</v>
      </c>
      <c r="L1006" s="13">
        <v>355.60181102599802</v>
      </c>
      <c r="M1006" s="14">
        <f t="shared" si="79"/>
        <v>-8.2893680355828978E-3</v>
      </c>
    </row>
    <row r="1007" spans="1:13" ht="15.5" x14ac:dyDescent="0.35">
      <c r="A1007" s="8" t="s">
        <v>52</v>
      </c>
      <c r="B1007" s="9" t="s">
        <v>32</v>
      </c>
      <c r="C1007" s="9" t="s">
        <v>43</v>
      </c>
      <c r="D1007" s="10">
        <v>62.79</v>
      </c>
      <c r="E1007" s="9" t="s">
        <v>25</v>
      </c>
      <c r="F1007" s="9" t="s">
        <v>17</v>
      </c>
      <c r="G1007" s="9" t="str">
        <f t="shared" si="75"/>
        <v>Low Averg</v>
      </c>
      <c r="H1007" s="11">
        <f t="shared" si="76"/>
        <v>62.182121212121217</v>
      </c>
      <c r="I1007" s="9">
        <f t="shared" si="77"/>
        <v>33</v>
      </c>
      <c r="J1007" s="12">
        <f>DATE(2025, MATCH(E1007, {"January","February","March","April","May","June","July","August","September","October","November","December"},0),1)</f>
        <v>45931</v>
      </c>
      <c r="K1007" s="13">
        <f t="shared" si="78"/>
        <v>2072.0700000000002</v>
      </c>
      <c r="L1007" s="13">
        <v>356.33158699025</v>
      </c>
      <c r="M1007" s="14">
        <f t="shared" si="79"/>
        <v>1.7059357353447731E-3</v>
      </c>
    </row>
    <row r="1008" spans="1:13" ht="15.5" x14ac:dyDescent="0.35">
      <c r="A1008" s="8" t="s">
        <v>70</v>
      </c>
      <c r="B1008" s="9" t="s">
        <v>71</v>
      </c>
      <c r="C1008" s="9" t="s">
        <v>24</v>
      </c>
      <c r="D1008" s="10">
        <v>826.97</v>
      </c>
      <c r="E1008" s="9" t="s">
        <v>62</v>
      </c>
      <c r="F1008" s="9" t="s">
        <v>30</v>
      </c>
      <c r="G1008" s="9" t="str">
        <f t="shared" si="75"/>
        <v>Above Averg</v>
      </c>
      <c r="H1008" s="11">
        <f t="shared" si="76"/>
        <v>911.5772916666665</v>
      </c>
      <c r="I1008" s="9">
        <f t="shared" si="77"/>
        <v>48</v>
      </c>
      <c r="J1008" s="12">
        <f>DATE(2025, MATCH(E1008, {"January","February","March","April","May","June","July","August","September","October","November","December"},0),1)</f>
        <v>45689</v>
      </c>
      <c r="K1008" s="13">
        <f t="shared" si="78"/>
        <v>39694.559999999998</v>
      </c>
      <c r="L1008" s="13">
        <v>356.56664240327802</v>
      </c>
      <c r="M1008" s="14">
        <f t="shared" si="79"/>
        <v>-0.237283249763379</v>
      </c>
    </row>
    <row r="1009" spans="1:13" ht="15.5" x14ac:dyDescent="0.35">
      <c r="A1009" s="8" t="s">
        <v>27</v>
      </c>
      <c r="B1009" s="9" t="s">
        <v>28</v>
      </c>
      <c r="C1009" s="9" t="s">
        <v>34</v>
      </c>
      <c r="D1009" s="10">
        <v>107.21</v>
      </c>
      <c r="E1009" s="9" t="s">
        <v>55</v>
      </c>
      <c r="F1009" s="9" t="s">
        <v>30</v>
      </c>
      <c r="G1009" s="9" t="str">
        <f t="shared" si="75"/>
        <v>Low Averg</v>
      </c>
      <c r="H1009" s="11">
        <f t="shared" si="76"/>
        <v>113.26108695652174</v>
      </c>
      <c r="I1009" s="9">
        <f t="shared" si="77"/>
        <v>46</v>
      </c>
      <c r="J1009" s="12">
        <f>DATE(2025, MATCH(E1009, {"January","February","March","April","May","June","July","August","September","October","November","December"},0),1)</f>
        <v>45962</v>
      </c>
      <c r="K1009" s="13">
        <f t="shared" si="78"/>
        <v>4931.66</v>
      </c>
      <c r="L1009" s="13">
        <v>355.70887562855</v>
      </c>
      <c r="M1009" s="14">
        <f t="shared" si="79"/>
        <v>-1.7011346556448054E-2</v>
      </c>
    </row>
    <row r="1010" spans="1:13" ht="15.5" x14ac:dyDescent="0.35">
      <c r="A1010" s="8" t="s">
        <v>41</v>
      </c>
      <c r="B1010" s="9" t="s">
        <v>32</v>
      </c>
      <c r="C1010" s="9" t="s">
        <v>24</v>
      </c>
      <c r="D1010" s="10">
        <v>70.260000000000005</v>
      </c>
      <c r="E1010" s="9" t="s">
        <v>42</v>
      </c>
      <c r="F1010" s="9" t="s">
        <v>36</v>
      </c>
      <c r="G1010" s="9" t="str">
        <f t="shared" si="75"/>
        <v>Low Averg</v>
      </c>
      <c r="H1010" s="11">
        <f t="shared" si="76"/>
        <v>70.278611111111118</v>
      </c>
      <c r="I1010" s="9">
        <f t="shared" si="77"/>
        <v>36</v>
      </c>
      <c r="J1010" s="12">
        <f>DATE(2025, MATCH(E1010, {"January","February","March","April","May","June","July","August","September","October","November","December"},0),1)</f>
        <v>45658</v>
      </c>
      <c r="K1010" s="13">
        <f t="shared" si="78"/>
        <v>2529.36</v>
      </c>
      <c r="L1010" s="13">
        <v>356.35170693633597</v>
      </c>
      <c r="M1010" s="14">
        <f t="shared" si="79"/>
        <v>-5.2226805004299031E-5</v>
      </c>
    </row>
    <row r="1011" spans="1:13" ht="15.5" x14ac:dyDescent="0.35">
      <c r="A1011" s="8" t="s">
        <v>56</v>
      </c>
      <c r="B1011" s="9" t="s">
        <v>19</v>
      </c>
      <c r="C1011" s="9" t="s">
        <v>15</v>
      </c>
      <c r="D1011" s="10">
        <v>530.88</v>
      </c>
      <c r="E1011" s="9" t="s">
        <v>46</v>
      </c>
      <c r="F1011" s="9" t="s">
        <v>17</v>
      </c>
      <c r="G1011" s="9" t="str">
        <f t="shared" si="75"/>
        <v>Above Averg</v>
      </c>
      <c r="H1011" s="11">
        <f t="shared" si="76"/>
        <v>533.4588235294118</v>
      </c>
      <c r="I1011" s="9">
        <f t="shared" si="77"/>
        <v>34</v>
      </c>
      <c r="J1011" s="12">
        <f>DATE(2025, MATCH(E1011, {"January","February","March","April","May","June","July","August","September","October","November","December"},0),1)</f>
        <v>45870</v>
      </c>
      <c r="K1011" s="13">
        <f t="shared" si="78"/>
        <v>18049.919999999998</v>
      </c>
      <c r="L1011" s="13">
        <v>356.64798634857698</v>
      </c>
      <c r="M1011" s="14">
        <f t="shared" si="79"/>
        <v>-7.2307250513713606E-3</v>
      </c>
    </row>
    <row r="1012" spans="1:13" ht="15.5" x14ac:dyDescent="0.35">
      <c r="A1012" s="8" t="s">
        <v>79</v>
      </c>
      <c r="B1012" s="9" t="s">
        <v>32</v>
      </c>
      <c r="C1012" s="9" t="s">
        <v>69</v>
      </c>
      <c r="D1012" s="10">
        <v>102.07</v>
      </c>
      <c r="E1012" s="9" t="s">
        <v>16</v>
      </c>
      <c r="F1012" s="9" t="s">
        <v>26</v>
      </c>
      <c r="G1012" s="9" t="str">
        <f t="shared" si="75"/>
        <v>Low Averg</v>
      </c>
      <c r="H1012" s="11">
        <f t="shared" si="76"/>
        <v>90.269599999999997</v>
      </c>
      <c r="I1012" s="9">
        <f t="shared" si="77"/>
        <v>25</v>
      </c>
      <c r="J1012" s="12">
        <f>DATE(2025, MATCH(E1012, {"January","February","March","April","May","June","July","August","September","October","November","December"},0),1)</f>
        <v>45809</v>
      </c>
      <c r="K1012" s="13">
        <f t="shared" si="78"/>
        <v>2551.75</v>
      </c>
      <c r="L1012" s="13">
        <v>358.26052109328901</v>
      </c>
      <c r="M1012" s="14">
        <f t="shared" si="79"/>
        <v>3.2938041746796987E-2</v>
      </c>
    </row>
    <row r="1013" spans="1:13" ht="15.5" x14ac:dyDescent="0.35">
      <c r="A1013" s="8" t="s">
        <v>37</v>
      </c>
      <c r="B1013" s="9" t="s">
        <v>38</v>
      </c>
      <c r="C1013" s="9" t="s">
        <v>24</v>
      </c>
      <c r="D1013" s="10">
        <v>853.77</v>
      </c>
      <c r="E1013" s="9" t="s">
        <v>42</v>
      </c>
      <c r="F1013" s="9" t="s">
        <v>17</v>
      </c>
      <c r="G1013" s="9" t="str">
        <f t="shared" si="75"/>
        <v>Above Averg</v>
      </c>
      <c r="H1013" s="11">
        <f t="shared" si="76"/>
        <v>1024.1451428571424</v>
      </c>
      <c r="I1013" s="9">
        <f t="shared" si="77"/>
        <v>35</v>
      </c>
      <c r="J1013" s="12">
        <f>DATE(2025, MATCH(E1013, {"January","February","March","April","May","June","July","August","September","October","November","December"},0),1)</f>
        <v>45658</v>
      </c>
      <c r="K1013" s="13">
        <f t="shared" si="78"/>
        <v>29881.95</v>
      </c>
      <c r="L1013" s="13">
        <v>358.85864566430303</v>
      </c>
      <c r="M1013" s="14">
        <f t="shared" si="79"/>
        <v>-0.47476950859509498</v>
      </c>
    </row>
    <row r="1014" spans="1:13" ht="15.5" x14ac:dyDescent="0.35">
      <c r="A1014" s="8" t="s">
        <v>51</v>
      </c>
      <c r="B1014" s="9" t="s">
        <v>28</v>
      </c>
      <c r="C1014" s="9" t="s">
        <v>43</v>
      </c>
      <c r="D1014" s="10">
        <v>134.96</v>
      </c>
      <c r="E1014" s="9" t="s">
        <v>42</v>
      </c>
      <c r="F1014" s="9" t="s">
        <v>40</v>
      </c>
      <c r="G1014" s="9" t="str">
        <f t="shared" si="75"/>
        <v>Low Averg</v>
      </c>
      <c r="H1014" s="11">
        <f t="shared" si="76"/>
        <v>122.0377142857143</v>
      </c>
      <c r="I1014" s="9">
        <f t="shared" si="77"/>
        <v>35</v>
      </c>
      <c r="J1014" s="12">
        <f>DATE(2025, MATCH(E1014, {"January","February","March","April","May","June","July","August","September","October","November","December"},0),1)</f>
        <v>45658</v>
      </c>
      <c r="K1014" s="13">
        <f t="shared" si="78"/>
        <v>4723.6000000000004</v>
      </c>
      <c r="L1014" s="13">
        <v>357.67287105032301</v>
      </c>
      <c r="M1014" s="14">
        <f t="shared" si="79"/>
        <v>3.612878347843048E-2</v>
      </c>
    </row>
    <row r="1015" spans="1:13" ht="15.5" x14ac:dyDescent="0.35">
      <c r="A1015" s="8" t="s">
        <v>65</v>
      </c>
      <c r="B1015" s="9" t="s">
        <v>23</v>
      </c>
      <c r="C1015" s="9" t="s">
        <v>34</v>
      </c>
      <c r="D1015" s="10">
        <v>154.25</v>
      </c>
      <c r="E1015" s="9" t="s">
        <v>21</v>
      </c>
      <c r="F1015" s="9" t="s">
        <v>30</v>
      </c>
      <c r="G1015" s="9" t="str">
        <f t="shared" si="75"/>
        <v>Low Averg</v>
      </c>
      <c r="H1015" s="11">
        <f t="shared" si="76"/>
        <v>151.26457142857143</v>
      </c>
      <c r="I1015" s="9">
        <f t="shared" si="77"/>
        <v>35</v>
      </c>
      <c r="J1015" s="12">
        <f>DATE(2025, MATCH(E1015, {"January","February","March","April","May","June","July","August","September","October","November","December"},0),1)</f>
        <v>45748</v>
      </c>
      <c r="K1015" s="13">
        <f t="shared" si="78"/>
        <v>5398.75</v>
      </c>
      <c r="L1015" s="13">
        <v>358.57304192819498</v>
      </c>
      <c r="M1015" s="14">
        <f t="shared" si="79"/>
        <v>8.3258589529616941E-3</v>
      </c>
    </row>
    <row r="1016" spans="1:13" ht="15.5" x14ac:dyDescent="0.35">
      <c r="A1016" s="8" t="s">
        <v>65</v>
      </c>
      <c r="B1016" s="9" t="s">
        <v>23</v>
      </c>
      <c r="C1016" s="9" t="s">
        <v>24</v>
      </c>
      <c r="D1016" s="10">
        <v>161.38</v>
      </c>
      <c r="E1016" s="9" t="s">
        <v>21</v>
      </c>
      <c r="F1016" s="9" t="s">
        <v>40</v>
      </c>
      <c r="G1016" s="9" t="str">
        <f t="shared" si="75"/>
        <v>Low Averg</v>
      </c>
      <c r="H1016" s="11">
        <f t="shared" si="76"/>
        <v>151.26457142857143</v>
      </c>
      <c r="I1016" s="9">
        <f t="shared" si="77"/>
        <v>35</v>
      </c>
      <c r="J1016" s="12">
        <f>DATE(2025, MATCH(E1016, {"January","February","March","April","May","June","July","August","September","October","November","December"},0),1)</f>
        <v>45748</v>
      </c>
      <c r="K1016" s="13">
        <f t="shared" si="78"/>
        <v>5648.3</v>
      </c>
      <c r="L1016" s="13">
        <v>359.619071253073</v>
      </c>
      <c r="M1016" s="14">
        <f t="shared" si="79"/>
        <v>2.8128176117528773E-2</v>
      </c>
    </row>
    <row r="1017" spans="1:13" ht="15.5" x14ac:dyDescent="0.35">
      <c r="A1017" s="8" t="s">
        <v>83</v>
      </c>
      <c r="B1017" s="9" t="s">
        <v>23</v>
      </c>
      <c r="C1017" s="9" t="s">
        <v>49</v>
      </c>
      <c r="D1017" s="10">
        <v>133.97999999999999</v>
      </c>
      <c r="E1017" s="9" t="s">
        <v>25</v>
      </c>
      <c r="F1017" s="9" t="s">
        <v>30</v>
      </c>
      <c r="G1017" s="9" t="str">
        <f t="shared" si="75"/>
        <v>Low Averg</v>
      </c>
      <c r="H1017" s="11">
        <f t="shared" si="76"/>
        <v>132.90272727272728</v>
      </c>
      <c r="I1017" s="9">
        <f t="shared" si="77"/>
        <v>22</v>
      </c>
      <c r="J1017" s="12">
        <f>DATE(2025, MATCH(E1017, {"January","February","March","April","May","June","July","August","September","October","November","December"},0),1)</f>
        <v>45931</v>
      </c>
      <c r="K1017" s="13">
        <f t="shared" si="78"/>
        <v>2947.56</v>
      </c>
      <c r="L1017" s="13">
        <v>360.71881781179798</v>
      </c>
      <c r="M1017" s="14">
        <f t="shared" si="79"/>
        <v>2.9864611272782888E-3</v>
      </c>
    </row>
    <row r="1018" spans="1:13" ht="15.5" x14ac:dyDescent="0.35">
      <c r="A1018" s="8" t="s">
        <v>50</v>
      </c>
      <c r="B1018" s="9" t="s">
        <v>32</v>
      </c>
      <c r="C1018" s="9" t="s">
        <v>49</v>
      </c>
      <c r="D1018" s="10">
        <v>80.239999999999995</v>
      </c>
      <c r="E1018" s="9" t="s">
        <v>62</v>
      </c>
      <c r="F1018" s="9" t="s">
        <v>17</v>
      </c>
      <c r="G1018" s="9" t="str">
        <f t="shared" si="75"/>
        <v>Low Averg</v>
      </c>
      <c r="H1018" s="11">
        <f t="shared" si="76"/>
        <v>81.934666666666672</v>
      </c>
      <c r="I1018" s="9">
        <f t="shared" si="77"/>
        <v>30</v>
      </c>
      <c r="J1018" s="12">
        <f>DATE(2025, MATCH(E1018, {"January","February","March","April","May","June","July","August","September","October","November","December"},0),1)</f>
        <v>45689</v>
      </c>
      <c r="K1018" s="13">
        <f t="shared" si="78"/>
        <v>2407.1999999999998</v>
      </c>
      <c r="L1018" s="13">
        <v>361.59956318819002</v>
      </c>
      <c r="M1018" s="14">
        <f t="shared" si="79"/>
        <v>-4.6865838324719128E-3</v>
      </c>
    </row>
    <row r="1019" spans="1:13" ht="15.5" x14ac:dyDescent="0.35">
      <c r="A1019" s="8" t="s">
        <v>75</v>
      </c>
      <c r="B1019" s="9" t="s">
        <v>28</v>
      </c>
      <c r="C1019" s="9" t="s">
        <v>15</v>
      </c>
      <c r="D1019" s="10">
        <v>131.66999999999999</v>
      </c>
      <c r="E1019" s="9" t="s">
        <v>25</v>
      </c>
      <c r="F1019" s="9" t="s">
        <v>17</v>
      </c>
      <c r="G1019" s="9" t="str">
        <f t="shared" si="75"/>
        <v>Low Averg</v>
      </c>
      <c r="H1019" s="11">
        <f t="shared" si="76"/>
        <v>120.53625</v>
      </c>
      <c r="I1019" s="9">
        <f t="shared" si="77"/>
        <v>24</v>
      </c>
      <c r="J1019" s="12">
        <f>DATE(2025, MATCH(E1019, {"January","February","March","April","May","June","July","August","September","October","November","December"},0),1)</f>
        <v>45931</v>
      </c>
      <c r="K1019" s="13">
        <f t="shared" si="78"/>
        <v>3160.08</v>
      </c>
      <c r="L1019" s="13">
        <v>361.96164430115999</v>
      </c>
      <c r="M1019" s="14">
        <f t="shared" si="79"/>
        <v>3.0759474588795018E-2</v>
      </c>
    </row>
    <row r="1020" spans="1:13" ht="15.5" x14ac:dyDescent="0.35">
      <c r="A1020" s="8" t="s">
        <v>41</v>
      </c>
      <c r="B1020" s="9" t="s">
        <v>32</v>
      </c>
      <c r="C1020" s="9" t="s">
        <v>43</v>
      </c>
      <c r="D1020" s="10">
        <v>62.15</v>
      </c>
      <c r="E1020" s="9" t="s">
        <v>46</v>
      </c>
      <c r="F1020" s="9" t="s">
        <v>30</v>
      </c>
      <c r="G1020" s="9" t="str">
        <f t="shared" si="75"/>
        <v>Low Averg</v>
      </c>
      <c r="H1020" s="11">
        <f t="shared" si="76"/>
        <v>70.278611111111118</v>
      </c>
      <c r="I1020" s="9">
        <f t="shared" si="77"/>
        <v>36</v>
      </c>
      <c r="J1020" s="12">
        <f>DATE(2025, MATCH(E1020, {"January","February","March","April","May","June","July","August","September","October","November","December"},0),1)</f>
        <v>45870</v>
      </c>
      <c r="K1020" s="13">
        <f t="shared" si="78"/>
        <v>2237.4</v>
      </c>
      <c r="L1020" s="13">
        <v>362.79466491027199</v>
      </c>
      <c r="M1020" s="14">
        <f t="shared" si="79"/>
        <v>-2.2405542025050244E-2</v>
      </c>
    </row>
    <row r="1021" spans="1:13" ht="15.5" x14ac:dyDescent="0.35">
      <c r="A1021" s="8" t="s">
        <v>82</v>
      </c>
      <c r="B1021" s="9" t="s">
        <v>14</v>
      </c>
      <c r="C1021" s="9" t="s">
        <v>29</v>
      </c>
      <c r="D1021" s="10">
        <v>921.48</v>
      </c>
      <c r="E1021" s="9" t="s">
        <v>62</v>
      </c>
      <c r="F1021" s="9" t="s">
        <v>17</v>
      </c>
      <c r="G1021" s="9" t="str">
        <f t="shared" si="75"/>
        <v>Above Averg</v>
      </c>
      <c r="H1021" s="11">
        <f t="shared" si="76"/>
        <v>905.6025925925926</v>
      </c>
      <c r="I1021" s="9">
        <f t="shared" si="77"/>
        <v>27</v>
      </c>
      <c r="J1021" s="12">
        <f>DATE(2025, MATCH(E1021, {"January","February","March","April","May","June","July","August","September","October","November","December"},0),1)</f>
        <v>45689</v>
      </c>
      <c r="K1021" s="13">
        <f t="shared" si="78"/>
        <v>24879.96</v>
      </c>
      <c r="L1021" s="13">
        <v>362.90379911423901</v>
      </c>
      <c r="M1021" s="14">
        <f t="shared" si="79"/>
        <v>4.3751009072267512E-2</v>
      </c>
    </row>
    <row r="1022" spans="1:13" ht="15.5" x14ac:dyDescent="0.35">
      <c r="A1022" s="8" t="s">
        <v>64</v>
      </c>
      <c r="B1022" s="9" t="s">
        <v>60</v>
      </c>
      <c r="C1022" s="9" t="s">
        <v>61</v>
      </c>
      <c r="D1022" s="10">
        <v>208.44</v>
      </c>
      <c r="E1022" s="9" t="s">
        <v>46</v>
      </c>
      <c r="F1022" s="9" t="s">
        <v>17</v>
      </c>
      <c r="G1022" s="9" t="str">
        <f t="shared" si="75"/>
        <v>Low Averg</v>
      </c>
      <c r="H1022" s="11">
        <f t="shared" si="76"/>
        <v>249.29749999999999</v>
      </c>
      <c r="I1022" s="9">
        <f t="shared" si="77"/>
        <v>32</v>
      </c>
      <c r="J1022" s="12">
        <f>DATE(2025, MATCH(E1022, {"January","February","March","April","May","June","July","August","September","October","November","December"},0),1)</f>
        <v>45870</v>
      </c>
      <c r="K1022" s="13">
        <f t="shared" si="78"/>
        <v>6670.08</v>
      </c>
      <c r="L1022" s="13">
        <v>360.867188648357</v>
      </c>
      <c r="M1022" s="14">
        <f t="shared" si="79"/>
        <v>-0.1132203239453092</v>
      </c>
    </row>
    <row r="1023" spans="1:13" ht="15.5" x14ac:dyDescent="0.35">
      <c r="A1023" s="8" t="s">
        <v>22</v>
      </c>
      <c r="B1023" s="9" t="s">
        <v>23</v>
      </c>
      <c r="C1023" s="9" t="s">
        <v>15</v>
      </c>
      <c r="D1023" s="10">
        <v>263.43</v>
      </c>
      <c r="E1023" s="9" t="s">
        <v>42</v>
      </c>
      <c r="F1023" s="9" t="s">
        <v>40</v>
      </c>
      <c r="G1023" s="9" t="str">
        <f t="shared" si="75"/>
        <v>Low Averg</v>
      </c>
      <c r="H1023" s="11">
        <f t="shared" si="76"/>
        <v>257.40029411764709</v>
      </c>
      <c r="I1023" s="9">
        <f t="shared" si="77"/>
        <v>34</v>
      </c>
      <c r="J1023" s="12">
        <f>DATE(2025, MATCH(E1023, {"January","February","March","April","May","June","July","August","September","October","November","December"},0),1)</f>
        <v>45658</v>
      </c>
      <c r="K1023" s="13">
        <f t="shared" si="78"/>
        <v>8956.6200000000008</v>
      </c>
      <c r="L1023" s="13">
        <v>362.32348075607598</v>
      </c>
      <c r="M1023" s="14">
        <f t="shared" si="79"/>
        <v>1.6641775105964613E-2</v>
      </c>
    </row>
    <row r="1024" spans="1:13" ht="15.5" x14ac:dyDescent="0.35">
      <c r="A1024" s="8" t="s">
        <v>47</v>
      </c>
      <c r="B1024" s="9" t="s">
        <v>19</v>
      </c>
      <c r="C1024" s="9" t="s">
        <v>45</v>
      </c>
      <c r="D1024" s="10">
        <v>612.30999999999995</v>
      </c>
      <c r="E1024" s="9" t="s">
        <v>62</v>
      </c>
      <c r="F1024" s="9" t="s">
        <v>40</v>
      </c>
      <c r="G1024" s="9" t="str">
        <f t="shared" si="75"/>
        <v>Above Averg</v>
      </c>
      <c r="H1024" s="11">
        <f t="shared" si="76"/>
        <v>673.04079999999988</v>
      </c>
      <c r="I1024" s="9">
        <f t="shared" si="77"/>
        <v>25</v>
      </c>
      <c r="J1024" s="12">
        <f>DATE(2025, MATCH(E1024, {"January","February","March","April","May","June","July","August","September","October","November","December"},0),1)</f>
        <v>45689</v>
      </c>
      <c r="K1024" s="13">
        <f t="shared" si="78"/>
        <v>15307.749999999998</v>
      </c>
      <c r="L1024" s="13">
        <v>364.120335480356</v>
      </c>
      <c r="M1024" s="14">
        <f t="shared" si="79"/>
        <v>-0.16678771846093807</v>
      </c>
    </row>
    <row r="1025" spans="1:13" ht="15.5" x14ac:dyDescent="0.35">
      <c r="A1025" s="8" t="s">
        <v>47</v>
      </c>
      <c r="B1025" s="9" t="s">
        <v>19</v>
      </c>
      <c r="C1025" s="9" t="s">
        <v>24</v>
      </c>
      <c r="D1025" s="10">
        <v>708.19</v>
      </c>
      <c r="E1025" s="9" t="s">
        <v>21</v>
      </c>
      <c r="F1025" s="9" t="s">
        <v>40</v>
      </c>
      <c r="G1025" s="9" t="str">
        <f t="shared" si="75"/>
        <v>Above Averg</v>
      </c>
      <c r="H1025" s="11">
        <f t="shared" si="76"/>
        <v>673.04079999999988</v>
      </c>
      <c r="I1025" s="9">
        <f t="shared" si="77"/>
        <v>25</v>
      </c>
      <c r="J1025" s="12">
        <f>DATE(2025, MATCH(E1025, {"January","February","March","April","May","June","July","August","September","October","November","December"},0),1)</f>
        <v>45748</v>
      </c>
      <c r="K1025" s="13">
        <f t="shared" si="78"/>
        <v>17704.75</v>
      </c>
      <c r="L1025" s="13">
        <v>365.68263392786503</v>
      </c>
      <c r="M1025" s="14">
        <f t="shared" si="79"/>
        <v>9.6119412678846952E-2</v>
      </c>
    </row>
    <row r="1026" spans="1:13" ht="15.5" x14ac:dyDescent="0.35">
      <c r="A1026" s="8" t="s">
        <v>48</v>
      </c>
      <c r="B1026" s="9" t="s">
        <v>19</v>
      </c>
      <c r="C1026" s="9" t="s">
        <v>49</v>
      </c>
      <c r="D1026" s="10">
        <v>1185.6400000000001</v>
      </c>
      <c r="E1026" s="9" t="s">
        <v>55</v>
      </c>
      <c r="F1026" s="9" t="s">
        <v>17</v>
      </c>
      <c r="G1026" s="9" t="str">
        <f t="shared" si="75"/>
        <v>Above Averg</v>
      </c>
      <c r="H1026" s="11">
        <f t="shared" si="76"/>
        <v>1235.856</v>
      </c>
      <c r="I1026" s="9">
        <f t="shared" si="77"/>
        <v>25</v>
      </c>
      <c r="J1026" s="12">
        <f>DATE(2025, MATCH(E1026, {"January","February","March","April","May","June","July","August","September","October","November","December"},0),1)</f>
        <v>45962</v>
      </c>
      <c r="K1026" s="13">
        <f t="shared" si="78"/>
        <v>29641.000000000004</v>
      </c>
      <c r="L1026" s="13">
        <v>366.45442669248399</v>
      </c>
      <c r="M1026" s="14">
        <f t="shared" si="79"/>
        <v>-0.13703204639451508</v>
      </c>
    </row>
    <row r="1027" spans="1:13" ht="15.5" x14ac:dyDescent="0.35">
      <c r="A1027" s="8" t="s">
        <v>18</v>
      </c>
      <c r="B1027" s="9" t="s">
        <v>19</v>
      </c>
      <c r="C1027" s="9" t="s">
        <v>34</v>
      </c>
      <c r="D1027" s="10">
        <v>1022.33</v>
      </c>
      <c r="E1027" s="9" t="s">
        <v>16</v>
      </c>
      <c r="F1027" s="9" t="s">
        <v>26</v>
      </c>
      <c r="G1027" s="9" t="str">
        <f t="shared" si="75"/>
        <v>Above Averg</v>
      </c>
      <c r="H1027" s="11">
        <f t="shared" si="76"/>
        <v>920.12567567567555</v>
      </c>
      <c r="I1027" s="9">
        <f t="shared" si="77"/>
        <v>37</v>
      </c>
      <c r="J1027" s="12">
        <f>DATE(2025, MATCH(E1027, {"January","February","March","April","May","June","July","August","September","October","November","December"},0),1)</f>
        <v>45809</v>
      </c>
      <c r="K1027" s="13">
        <f t="shared" si="78"/>
        <v>37826.21</v>
      </c>
      <c r="L1027" s="13">
        <v>358.26079423763002</v>
      </c>
      <c r="M1027" s="14">
        <f t="shared" si="79"/>
        <v>0.28527912059652727</v>
      </c>
    </row>
    <row r="1028" spans="1:13" ht="15.5" x14ac:dyDescent="0.35">
      <c r="A1028" s="8" t="s">
        <v>48</v>
      </c>
      <c r="B1028" s="9" t="s">
        <v>19</v>
      </c>
      <c r="C1028" s="9" t="s">
        <v>34</v>
      </c>
      <c r="D1028" s="10">
        <v>1315.1</v>
      </c>
      <c r="E1028" s="9" t="s">
        <v>16</v>
      </c>
      <c r="F1028" s="9" t="s">
        <v>40</v>
      </c>
      <c r="G1028" s="9" t="str">
        <f t="shared" si="75"/>
        <v>Above Averg</v>
      </c>
      <c r="H1028" s="11">
        <f t="shared" si="76"/>
        <v>1235.856</v>
      </c>
      <c r="I1028" s="9">
        <f t="shared" si="77"/>
        <v>25</v>
      </c>
      <c r="J1028" s="12">
        <f>DATE(2025, MATCH(E1028, {"January","February","March","April","May","June","July","August","September","October","November","December"},0),1)</f>
        <v>45809</v>
      </c>
      <c r="K1028" s="13">
        <f t="shared" si="78"/>
        <v>32877.5</v>
      </c>
      <c r="L1028" s="13">
        <v>353.575380949063</v>
      </c>
      <c r="M1028" s="14">
        <f t="shared" si="79"/>
        <v>0.22412193911039302</v>
      </c>
    </row>
    <row r="1029" spans="1:13" ht="15.5" x14ac:dyDescent="0.35">
      <c r="A1029" s="8" t="s">
        <v>18</v>
      </c>
      <c r="B1029" s="9" t="s">
        <v>19</v>
      </c>
      <c r="C1029" s="9" t="s">
        <v>29</v>
      </c>
      <c r="D1029" s="10">
        <v>899.6</v>
      </c>
      <c r="E1029" s="9" t="s">
        <v>72</v>
      </c>
      <c r="F1029" s="9" t="s">
        <v>30</v>
      </c>
      <c r="G1029" s="9" t="str">
        <f t="shared" si="75"/>
        <v>Above Averg</v>
      </c>
      <c r="H1029" s="11">
        <f t="shared" si="76"/>
        <v>920.12567567567555</v>
      </c>
      <c r="I1029" s="9">
        <f t="shared" si="77"/>
        <v>37</v>
      </c>
      <c r="J1029" s="12">
        <f>DATE(2025, MATCH(E1029, {"January","February","March","April","May","June","July","August","September","October","November","December"},0),1)</f>
        <v>45901</v>
      </c>
      <c r="K1029" s="13">
        <f t="shared" si="78"/>
        <v>33285.200000000004</v>
      </c>
      <c r="L1029" s="13">
        <v>339.950841442029</v>
      </c>
      <c r="M1029" s="14">
        <f t="shared" si="79"/>
        <v>-6.0378364085254731E-2</v>
      </c>
    </row>
    <row r="1030" spans="1:13" ht="15.5" x14ac:dyDescent="0.35">
      <c r="A1030" s="8" t="s">
        <v>79</v>
      </c>
      <c r="B1030" s="9" t="s">
        <v>32</v>
      </c>
      <c r="C1030" s="9" t="s">
        <v>24</v>
      </c>
      <c r="D1030" s="10">
        <v>93.25</v>
      </c>
      <c r="E1030" s="9" t="s">
        <v>42</v>
      </c>
      <c r="F1030" s="9" t="s">
        <v>30</v>
      </c>
      <c r="G1030" s="9" t="str">
        <f t="shared" si="75"/>
        <v>Low Averg</v>
      </c>
      <c r="H1030" s="11">
        <f t="shared" si="76"/>
        <v>90.269599999999997</v>
      </c>
      <c r="I1030" s="9">
        <f t="shared" si="77"/>
        <v>25</v>
      </c>
      <c r="J1030" s="12">
        <f>DATE(2025, MATCH(E1030, {"January","February","March","April","May","June","July","August","September","October","November","December"},0),1)</f>
        <v>45658</v>
      </c>
      <c r="K1030" s="13">
        <f t="shared" si="78"/>
        <v>2331.25</v>
      </c>
      <c r="L1030" s="13">
        <v>336.93753066255601</v>
      </c>
      <c r="M1030" s="14">
        <f t="shared" si="79"/>
        <v>8.8455566055206918E-3</v>
      </c>
    </row>
    <row r="1031" spans="1:13" ht="15.5" x14ac:dyDescent="0.35">
      <c r="A1031" s="8" t="s">
        <v>37</v>
      </c>
      <c r="B1031" s="9" t="s">
        <v>38</v>
      </c>
      <c r="C1031" s="9" t="s">
        <v>43</v>
      </c>
      <c r="D1031" s="10">
        <v>1005.25</v>
      </c>
      <c r="E1031" s="9" t="s">
        <v>62</v>
      </c>
      <c r="F1031" s="9" t="s">
        <v>36</v>
      </c>
      <c r="G1031" s="9" t="str">
        <f t="shared" si="75"/>
        <v>Above Averg</v>
      </c>
      <c r="H1031" s="11">
        <f t="shared" si="76"/>
        <v>1024.1451428571424</v>
      </c>
      <c r="I1031" s="9">
        <f t="shared" si="77"/>
        <v>35</v>
      </c>
      <c r="J1031" s="12">
        <f>DATE(2025, MATCH(E1031, {"January","February","March","April","May","June","July","August","September","October","November","December"},0),1)</f>
        <v>45689</v>
      </c>
      <c r="K1031" s="13">
        <f t="shared" si="78"/>
        <v>35183.75</v>
      </c>
      <c r="L1031" s="13">
        <v>337.59310618652802</v>
      </c>
      <c r="M1031" s="14">
        <f t="shared" si="79"/>
        <v>-5.5970167965167038E-2</v>
      </c>
    </row>
    <row r="1032" spans="1:13" ht="15.5" x14ac:dyDescent="0.35">
      <c r="A1032" s="8" t="s">
        <v>31</v>
      </c>
      <c r="B1032" s="9" t="s">
        <v>32</v>
      </c>
      <c r="C1032" s="9" t="s">
        <v>34</v>
      </c>
      <c r="D1032" s="10">
        <v>131.07</v>
      </c>
      <c r="E1032" s="9" t="s">
        <v>21</v>
      </c>
      <c r="F1032" s="9" t="s">
        <v>26</v>
      </c>
      <c r="G1032" s="9" t="str">
        <f t="shared" ref="G1032:G1095" si="80">IF(D1032&gt;AVERAGE(D:D),"Above Averg","Low Averg")</f>
        <v>Low Averg</v>
      </c>
      <c r="H1032" s="11">
        <f t="shared" ref="H1032:H1095" si="81">AVERAGEIF(A:A,A1032,D:D)</f>
        <v>123.43305555555558</v>
      </c>
      <c r="I1032" s="9">
        <f t="shared" ref="I1032:I1095" si="82">COUNTIF(A:A,A1032)</f>
        <v>36</v>
      </c>
      <c r="J1032" s="12">
        <f>DATE(2025, MATCH(E1032, {"January","February","March","April","May","June","July","August","September","October","November","December"},0),1)</f>
        <v>45748</v>
      </c>
      <c r="K1032" s="13">
        <f t="shared" ref="K1032:K1095" si="83">1*(D1032*I1032)</f>
        <v>4718.5199999999995</v>
      </c>
      <c r="L1032" s="13">
        <v>331.91871629744497</v>
      </c>
      <c r="M1032" s="14">
        <f t="shared" ref="M1032:M1095" si="84">(D1032-H1032)/L1032</f>
        <v>2.3008477887702643E-2</v>
      </c>
    </row>
    <row r="1033" spans="1:13" ht="15.5" x14ac:dyDescent="0.35">
      <c r="A1033" s="8" t="s">
        <v>50</v>
      </c>
      <c r="B1033" s="9" t="s">
        <v>32</v>
      </c>
      <c r="C1033" s="9" t="s">
        <v>24</v>
      </c>
      <c r="D1033" s="10">
        <v>82.39</v>
      </c>
      <c r="E1033" s="9" t="s">
        <v>72</v>
      </c>
      <c r="F1033" s="9" t="s">
        <v>36</v>
      </c>
      <c r="G1033" s="9" t="str">
        <f t="shared" si="80"/>
        <v>Low Averg</v>
      </c>
      <c r="H1033" s="11">
        <f t="shared" si="81"/>
        <v>81.934666666666672</v>
      </c>
      <c r="I1033" s="9">
        <f t="shared" si="82"/>
        <v>30</v>
      </c>
      <c r="J1033" s="12">
        <f>DATE(2025, MATCH(E1033, {"January","February","March","April","May","June","July","August","September","October","November","December"},0),1)</f>
        <v>45901</v>
      </c>
      <c r="K1033" s="13">
        <f t="shared" si="83"/>
        <v>2471.6999999999998</v>
      </c>
      <c r="L1033" s="13">
        <v>332.98677710445901</v>
      </c>
      <c r="M1033" s="14">
        <f t="shared" si="84"/>
        <v>1.3674216654870021E-3</v>
      </c>
    </row>
    <row r="1034" spans="1:13" ht="15.5" x14ac:dyDescent="0.35">
      <c r="A1034" s="8" t="s">
        <v>78</v>
      </c>
      <c r="B1034" s="9" t="s">
        <v>28</v>
      </c>
      <c r="C1034" s="9" t="s">
        <v>34</v>
      </c>
      <c r="D1034" s="10">
        <v>277.58</v>
      </c>
      <c r="E1034" s="9" t="s">
        <v>25</v>
      </c>
      <c r="F1034" s="9" t="s">
        <v>36</v>
      </c>
      <c r="G1034" s="9" t="str">
        <f t="shared" si="80"/>
        <v>Low Averg</v>
      </c>
      <c r="H1034" s="11">
        <f t="shared" si="81"/>
        <v>309.01727272727271</v>
      </c>
      <c r="I1034" s="9">
        <f t="shared" si="82"/>
        <v>22</v>
      </c>
      <c r="J1034" s="12">
        <f>DATE(2025, MATCH(E1034, {"January","February","March","April","May","June","July","August","September","October","November","December"},0),1)</f>
        <v>45931</v>
      </c>
      <c r="K1034" s="13">
        <f t="shared" si="83"/>
        <v>6106.7599999999993</v>
      </c>
      <c r="L1034" s="13">
        <v>333.51005398501701</v>
      </c>
      <c r="M1034" s="14">
        <f t="shared" si="84"/>
        <v>-9.4261844138243137E-2</v>
      </c>
    </row>
    <row r="1035" spans="1:13" ht="15.5" x14ac:dyDescent="0.35">
      <c r="A1035" s="8" t="s">
        <v>31</v>
      </c>
      <c r="B1035" s="9" t="s">
        <v>32</v>
      </c>
      <c r="C1035" s="9" t="s">
        <v>69</v>
      </c>
      <c r="D1035" s="10">
        <v>133.44</v>
      </c>
      <c r="E1035" s="9" t="s">
        <v>62</v>
      </c>
      <c r="F1035" s="9" t="s">
        <v>17</v>
      </c>
      <c r="G1035" s="9" t="str">
        <f t="shared" si="80"/>
        <v>Low Averg</v>
      </c>
      <c r="H1035" s="11">
        <f t="shared" si="81"/>
        <v>123.43305555555558</v>
      </c>
      <c r="I1035" s="9">
        <f t="shared" si="82"/>
        <v>36</v>
      </c>
      <c r="J1035" s="12">
        <f>DATE(2025, MATCH(E1035, {"January","February","March","April","May","June","July","August","September","October","November","December"},0),1)</f>
        <v>45689</v>
      </c>
      <c r="K1035" s="13">
        <f t="shared" si="83"/>
        <v>4803.84</v>
      </c>
      <c r="L1035" s="13">
        <v>335.61240219468601</v>
      </c>
      <c r="M1035" s="14">
        <f t="shared" si="84"/>
        <v>2.9816968559581023E-2</v>
      </c>
    </row>
    <row r="1036" spans="1:13" ht="15.5" x14ac:dyDescent="0.35">
      <c r="A1036" s="8" t="s">
        <v>68</v>
      </c>
      <c r="B1036" s="9" t="s">
        <v>28</v>
      </c>
      <c r="C1036" s="9" t="s">
        <v>20</v>
      </c>
      <c r="D1036" s="10">
        <v>99.86</v>
      </c>
      <c r="E1036" s="9" t="s">
        <v>55</v>
      </c>
      <c r="F1036" s="9" t="s">
        <v>30</v>
      </c>
      <c r="G1036" s="9" t="str">
        <f t="shared" si="80"/>
        <v>Low Averg</v>
      </c>
      <c r="H1036" s="11">
        <f t="shared" si="81"/>
        <v>102.25285714285715</v>
      </c>
      <c r="I1036" s="9">
        <f t="shared" si="82"/>
        <v>28</v>
      </c>
      <c r="J1036" s="12">
        <f>DATE(2025, MATCH(E1036, {"January","February","March","April","May","June","July","August","September","October","November","December"},0),1)</f>
        <v>45962</v>
      </c>
      <c r="K1036" s="13">
        <f t="shared" si="83"/>
        <v>2796.08</v>
      </c>
      <c r="L1036" s="13">
        <v>336.70184690728797</v>
      </c>
      <c r="M1036" s="14">
        <f t="shared" si="84"/>
        <v>-7.1067538382586729E-3</v>
      </c>
    </row>
    <row r="1037" spans="1:13" ht="15.5" x14ac:dyDescent="0.35">
      <c r="A1037" s="8" t="s">
        <v>13</v>
      </c>
      <c r="B1037" s="9" t="s">
        <v>14</v>
      </c>
      <c r="C1037" s="9" t="s">
        <v>29</v>
      </c>
      <c r="D1037" s="10">
        <v>213.35</v>
      </c>
      <c r="E1037" s="9" t="s">
        <v>72</v>
      </c>
      <c r="F1037" s="9" t="s">
        <v>17</v>
      </c>
      <c r="G1037" s="9" t="str">
        <f t="shared" si="80"/>
        <v>Low Averg</v>
      </c>
      <c r="H1037" s="11">
        <f t="shared" si="81"/>
        <v>206.78702702702708</v>
      </c>
      <c r="I1037" s="9">
        <f t="shared" si="82"/>
        <v>37</v>
      </c>
      <c r="J1037" s="12">
        <f>DATE(2025, MATCH(E1037, {"January","February","March","April","May","June","July","August","September","October","November","December"},0),1)</f>
        <v>45901</v>
      </c>
      <c r="K1037" s="13">
        <f t="shared" si="83"/>
        <v>7893.95</v>
      </c>
      <c r="L1037" s="13">
        <v>337.40116294461501</v>
      </c>
      <c r="M1037" s="14">
        <f t="shared" si="84"/>
        <v>1.9451542240387115E-2</v>
      </c>
    </row>
    <row r="1038" spans="1:13" ht="15.5" x14ac:dyDescent="0.35">
      <c r="A1038" s="8" t="s">
        <v>56</v>
      </c>
      <c r="B1038" s="9" t="s">
        <v>19</v>
      </c>
      <c r="C1038" s="9" t="s">
        <v>15</v>
      </c>
      <c r="D1038" s="10">
        <v>492.86</v>
      </c>
      <c r="E1038" s="9" t="s">
        <v>35</v>
      </c>
      <c r="F1038" s="9" t="s">
        <v>26</v>
      </c>
      <c r="G1038" s="9" t="str">
        <f t="shared" si="80"/>
        <v>Above Averg</v>
      </c>
      <c r="H1038" s="11">
        <f t="shared" si="81"/>
        <v>533.4588235294118</v>
      </c>
      <c r="I1038" s="9">
        <f t="shared" si="82"/>
        <v>34</v>
      </c>
      <c r="J1038" s="12">
        <f>DATE(2025, MATCH(E1038, {"January","February","March","April","May","June","July","August","September","October","November","December"},0),1)</f>
        <v>45778</v>
      </c>
      <c r="K1038" s="13">
        <f t="shared" si="83"/>
        <v>16757.240000000002</v>
      </c>
      <c r="L1038" s="13">
        <v>339.196908954528</v>
      </c>
      <c r="M1038" s="14">
        <f t="shared" si="84"/>
        <v>-0.11969101857250232</v>
      </c>
    </row>
    <row r="1039" spans="1:13" ht="15.5" x14ac:dyDescent="0.35">
      <c r="A1039" s="8" t="s">
        <v>27</v>
      </c>
      <c r="B1039" s="9" t="s">
        <v>28</v>
      </c>
      <c r="C1039" s="9" t="s">
        <v>34</v>
      </c>
      <c r="D1039" s="10">
        <v>108.98</v>
      </c>
      <c r="E1039" s="9" t="s">
        <v>62</v>
      </c>
      <c r="F1039" s="9" t="s">
        <v>40</v>
      </c>
      <c r="G1039" s="9" t="str">
        <f t="shared" si="80"/>
        <v>Low Averg</v>
      </c>
      <c r="H1039" s="11">
        <f t="shared" si="81"/>
        <v>113.26108695652174</v>
      </c>
      <c r="I1039" s="9">
        <f t="shared" si="82"/>
        <v>46</v>
      </c>
      <c r="J1039" s="12">
        <f>DATE(2025, MATCH(E1039, {"January","February","March","April","May","June","July","August","September","October","November","December"},0),1)</f>
        <v>45689</v>
      </c>
      <c r="K1039" s="13">
        <f t="shared" si="83"/>
        <v>5013.08</v>
      </c>
      <c r="L1039" s="13">
        <v>341.440852808042</v>
      </c>
      <c r="M1039" s="14">
        <f t="shared" si="84"/>
        <v>-1.2538297398549902E-2</v>
      </c>
    </row>
    <row r="1040" spans="1:13" ht="15.5" x14ac:dyDescent="0.35">
      <c r="A1040" s="8" t="s">
        <v>67</v>
      </c>
      <c r="B1040" s="9" t="s">
        <v>23</v>
      </c>
      <c r="C1040" s="9" t="s">
        <v>15</v>
      </c>
      <c r="D1040" s="10">
        <v>199.87</v>
      </c>
      <c r="E1040" s="9" t="s">
        <v>35</v>
      </c>
      <c r="F1040" s="9" t="s">
        <v>40</v>
      </c>
      <c r="G1040" s="9" t="str">
        <f t="shared" si="80"/>
        <v>Low Averg</v>
      </c>
      <c r="H1040" s="11">
        <f t="shared" si="81"/>
        <v>226.566129032258</v>
      </c>
      <c r="I1040" s="9">
        <f t="shared" si="82"/>
        <v>31</v>
      </c>
      <c r="J1040" s="12">
        <f>DATE(2025, MATCH(E1040, {"January","February","March","April","May","June","July","August","September","October","November","December"},0),1)</f>
        <v>45778</v>
      </c>
      <c r="K1040" s="13">
        <f t="shared" si="83"/>
        <v>6195.97</v>
      </c>
      <c r="L1040" s="13">
        <v>342.28252176062102</v>
      </c>
      <c r="M1040" s="14">
        <f t="shared" si="84"/>
        <v>-7.7994426636041392E-2</v>
      </c>
    </row>
    <row r="1041" spans="1:13" ht="15.5" x14ac:dyDescent="0.35">
      <c r="A1041" s="8" t="s">
        <v>78</v>
      </c>
      <c r="B1041" s="9" t="s">
        <v>28</v>
      </c>
      <c r="C1041" s="9" t="s">
        <v>45</v>
      </c>
      <c r="D1041" s="10">
        <v>285.17</v>
      </c>
      <c r="E1041" s="9" t="s">
        <v>35</v>
      </c>
      <c r="F1041" s="9" t="s">
        <v>40</v>
      </c>
      <c r="G1041" s="9" t="str">
        <f t="shared" si="80"/>
        <v>Low Averg</v>
      </c>
      <c r="H1041" s="11">
        <f t="shared" si="81"/>
        <v>309.01727272727271</v>
      </c>
      <c r="I1041" s="9">
        <f t="shared" si="82"/>
        <v>22</v>
      </c>
      <c r="J1041" s="12">
        <f>DATE(2025, MATCH(E1041, {"January","February","March","April","May","June","July","August","September","October","November","December"},0),1)</f>
        <v>45778</v>
      </c>
      <c r="K1041" s="13">
        <f t="shared" si="83"/>
        <v>6273.7400000000007</v>
      </c>
      <c r="L1041" s="13">
        <v>344.055888194771</v>
      </c>
      <c r="M1041" s="14">
        <f t="shared" si="84"/>
        <v>-6.9312206375531316E-2</v>
      </c>
    </row>
    <row r="1042" spans="1:13" ht="15.5" x14ac:dyDescent="0.35">
      <c r="A1042" s="8" t="s">
        <v>31</v>
      </c>
      <c r="B1042" s="9" t="s">
        <v>32</v>
      </c>
      <c r="C1042" s="9" t="s">
        <v>20</v>
      </c>
      <c r="D1042" s="10">
        <v>127.52</v>
      </c>
      <c r="E1042" s="9" t="s">
        <v>57</v>
      </c>
      <c r="F1042" s="9" t="s">
        <v>36</v>
      </c>
      <c r="G1042" s="9" t="str">
        <f t="shared" si="80"/>
        <v>Low Averg</v>
      </c>
      <c r="H1042" s="11">
        <f t="shared" si="81"/>
        <v>123.43305555555558</v>
      </c>
      <c r="I1042" s="9">
        <f t="shared" si="82"/>
        <v>36</v>
      </c>
      <c r="J1042" s="12">
        <f>DATE(2025, MATCH(E1042, {"January","February","March","April","May","June","July","August","September","October","November","December"},0),1)</f>
        <v>45839</v>
      </c>
      <c r="K1042" s="13">
        <f t="shared" si="83"/>
        <v>4590.72</v>
      </c>
      <c r="L1042" s="13">
        <v>346.42940680976301</v>
      </c>
      <c r="M1042" s="14">
        <f t="shared" si="84"/>
        <v>1.1797336958431772E-2</v>
      </c>
    </row>
    <row r="1043" spans="1:13" ht="15.5" x14ac:dyDescent="0.35">
      <c r="A1043" s="8" t="s">
        <v>80</v>
      </c>
      <c r="B1043" s="9" t="s">
        <v>19</v>
      </c>
      <c r="C1043" s="9" t="s">
        <v>15</v>
      </c>
      <c r="D1043" s="10">
        <v>690.06</v>
      </c>
      <c r="E1043" s="9" t="s">
        <v>39</v>
      </c>
      <c r="F1043" s="9" t="s">
        <v>30</v>
      </c>
      <c r="G1043" s="9" t="str">
        <f t="shared" si="80"/>
        <v>Above Averg</v>
      </c>
      <c r="H1043" s="11">
        <f t="shared" si="81"/>
        <v>720.27689655172423</v>
      </c>
      <c r="I1043" s="9">
        <f t="shared" si="82"/>
        <v>29</v>
      </c>
      <c r="J1043" s="12">
        <f>DATE(2025, MATCH(E1043, {"January","February","March","April","May","June","July","August","September","October","November","December"},0),1)</f>
        <v>45992</v>
      </c>
      <c r="K1043" s="13">
        <f t="shared" si="83"/>
        <v>20011.739999999998</v>
      </c>
      <c r="L1043" s="13">
        <v>347.49795742343798</v>
      </c>
      <c r="M1043" s="14">
        <f t="shared" si="84"/>
        <v>-8.6955609108527745E-2</v>
      </c>
    </row>
    <row r="1044" spans="1:13" ht="15.5" x14ac:dyDescent="0.35">
      <c r="A1044" s="8" t="s">
        <v>65</v>
      </c>
      <c r="B1044" s="9" t="s">
        <v>23</v>
      </c>
      <c r="C1044" s="9" t="s">
        <v>20</v>
      </c>
      <c r="D1044" s="10">
        <v>142.53</v>
      </c>
      <c r="E1044" s="9" t="s">
        <v>57</v>
      </c>
      <c r="F1044" s="9" t="s">
        <v>40</v>
      </c>
      <c r="G1044" s="9" t="str">
        <f t="shared" si="80"/>
        <v>Low Averg</v>
      </c>
      <c r="H1044" s="11">
        <f t="shared" si="81"/>
        <v>151.26457142857143</v>
      </c>
      <c r="I1044" s="9">
        <f t="shared" si="82"/>
        <v>35</v>
      </c>
      <c r="J1044" s="12">
        <f>DATE(2025, MATCH(E1044, {"January","February","March","April","May","June","July","August","September","October","November","December"},0),1)</f>
        <v>45839</v>
      </c>
      <c r="K1044" s="13">
        <f t="shared" si="83"/>
        <v>4988.55</v>
      </c>
      <c r="L1044" s="13">
        <v>348.28923207666901</v>
      </c>
      <c r="M1044" s="14">
        <f t="shared" si="84"/>
        <v>-2.507849977586641E-2</v>
      </c>
    </row>
    <row r="1045" spans="1:13" ht="15.5" x14ac:dyDescent="0.35">
      <c r="A1045" s="8" t="s">
        <v>68</v>
      </c>
      <c r="B1045" s="9" t="s">
        <v>28</v>
      </c>
      <c r="C1045" s="9" t="s">
        <v>43</v>
      </c>
      <c r="D1045" s="10">
        <v>101</v>
      </c>
      <c r="E1045" s="9" t="s">
        <v>62</v>
      </c>
      <c r="F1045" s="9" t="s">
        <v>26</v>
      </c>
      <c r="G1045" s="9" t="str">
        <f t="shared" si="80"/>
        <v>Low Averg</v>
      </c>
      <c r="H1045" s="11">
        <f t="shared" si="81"/>
        <v>102.25285714285715</v>
      </c>
      <c r="I1045" s="9">
        <f t="shared" si="82"/>
        <v>28</v>
      </c>
      <c r="J1045" s="12">
        <f>DATE(2025, MATCH(E1045, {"January","February","March","April","May","June","July","August","September","October","November","December"},0),1)</f>
        <v>45689</v>
      </c>
      <c r="K1045" s="13">
        <f t="shared" si="83"/>
        <v>2828</v>
      </c>
      <c r="L1045" s="13">
        <v>349.60331763234097</v>
      </c>
      <c r="M1045" s="14">
        <f t="shared" si="84"/>
        <v>-3.5836534714316268E-3</v>
      </c>
    </row>
    <row r="1046" spans="1:13" ht="15.5" x14ac:dyDescent="0.35">
      <c r="A1046" s="8" t="s">
        <v>76</v>
      </c>
      <c r="B1046" s="9" t="s">
        <v>60</v>
      </c>
      <c r="C1046" s="9" t="s">
        <v>49</v>
      </c>
      <c r="D1046" s="10">
        <v>321.58</v>
      </c>
      <c r="E1046" s="9" t="s">
        <v>35</v>
      </c>
      <c r="F1046" s="9" t="s">
        <v>17</v>
      </c>
      <c r="G1046" s="9" t="str">
        <f t="shared" si="80"/>
        <v>Low Averg</v>
      </c>
      <c r="H1046" s="11">
        <f t="shared" si="81"/>
        <v>304.90820512820511</v>
      </c>
      <c r="I1046" s="9">
        <f t="shared" si="82"/>
        <v>39</v>
      </c>
      <c r="J1046" s="12">
        <f>DATE(2025, MATCH(E1046, {"January","February","March","April","May","June","July","August","September","October","November","December"},0),1)</f>
        <v>45778</v>
      </c>
      <c r="K1046" s="13">
        <f t="shared" si="83"/>
        <v>12541.619999999999</v>
      </c>
      <c r="L1046" s="13">
        <v>350.36096805548902</v>
      </c>
      <c r="M1046" s="14">
        <f t="shared" si="84"/>
        <v>4.7584623836164443E-2</v>
      </c>
    </row>
    <row r="1047" spans="1:13" ht="15.5" x14ac:dyDescent="0.35">
      <c r="A1047" s="8" t="s">
        <v>50</v>
      </c>
      <c r="B1047" s="9" t="s">
        <v>32</v>
      </c>
      <c r="C1047" s="9" t="s">
        <v>49</v>
      </c>
      <c r="D1047" s="10">
        <v>79.84</v>
      </c>
      <c r="E1047" s="9" t="s">
        <v>16</v>
      </c>
      <c r="F1047" s="9" t="s">
        <v>26</v>
      </c>
      <c r="G1047" s="9" t="str">
        <f t="shared" si="80"/>
        <v>Low Averg</v>
      </c>
      <c r="H1047" s="11">
        <f t="shared" si="81"/>
        <v>81.934666666666672</v>
      </c>
      <c r="I1047" s="9">
        <f t="shared" si="82"/>
        <v>30</v>
      </c>
      <c r="J1047" s="12">
        <f>DATE(2025, MATCH(E1047, {"January","February","March","April","May","June","July","August","September","October","November","December"},0),1)</f>
        <v>45809</v>
      </c>
      <c r="K1047" s="13">
        <f t="shared" si="83"/>
        <v>2395.2000000000003</v>
      </c>
      <c r="L1047" s="13">
        <v>353.10883651607702</v>
      </c>
      <c r="M1047" s="14">
        <f t="shared" si="84"/>
        <v>-5.9320709369200357E-3</v>
      </c>
    </row>
    <row r="1048" spans="1:13" ht="15.5" x14ac:dyDescent="0.35">
      <c r="A1048" s="8" t="s">
        <v>37</v>
      </c>
      <c r="B1048" s="9" t="s">
        <v>38</v>
      </c>
      <c r="C1048" s="9" t="s">
        <v>34</v>
      </c>
      <c r="D1048" s="10">
        <v>1018.51</v>
      </c>
      <c r="E1048" s="9" t="s">
        <v>25</v>
      </c>
      <c r="F1048" s="9" t="s">
        <v>30</v>
      </c>
      <c r="G1048" s="9" t="str">
        <f t="shared" si="80"/>
        <v>Above Averg</v>
      </c>
      <c r="H1048" s="11">
        <f t="shared" si="81"/>
        <v>1024.1451428571424</v>
      </c>
      <c r="I1048" s="9">
        <f t="shared" si="82"/>
        <v>35</v>
      </c>
      <c r="J1048" s="12">
        <f>DATE(2025, MATCH(E1048, {"January","February","March","April","May","June","July","August","September","October","November","December"},0),1)</f>
        <v>45931</v>
      </c>
      <c r="K1048" s="13">
        <f t="shared" si="83"/>
        <v>35647.85</v>
      </c>
      <c r="L1048" s="13">
        <v>353.52865788706498</v>
      </c>
      <c r="M1048" s="14">
        <f t="shared" si="84"/>
        <v>-1.5939705965626712E-2</v>
      </c>
    </row>
    <row r="1049" spans="1:13" ht="15.5" x14ac:dyDescent="0.35">
      <c r="A1049" s="8" t="s">
        <v>37</v>
      </c>
      <c r="B1049" s="9" t="s">
        <v>38</v>
      </c>
      <c r="C1049" s="9" t="s">
        <v>15</v>
      </c>
      <c r="D1049" s="10">
        <v>1080.25</v>
      </c>
      <c r="E1049" s="9" t="s">
        <v>39</v>
      </c>
      <c r="F1049" s="9" t="s">
        <v>17</v>
      </c>
      <c r="G1049" s="9" t="str">
        <f t="shared" si="80"/>
        <v>Above Averg</v>
      </c>
      <c r="H1049" s="11">
        <f t="shared" si="81"/>
        <v>1024.1451428571424</v>
      </c>
      <c r="I1049" s="9">
        <f t="shared" si="82"/>
        <v>35</v>
      </c>
      <c r="J1049" s="12">
        <f>DATE(2025, MATCH(E1049, {"January","February","March","April","May","June","July","August","September","October","November","December"},0),1)</f>
        <v>45992</v>
      </c>
      <c r="K1049" s="13">
        <f t="shared" si="83"/>
        <v>37808.75</v>
      </c>
      <c r="L1049" s="13">
        <v>347.33814135950303</v>
      </c>
      <c r="M1049" s="14">
        <f t="shared" si="84"/>
        <v>0.16152806289358163</v>
      </c>
    </row>
    <row r="1050" spans="1:13" ht="15.5" x14ac:dyDescent="0.35">
      <c r="A1050" s="8" t="s">
        <v>77</v>
      </c>
      <c r="B1050" s="9" t="s">
        <v>14</v>
      </c>
      <c r="C1050" s="9" t="s">
        <v>15</v>
      </c>
      <c r="D1050" s="10">
        <v>230.01</v>
      </c>
      <c r="E1050" s="9" t="s">
        <v>63</v>
      </c>
      <c r="F1050" s="9" t="s">
        <v>40</v>
      </c>
      <c r="G1050" s="9" t="str">
        <f t="shared" si="80"/>
        <v>Low Averg</v>
      </c>
      <c r="H1050" s="11">
        <f t="shared" si="81"/>
        <v>226.49633333333335</v>
      </c>
      <c r="I1050" s="9">
        <f t="shared" si="82"/>
        <v>30</v>
      </c>
      <c r="J1050" s="12">
        <f>DATE(2025, MATCH(E1050, {"January","February","March","April","May","June","July","August","September","October","November","December"},0),1)</f>
        <v>45717</v>
      </c>
      <c r="K1050" s="13">
        <f t="shared" si="83"/>
        <v>6900.2999999999993</v>
      </c>
      <c r="L1050" s="13">
        <v>338.368355018535</v>
      </c>
      <c r="M1050" s="14">
        <f t="shared" si="84"/>
        <v>1.0384146787231823E-2</v>
      </c>
    </row>
    <row r="1051" spans="1:13" ht="15.5" x14ac:dyDescent="0.35">
      <c r="A1051" s="8" t="s">
        <v>83</v>
      </c>
      <c r="B1051" s="9" t="s">
        <v>23</v>
      </c>
      <c r="C1051" s="9" t="s">
        <v>29</v>
      </c>
      <c r="D1051" s="10">
        <v>152.13999999999999</v>
      </c>
      <c r="E1051" s="9" t="s">
        <v>63</v>
      </c>
      <c r="F1051" s="9" t="s">
        <v>26</v>
      </c>
      <c r="G1051" s="9" t="str">
        <f t="shared" si="80"/>
        <v>Low Averg</v>
      </c>
      <c r="H1051" s="11">
        <f t="shared" si="81"/>
        <v>132.90272727272728</v>
      </c>
      <c r="I1051" s="9">
        <f t="shared" si="82"/>
        <v>22</v>
      </c>
      <c r="J1051" s="12">
        <f>DATE(2025, MATCH(E1051, {"January","February","March","April","May","June","July","August","September","October","November","December"},0),1)</f>
        <v>45717</v>
      </c>
      <c r="K1051" s="13">
        <f t="shared" si="83"/>
        <v>3347.08</v>
      </c>
      <c r="L1051" s="13">
        <v>340.71207151926302</v>
      </c>
      <c r="M1051" s="14">
        <f t="shared" si="84"/>
        <v>5.6461964031659158E-2</v>
      </c>
    </row>
    <row r="1052" spans="1:13" ht="15.5" x14ac:dyDescent="0.35">
      <c r="A1052" s="8" t="s">
        <v>82</v>
      </c>
      <c r="B1052" s="9" t="s">
        <v>14</v>
      </c>
      <c r="C1052" s="9" t="s">
        <v>61</v>
      </c>
      <c r="D1052" s="10">
        <v>884.36</v>
      </c>
      <c r="E1052" s="9" t="s">
        <v>62</v>
      </c>
      <c r="F1052" s="9" t="s">
        <v>17</v>
      </c>
      <c r="G1052" s="9" t="str">
        <f t="shared" si="80"/>
        <v>Above Averg</v>
      </c>
      <c r="H1052" s="11">
        <f t="shared" si="81"/>
        <v>905.6025925925926</v>
      </c>
      <c r="I1052" s="9">
        <f t="shared" si="82"/>
        <v>27</v>
      </c>
      <c r="J1052" s="12">
        <f>DATE(2025, MATCH(E1052, {"January","February","March","April","May","June","July","August","September","October","November","December"},0),1)</f>
        <v>45689</v>
      </c>
      <c r="K1052" s="13">
        <f t="shared" si="83"/>
        <v>23877.72</v>
      </c>
      <c r="L1052" s="13">
        <v>342.26076733691298</v>
      </c>
      <c r="M1052" s="14">
        <f t="shared" si="84"/>
        <v>-6.2065520269467246E-2</v>
      </c>
    </row>
    <row r="1053" spans="1:13" ht="15.5" x14ac:dyDescent="0.35">
      <c r="A1053" s="8" t="s">
        <v>47</v>
      </c>
      <c r="B1053" s="9" t="s">
        <v>19</v>
      </c>
      <c r="C1053" s="9" t="s">
        <v>20</v>
      </c>
      <c r="D1053" s="10">
        <v>636.97</v>
      </c>
      <c r="E1053" s="9" t="s">
        <v>57</v>
      </c>
      <c r="F1053" s="9" t="s">
        <v>26</v>
      </c>
      <c r="G1053" s="9" t="str">
        <f t="shared" si="80"/>
        <v>Above Averg</v>
      </c>
      <c r="H1053" s="11">
        <f t="shared" si="81"/>
        <v>673.04079999999988</v>
      </c>
      <c r="I1053" s="9">
        <f t="shared" si="82"/>
        <v>25</v>
      </c>
      <c r="J1053" s="12">
        <f>DATE(2025, MATCH(E1053, {"January","February","March","April","May","June","July","August","September","October","November","December"},0),1)</f>
        <v>45839</v>
      </c>
      <c r="K1053" s="13">
        <f t="shared" si="83"/>
        <v>15924.25</v>
      </c>
      <c r="L1053" s="13">
        <v>338.81414764882999</v>
      </c>
      <c r="M1053" s="14">
        <f t="shared" si="84"/>
        <v>-0.10646190618163347</v>
      </c>
    </row>
    <row r="1054" spans="1:13" ht="15.5" x14ac:dyDescent="0.35">
      <c r="A1054" s="8" t="s">
        <v>27</v>
      </c>
      <c r="B1054" s="9" t="s">
        <v>28</v>
      </c>
      <c r="C1054" s="9" t="s">
        <v>43</v>
      </c>
      <c r="D1054" s="10">
        <v>103.46</v>
      </c>
      <c r="E1054" s="9" t="s">
        <v>57</v>
      </c>
      <c r="F1054" s="9" t="s">
        <v>36</v>
      </c>
      <c r="G1054" s="9" t="str">
        <f t="shared" si="80"/>
        <v>Low Averg</v>
      </c>
      <c r="H1054" s="11">
        <f t="shared" si="81"/>
        <v>113.26108695652174</v>
      </c>
      <c r="I1054" s="9">
        <f t="shared" si="82"/>
        <v>46</v>
      </c>
      <c r="J1054" s="12">
        <f>DATE(2025, MATCH(E1054, {"January","February","March","April","May","June","July","August","September","October","November","December"},0),1)</f>
        <v>45839</v>
      </c>
      <c r="K1054" s="13">
        <f t="shared" si="83"/>
        <v>4759.16</v>
      </c>
      <c r="L1054" s="13">
        <v>340.22168938572503</v>
      </c>
      <c r="M1054" s="14">
        <f t="shared" si="84"/>
        <v>-2.8807942768780383E-2</v>
      </c>
    </row>
    <row r="1055" spans="1:13" ht="15.5" x14ac:dyDescent="0.35">
      <c r="A1055" s="8" t="s">
        <v>33</v>
      </c>
      <c r="B1055" s="9" t="s">
        <v>19</v>
      </c>
      <c r="C1055" s="9" t="s">
        <v>24</v>
      </c>
      <c r="D1055" s="10">
        <v>921.13</v>
      </c>
      <c r="E1055" s="9" t="s">
        <v>57</v>
      </c>
      <c r="F1055" s="9" t="s">
        <v>26</v>
      </c>
      <c r="G1055" s="9" t="str">
        <f t="shared" si="80"/>
        <v>Above Averg</v>
      </c>
      <c r="H1055" s="11">
        <f t="shared" si="81"/>
        <v>1113.4854166666667</v>
      </c>
      <c r="I1055" s="9">
        <f t="shared" si="82"/>
        <v>24</v>
      </c>
      <c r="J1055" s="12">
        <f>DATE(2025, MATCH(E1055, {"January","February","March","April","May","June","July","August","September","October","November","December"},0),1)</f>
        <v>45839</v>
      </c>
      <c r="K1055" s="13">
        <f t="shared" si="83"/>
        <v>22107.119999999999</v>
      </c>
      <c r="L1055" s="13">
        <v>341.26732552189702</v>
      </c>
      <c r="M1055" s="14">
        <f t="shared" si="84"/>
        <v>-0.56365025972673843</v>
      </c>
    </row>
    <row r="1056" spans="1:13" ht="15.5" x14ac:dyDescent="0.35">
      <c r="A1056" s="8" t="s">
        <v>31</v>
      </c>
      <c r="B1056" s="9" t="s">
        <v>32</v>
      </c>
      <c r="C1056" s="9" t="s">
        <v>61</v>
      </c>
      <c r="D1056" s="10">
        <v>137.32</v>
      </c>
      <c r="E1056" s="9" t="s">
        <v>39</v>
      </c>
      <c r="F1056" s="9" t="s">
        <v>36</v>
      </c>
      <c r="G1056" s="9" t="str">
        <f t="shared" si="80"/>
        <v>Low Averg</v>
      </c>
      <c r="H1056" s="11">
        <f t="shared" si="81"/>
        <v>123.43305555555558</v>
      </c>
      <c r="I1056" s="9">
        <f t="shared" si="82"/>
        <v>36</v>
      </c>
      <c r="J1056" s="12">
        <f>DATE(2025, MATCH(E1056, {"January","February","March","April","May","June","July","August","September","October","November","December"},0),1)</f>
        <v>45992</v>
      </c>
      <c r="K1056" s="13">
        <f t="shared" si="83"/>
        <v>4943.5199999999995</v>
      </c>
      <c r="L1056" s="13">
        <v>336.21024094633799</v>
      </c>
      <c r="M1056" s="14">
        <f t="shared" si="84"/>
        <v>4.130434696265211E-2</v>
      </c>
    </row>
    <row r="1057" spans="1:13" ht="15.5" x14ac:dyDescent="0.35">
      <c r="A1057" s="8" t="s">
        <v>65</v>
      </c>
      <c r="B1057" s="9" t="s">
        <v>23</v>
      </c>
      <c r="C1057" s="9" t="s">
        <v>43</v>
      </c>
      <c r="D1057" s="10">
        <v>161.06</v>
      </c>
      <c r="E1057" s="9" t="s">
        <v>63</v>
      </c>
      <c r="F1057" s="9" t="s">
        <v>17</v>
      </c>
      <c r="G1057" s="9" t="str">
        <f t="shared" si="80"/>
        <v>Low Averg</v>
      </c>
      <c r="H1057" s="11">
        <f t="shared" si="81"/>
        <v>151.26457142857143</v>
      </c>
      <c r="I1057" s="9">
        <f t="shared" si="82"/>
        <v>35</v>
      </c>
      <c r="J1057" s="12">
        <f>DATE(2025, MATCH(E1057, {"January","February","March","April","May","June","July","August","September","October","November","December"},0),1)</f>
        <v>45717</v>
      </c>
      <c r="K1057" s="13">
        <f t="shared" si="83"/>
        <v>5637.1</v>
      </c>
      <c r="L1057" s="13">
        <v>337.83579376075699</v>
      </c>
      <c r="M1057" s="14">
        <f t="shared" si="84"/>
        <v>2.8994644002598904E-2</v>
      </c>
    </row>
    <row r="1058" spans="1:13" ht="15.5" x14ac:dyDescent="0.35">
      <c r="A1058" s="8" t="s">
        <v>56</v>
      </c>
      <c r="B1058" s="9" t="s">
        <v>19</v>
      </c>
      <c r="C1058" s="9" t="s">
        <v>49</v>
      </c>
      <c r="D1058" s="10">
        <v>548.45000000000005</v>
      </c>
      <c r="E1058" s="9" t="s">
        <v>25</v>
      </c>
      <c r="F1058" s="9" t="s">
        <v>17</v>
      </c>
      <c r="G1058" s="9" t="str">
        <f t="shared" si="80"/>
        <v>Above Averg</v>
      </c>
      <c r="H1058" s="11">
        <f t="shared" si="81"/>
        <v>533.4588235294118</v>
      </c>
      <c r="I1058" s="9">
        <f t="shared" si="82"/>
        <v>34</v>
      </c>
      <c r="J1058" s="12">
        <f>DATE(2025, MATCH(E1058, {"January","February","March","April","May","June","July","August","September","October","November","December"},0),1)</f>
        <v>45931</v>
      </c>
      <c r="K1058" s="13">
        <f t="shared" si="83"/>
        <v>18647.300000000003</v>
      </c>
      <c r="L1058" s="13">
        <v>339.78674441695</v>
      </c>
      <c r="M1058" s="14">
        <f t="shared" si="84"/>
        <v>4.4119368153434119E-2</v>
      </c>
    </row>
    <row r="1059" spans="1:13" ht="15.5" x14ac:dyDescent="0.35">
      <c r="A1059" s="8" t="s">
        <v>58</v>
      </c>
      <c r="B1059" s="9" t="s">
        <v>23</v>
      </c>
      <c r="C1059" s="9" t="s">
        <v>61</v>
      </c>
      <c r="D1059" s="10">
        <v>104.04</v>
      </c>
      <c r="E1059" s="9" t="s">
        <v>57</v>
      </c>
      <c r="F1059" s="9" t="s">
        <v>40</v>
      </c>
      <c r="G1059" s="9" t="str">
        <f t="shared" si="80"/>
        <v>Low Averg</v>
      </c>
      <c r="H1059" s="11">
        <f t="shared" si="81"/>
        <v>121.60903225806452</v>
      </c>
      <c r="I1059" s="9">
        <f t="shared" si="82"/>
        <v>31</v>
      </c>
      <c r="J1059" s="12">
        <f>DATE(2025, MATCH(E1059, {"January","February","March","April","May","June","July","August","September","October","November","December"},0),1)</f>
        <v>45839</v>
      </c>
      <c r="K1059" s="13">
        <f t="shared" si="83"/>
        <v>3225.2400000000002</v>
      </c>
      <c r="L1059" s="13">
        <v>342.48414018495998</v>
      </c>
      <c r="M1059" s="14">
        <f t="shared" si="84"/>
        <v>-5.1298819993755858E-2</v>
      </c>
    </row>
    <row r="1060" spans="1:13" ht="15.5" x14ac:dyDescent="0.35">
      <c r="A1060" s="8" t="s">
        <v>22</v>
      </c>
      <c r="B1060" s="9" t="s">
        <v>23</v>
      </c>
      <c r="C1060" s="9" t="s">
        <v>15</v>
      </c>
      <c r="D1060" s="10">
        <v>265.49</v>
      </c>
      <c r="E1060" s="9" t="s">
        <v>57</v>
      </c>
      <c r="F1060" s="9" t="s">
        <v>40</v>
      </c>
      <c r="G1060" s="9" t="str">
        <f t="shared" si="80"/>
        <v>Low Averg</v>
      </c>
      <c r="H1060" s="11">
        <f t="shared" si="81"/>
        <v>257.40029411764709</v>
      </c>
      <c r="I1060" s="9">
        <f t="shared" si="82"/>
        <v>34</v>
      </c>
      <c r="J1060" s="12">
        <f>DATE(2025, MATCH(E1060, {"January","February","March","April","May","June","July","August","September","October","November","December"},0),1)</f>
        <v>45839</v>
      </c>
      <c r="K1060" s="13">
        <f t="shared" si="83"/>
        <v>9026.66</v>
      </c>
      <c r="L1060" s="13">
        <v>343.673796758386</v>
      </c>
      <c r="M1060" s="14">
        <f t="shared" si="84"/>
        <v>2.3538907995479929E-2</v>
      </c>
    </row>
    <row r="1061" spans="1:13" ht="15.5" x14ac:dyDescent="0.35">
      <c r="A1061" s="8" t="s">
        <v>31</v>
      </c>
      <c r="B1061" s="9" t="s">
        <v>32</v>
      </c>
      <c r="C1061" s="9" t="s">
        <v>61</v>
      </c>
      <c r="D1061" s="10">
        <v>120.43</v>
      </c>
      <c r="E1061" s="9" t="s">
        <v>55</v>
      </c>
      <c r="F1061" s="9" t="s">
        <v>26</v>
      </c>
      <c r="G1061" s="9" t="str">
        <f t="shared" si="80"/>
        <v>Low Averg</v>
      </c>
      <c r="H1061" s="11">
        <f t="shared" si="81"/>
        <v>123.43305555555558</v>
      </c>
      <c r="I1061" s="9">
        <f t="shared" si="82"/>
        <v>36</v>
      </c>
      <c r="J1061" s="12">
        <f>DATE(2025, MATCH(E1061, {"January","February","March","April","May","June","July","August","September","October","November","December"},0),1)</f>
        <v>45962</v>
      </c>
      <c r="K1061" s="13">
        <f t="shared" si="83"/>
        <v>4335.4800000000005</v>
      </c>
      <c r="L1061" s="13">
        <v>346.91018026848502</v>
      </c>
      <c r="M1061" s="14">
        <f t="shared" si="84"/>
        <v>-8.6565795020238801E-3</v>
      </c>
    </row>
    <row r="1062" spans="1:13" ht="15.5" x14ac:dyDescent="0.35">
      <c r="A1062" s="8" t="s">
        <v>78</v>
      </c>
      <c r="B1062" s="9" t="s">
        <v>28</v>
      </c>
      <c r="C1062" s="9" t="s">
        <v>29</v>
      </c>
      <c r="D1062" s="10">
        <v>306.61</v>
      </c>
      <c r="E1062" s="9" t="s">
        <v>35</v>
      </c>
      <c r="F1062" s="9" t="s">
        <v>36</v>
      </c>
      <c r="G1062" s="9" t="str">
        <f t="shared" si="80"/>
        <v>Low Averg</v>
      </c>
      <c r="H1062" s="11">
        <f t="shared" si="81"/>
        <v>309.01727272727271</v>
      </c>
      <c r="I1062" s="9">
        <f t="shared" si="82"/>
        <v>22</v>
      </c>
      <c r="J1062" s="12">
        <f>DATE(2025, MATCH(E1062, {"January","February","March","April","May","June","July","August","September","October","November","December"},0),1)</f>
        <v>45778</v>
      </c>
      <c r="K1062" s="13">
        <f t="shared" si="83"/>
        <v>6745.42</v>
      </c>
      <c r="L1062" s="13">
        <v>348.37475213548299</v>
      </c>
      <c r="M1062" s="14">
        <f t="shared" si="84"/>
        <v>-6.9100091568533332E-3</v>
      </c>
    </row>
    <row r="1063" spans="1:13" ht="15.5" x14ac:dyDescent="0.35">
      <c r="A1063" s="8" t="s">
        <v>53</v>
      </c>
      <c r="B1063" s="9" t="s">
        <v>54</v>
      </c>
      <c r="C1063" s="9" t="s">
        <v>49</v>
      </c>
      <c r="D1063" s="10">
        <v>800.43</v>
      </c>
      <c r="E1063" s="9" t="s">
        <v>42</v>
      </c>
      <c r="F1063" s="9" t="s">
        <v>36</v>
      </c>
      <c r="G1063" s="9" t="str">
        <f t="shared" si="80"/>
        <v>Above Averg</v>
      </c>
      <c r="H1063" s="11">
        <f t="shared" si="81"/>
        <v>810.77454545454566</v>
      </c>
      <c r="I1063" s="9">
        <f t="shared" si="82"/>
        <v>33</v>
      </c>
      <c r="J1063" s="12">
        <f>DATE(2025, MATCH(E1063, {"January","February","March","April","May","June","July","August","September","October","November","December"},0),1)</f>
        <v>45658</v>
      </c>
      <c r="K1063" s="13">
        <f t="shared" si="83"/>
        <v>26414.19</v>
      </c>
      <c r="L1063" s="13">
        <v>352.04556324100503</v>
      </c>
      <c r="M1063" s="14">
        <f t="shared" si="84"/>
        <v>-2.9384109713844035E-2</v>
      </c>
    </row>
    <row r="1064" spans="1:13" ht="15.5" x14ac:dyDescent="0.35">
      <c r="A1064" s="8" t="s">
        <v>68</v>
      </c>
      <c r="B1064" s="9" t="s">
        <v>28</v>
      </c>
      <c r="C1064" s="9" t="s">
        <v>49</v>
      </c>
      <c r="D1064" s="10">
        <v>111.67</v>
      </c>
      <c r="E1064" s="9" t="s">
        <v>62</v>
      </c>
      <c r="F1064" s="9" t="s">
        <v>26</v>
      </c>
      <c r="G1064" s="9" t="str">
        <f t="shared" si="80"/>
        <v>Low Averg</v>
      </c>
      <c r="H1064" s="11">
        <f t="shared" si="81"/>
        <v>102.25285714285715</v>
      </c>
      <c r="I1064" s="9">
        <f t="shared" si="82"/>
        <v>28</v>
      </c>
      <c r="J1064" s="12">
        <f>DATE(2025, MATCH(E1064, {"January","February","March","April","May","June","July","August","September","October","November","December"},0),1)</f>
        <v>45689</v>
      </c>
      <c r="K1064" s="13">
        <f t="shared" si="83"/>
        <v>3126.76</v>
      </c>
      <c r="L1064" s="13">
        <v>350.67568757166299</v>
      </c>
      <c r="M1064" s="14">
        <f t="shared" si="84"/>
        <v>2.685427929821451E-2</v>
      </c>
    </row>
    <row r="1065" spans="1:13" ht="15.5" x14ac:dyDescent="0.35">
      <c r="A1065" s="8" t="s">
        <v>47</v>
      </c>
      <c r="B1065" s="9" t="s">
        <v>19</v>
      </c>
      <c r="C1065" s="9" t="s">
        <v>45</v>
      </c>
      <c r="D1065" s="10">
        <v>673.99</v>
      </c>
      <c r="E1065" s="9" t="s">
        <v>16</v>
      </c>
      <c r="F1065" s="9" t="s">
        <v>17</v>
      </c>
      <c r="G1065" s="9" t="str">
        <f t="shared" si="80"/>
        <v>Above Averg</v>
      </c>
      <c r="H1065" s="11">
        <f t="shared" si="81"/>
        <v>673.04079999999988</v>
      </c>
      <c r="I1065" s="9">
        <f t="shared" si="82"/>
        <v>25</v>
      </c>
      <c r="J1065" s="12">
        <f>DATE(2025, MATCH(E1065, {"January","February","March","April","May","June","July","August","September","October","November","December"},0),1)</f>
        <v>45809</v>
      </c>
      <c r="K1065" s="13">
        <f t="shared" si="83"/>
        <v>16849.75</v>
      </c>
      <c r="L1065" s="13">
        <v>352.17108323685102</v>
      </c>
      <c r="M1065" s="14">
        <f t="shared" si="84"/>
        <v>2.6952809165247467E-3</v>
      </c>
    </row>
    <row r="1066" spans="1:13" ht="15.5" x14ac:dyDescent="0.35">
      <c r="A1066" s="8" t="s">
        <v>80</v>
      </c>
      <c r="B1066" s="9" t="s">
        <v>19</v>
      </c>
      <c r="C1066" s="9" t="s">
        <v>43</v>
      </c>
      <c r="D1066" s="10">
        <v>698.56</v>
      </c>
      <c r="E1066" s="9" t="s">
        <v>62</v>
      </c>
      <c r="F1066" s="9" t="s">
        <v>17</v>
      </c>
      <c r="G1066" s="9" t="str">
        <f t="shared" si="80"/>
        <v>Above Averg</v>
      </c>
      <c r="H1066" s="11">
        <f t="shared" si="81"/>
        <v>720.27689655172423</v>
      </c>
      <c r="I1066" s="9">
        <f t="shared" si="82"/>
        <v>29</v>
      </c>
      <c r="J1066" s="12">
        <f>DATE(2025, MATCH(E1066, {"January","February","March","April","May","June","July","August","September","October","November","December"},0),1)</f>
        <v>45689</v>
      </c>
      <c r="K1066" s="13">
        <f t="shared" si="83"/>
        <v>20258.239999999998</v>
      </c>
      <c r="L1066" s="13">
        <v>353.71646187183501</v>
      </c>
      <c r="M1066" s="14">
        <f t="shared" si="84"/>
        <v>-6.1396341116838241E-2</v>
      </c>
    </row>
    <row r="1067" spans="1:13" ht="15.5" x14ac:dyDescent="0.35">
      <c r="A1067" s="8" t="s">
        <v>79</v>
      </c>
      <c r="B1067" s="9" t="s">
        <v>32</v>
      </c>
      <c r="C1067" s="9" t="s">
        <v>24</v>
      </c>
      <c r="D1067" s="10">
        <v>92.92</v>
      </c>
      <c r="E1067" s="9" t="s">
        <v>16</v>
      </c>
      <c r="F1067" s="9" t="s">
        <v>30</v>
      </c>
      <c r="G1067" s="9" t="str">
        <f t="shared" si="80"/>
        <v>Low Averg</v>
      </c>
      <c r="H1067" s="11">
        <f t="shared" si="81"/>
        <v>90.269599999999997</v>
      </c>
      <c r="I1067" s="9">
        <f t="shared" si="82"/>
        <v>25</v>
      </c>
      <c r="J1067" s="12">
        <f>DATE(2025, MATCH(E1067, {"January","February","March","April","May","June","July","August","September","October","November","December"},0),1)</f>
        <v>45809</v>
      </c>
      <c r="K1067" s="13">
        <f t="shared" si="83"/>
        <v>2323</v>
      </c>
      <c r="L1067" s="13">
        <v>354.66885573574501</v>
      </c>
      <c r="M1067" s="14">
        <f t="shared" si="84"/>
        <v>7.472886206774108E-3</v>
      </c>
    </row>
    <row r="1068" spans="1:13" ht="15.5" x14ac:dyDescent="0.35">
      <c r="A1068" s="8" t="s">
        <v>77</v>
      </c>
      <c r="B1068" s="9" t="s">
        <v>14</v>
      </c>
      <c r="C1068" s="9" t="s">
        <v>45</v>
      </c>
      <c r="D1068" s="10">
        <v>212.84</v>
      </c>
      <c r="E1068" s="9" t="s">
        <v>39</v>
      </c>
      <c r="F1068" s="9" t="s">
        <v>26</v>
      </c>
      <c r="G1068" s="9" t="str">
        <f t="shared" si="80"/>
        <v>Low Averg</v>
      </c>
      <c r="H1068" s="11">
        <f t="shared" si="81"/>
        <v>226.49633333333335</v>
      </c>
      <c r="I1068" s="9">
        <f t="shared" si="82"/>
        <v>30</v>
      </c>
      <c r="J1068" s="12">
        <f>DATE(2025, MATCH(E1068, {"January","February","March","April","May","June","July","August","September","October","November","December"},0),1)</f>
        <v>45992</v>
      </c>
      <c r="K1068" s="13">
        <f t="shared" si="83"/>
        <v>6385.2</v>
      </c>
      <c r="L1068" s="13">
        <v>356.12713947292298</v>
      </c>
      <c r="M1068" s="14">
        <f t="shared" si="84"/>
        <v>-3.8346791973071927E-2</v>
      </c>
    </row>
    <row r="1069" spans="1:13" ht="15.5" x14ac:dyDescent="0.35">
      <c r="A1069" s="8" t="s">
        <v>22</v>
      </c>
      <c r="B1069" s="9" t="s">
        <v>23</v>
      </c>
      <c r="C1069" s="9" t="s">
        <v>69</v>
      </c>
      <c r="D1069" s="10">
        <v>275.04000000000002</v>
      </c>
      <c r="E1069" s="9" t="s">
        <v>63</v>
      </c>
      <c r="F1069" s="9" t="s">
        <v>26</v>
      </c>
      <c r="G1069" s="9" t="str">
        <f t="shared" si="80"/>
        <v>Low Averg</v>
      </c>
      <c r="H1069" s="11">
        <f t="shared" si="81"/>
        <v>257.40029411764709</v>
      </c>
      <c r="I1069" s="9">
        <f t="shared" si="82"/>
        <v>34</v>
      </c>
      <c r="J1069" s="12">
        <f>DATE(2025, MATCH(E1069, {"January","February","March","April","May","June","July","August","September","October","November","December"},0),1)</f>
        <v>45717</v>
      </c>
      <c r="K1069" s="13">
        <f t="shared" si="83"/>
        <v>9351.36</v>
      </c>
      <c r="L1069" s="13">
        <v>359.62360730703398</v>
      </c>
      <c r="M1069" s="14">
        <f t="shared" si="84"/>
        <v>4.9050466999216676E-2</v>
      </c>
    </row>
    <row r="1070" spans="1:13" ht="15.5" x14ac:dyDescent="0.35">
      <c r="A1070" s="8" t="s">
        <v>52</v>
      </c>
      <c r="B1070" s="9" t="s">
        <v>32</v>
      </c>
      <c r="C1070" s="9" t="s">
        <v>69</v>
      </c>
      <c r="D1070" s="10">
        <v>58.8</v>
      </c>
      <c r="E1070" s="9" t="s">
        <v>16</v>
      </c>
      <c r="F1070" s="9" t="s">
        <v>17</v>
      </c>
      <c r="G1070" s="9" t="str">
        <f t="shared" si="80"/>
        <v>Low Averg</v>
      </c>
      <c r="H1070" s="11">
        <f t="shared" si="81"/>
        <v>62.182121212121217</v>
      </c>
      <c r="I1070" s="9">
        <f t="shared" si="82"/>
        <v>33</v>
      </c>
      <c r="J1070" s="12">
        <f>DATE(2025, MATCH(E1070, {"January","February","March","April","May","June","July","August","September","October","November","December"},0),1)</f>
        <v>45809</v>
      </c>
      <c r="K1070" s="13">
        <f t="shared" si="83"/>
        <v>1940.3999999999999</v>
      </c>
      <c r="L1070" s="13">
        <v>363.91899542999897</v>
      </c>
      <c r="M1070" s="14">
        <f t="shared" si="84"/>
        <v>-9.2936099917647255E-3</v>
      </c>
    </row>
    <row r="1071" spans="1:13" ht="15.5" x14ac:dyDescent="0.35">
      <c r="A1071" s="8" t="s">
        <v>81</v>
      </c>
      <c r="B1071" s="9" t="s">
        <v>28</v>
      </c>
      <c r="C1071" s="9" t="s">
        <v>69</v>
      </c>
      <c r="D1071" s="10">
        <v>131.71</v>
      </c>
      <c r="E1071" s="9" t="s">
        <v>25</v>
      </c>
      <c r="F1071" s="9" t="s">
        <v>36</v>
      </c>
      <c r="G1071" s="9" t="str">
        <f t="shared" si="80"/>
        <v>Low Averg</v>
      </c>
      <c r="H1071" s="11">
        <f t="shared" si="81"/>
        <v>140.29840000000002</v>
      </c>
      <c r="I1071" s="9">
        <f t="shared" si="82"/>
        <v>25</v>
      </c>
      <c r="J1071" s="12">
        <f>DATE(2025, MATCH(E1071, {"January","February","March","April","May","June","July","August","September","October","November","December"},0),1)</f>
        <v>45931</v>
      </c>
      <c r="K1071" s="13">
        <f t="shared" si="83"/>
        <v>3292.75</v>
      </c>
      <c r="L1071" s="13">
        <v>364.507130433393</v>
      </c>
      <c r="M1071" s="14">
        <f t="shared" si="84"/>
        <v>-2.3561678998675666E-2</v>
      </c>
    </row>
    <row r="1072" spans="1:13" ht="15.5" x14ac:dyDescent="0.35">
      <c r="A1072" s="8" t="s">
        <v>59</v>
      </c>
      <c r="B1072" s="9" t="s">
        <v>60</v>
      </c>
      <c r="C1072" s="9" t="s">
        <v>29</v>
      </c>
      <c r="D1072" s="10">
        <v>218.29</v>
      </c>
      <c r="E1072" s="9" t="s">
        <v>16</v>
      </c>
      <c r="F1072" s="9" t="s">
        <v>40</v>
      </c>
      <c r="G1072" s="9" t="str">
        <f t="shared" si="80"/>
        <v>Low Averg</v>
      </c>
      <c r="H1072" s="11">
        <f t="shared" si="81"/>
        <v>203.25225806451613</v>
      </c>
      <c r="I1072" s="9">
        <f t="shared" si="82"/>
        <v>31</v>
      </c>
      <c r="J1072" s="12">
        <f>DATE(2025, MATCH(E1072, {"January","February","March","April","May","June","July","August","September","October","November","December"},0),1)</f>
        <v>45809</v>
      </c>
      <c r="K1072" s="13">
        <f t="shared" si="83"/>
        <v>6766.99</v>
      </c>
      <c r="L1072" s="13">
        <v>366.68914589837902</v>
      </c>
      <c r="M1072" s="14">
        <f t="shared" si="84"/>
        <v>4.1009509290605761E-2</v>
      </c>
    </row>
    <row r="1073" spans="1:13" ht="15.5" x14ac:dyDescent="0.35">
      <c r="A1073" s="8" t="s">
        <v>70</v>
      </c>
      <c r="B1073" s="9" t="s">
        <v>71</v>
      </c>
      <c r="C1073" s="9" t="s">
        <v>34</v>
      </c>
      <c r="D1073" s="10">
        <v>897.65</v>
      </c>
      <c r="E1073" s="9" t="s">
        <v>55</v>
      </c>
      <c r="F1073" s="9" t="s">
        <v>36</v>
      </c>
      <c r="G1073" s="9" t="str">
        <f t="shared" si="80"/>
        <v>Above Averg</v>
      </c>
      <c r="H1073" s="11">
        <f t="shared" si="81"/>
        <v>911.5772916666665</v>
      </c>
      <c r="I1073" s="9">
        <f t="shared" si="82"/>
        <v>48</v>
      </c>
      <c r="J1073" s="12">
        <f>DATE(2025, MATCH(E1073, {"January","February","March","April","May","June","July","August","September","October","November","December"},0),1)</f>
        <v>45962</v>
      </c>
      <c r="K1073" s="13">
        <f t="shared" si="83"/>
        <v>43087.199999999997</v>
      </c>
      <c r="L1073" s="13">
        <v>370.49686574321498</v>
      </c>
      <c r="M1073" s="14">
        <f t="shared" si="84"/>
        <v>-3.7590848815221248E-2</v>
      </c>
    </row>
    <row r="1074" spans="1:13" ht="15.5" x14ac:dyDescent="0.35">
      <c r="A1074" s="8" t="s">
        <v>56</v>
      </c>
      <c r="B1074" s="9" t="s">
        <v>19</v>
      </c>
      <c r="C1074" s="9" t="s">
        <v>49</v>
      </c>
      <c r="D1074" s="10">
        <v>596.08000000000004</v>
      </c>
      <c r="E1074" s="9" t="s">
        <v>39</v>
      </c>
      <c r="F1074" s="9" t="s">
        <v>40</v>
      </c>
      <c r="G1074" s="9" t="str">
        <f t="shared" si="80"/>
        <v>Above Averg</v>
      </c>
      <c r="H1074" s="11">
        <f t="shared" si="81"/>
        <v>533.4588235294118</v>
      </c>
      <c r="I1074" s="9">
        <f t="shared" si="82"/>
        <v>34</v>
      </c>
      <c r="J1074" s="12">
        <f>DATE(2025, MATCH(E1074, {"January","February","March","April","May","June","July","August","September","October","November","December"},0),1)</f>
        <v>45992</v>
      </c>
      <c r="K1074" s="13">
        <f t="shared" si="83"/>
        <v>20266.72</v>
      </c>
      <c r="L1074" s="13">
        <v>366.42850621971297</v>
      </c>
      <c r="M1074" s="14">
        <f t="shared" si="84"/>
        <v>0.1708960285776461</v>
      </c>
    </row>
    <row r="1075" spans="1:13" ht="15.5" x14ac:dyDescent="0.35">
      <c r="A1075" s="8" t="s">
        <v>37</v>
      </c>
      <c r="B1075" s="9" t="s">
        <v>38</v>
      </c>
      <c r="C1075" s="9" t="s">
        <v>43</v>
      </c>
      <c r="D1075" s="10">
        <v>1109.79</v>
      </c>
      <c r="E1075" s="9" t="s">
        <v>21</v>
      </c>
      <c r="F1075" s="9" t="s">
        <v>36</v>
      </c>
      <c r="G1075" s="9" t="str">
        <f t="shared" si="80"/>
        <v>Above Averg</v>
      </c>
      <c r="H1075" s="11">
        <f t="shared" si="81"/>
        <v>1024.1451428571424</v>
      </c>
      <c r="I1075" s="9">
        <f t="shared" si="82"/>
        <v>35</v>
      </c>
      <c r="J1075" s="12">
        <f>DATE(2025, MATCH(E1075, {"January","February","March","April","May","June","July","August","September","October","November","December"},0),1)</f>
        <v>45748</v>
      </c>
      <c r="K1075" s="13">
        <f t="shared" si="83"/>
        <v>38842.65</v>
      </c>
      <c r="L1075" s="13">
        <v>370.51940152857202</v>
      </c>
      <c r="M1075" s="14">
        <f t="shared" si="84"/>
        <v>0.23114810395766319</v>
      </c>
    </row>
    <row r="1076" spans="1:13" ht="15.5" x14ac:dyDescent="0.35">
      <c r="A1076" s="8" t="s">
        <v>53</v>
      </c>
      <c r="B1076" s="9" t="s">
        <v>54</v>
      </c>
      <c r="C1076" s="9" t="s">
        <v>49</v>
      </c>
      <c r="D1076" s="10">
        <v>864.24</v>
      </c>
      <c r="E1076" s="9" t="s">
        <v>39</v>
      </c>
      <c r="F1076" s="9" t="s">
        <v>26</v>
      </c>
      <c r="G1076" s="9" t="str">
        <f t="shared" si="80"/>
        <v>Above Averg</v>
      </c>
      <c r="H1076" s="11">
        <f t="shared" si="81"/>
        <v>810.77454545454566</v>
      </c>
      <c r="I1076" s="9">
        <f t="shared" si="82"/>
        <v>33</v>
      </c>
      <c r="J1076" s="12">
        <f>DATE(2025, MATCH(E1076, {"January","February","March","April","May","June","July","August","September","October","November","December"},0),1)</f>
        <v>45992</v>
      </c>
      <c r="K1076" s="13">
        <f t="shared" si="83"/>
        <v>28519.920000000002</v>
      </c>
      <c r="L1076" s="13">
        <v>353.40367450769998</v>
      </c>
      <c r="M1076" s="14">
        <f t="shared" si="84"/>
        <v>0.15128720611049967</v>
      </c>
    </row>
    <row r="1077" spans="1:13" ht="15.5" x14ac:dyDescent="0.35">
      <c r="A1077" s="8" t="s">
        <v>65</v>
      </c>
      <c r="B1077" s="9" t="s">
        <v>23</v>
      </c>
      <c r="C1077" s="9" t="s">
        <v>24</v>
      </c>
      <c r="D1077" s="10">
        <v>134.97999999999999</v>
      </c>
      <c r="E1077" s="9" t="s">
        <v>46</v>
      </c>
      <c r="F1077" s="9" t="s">
        <v>30</v>
      </c>
      <c r="G1077" s="9" t="str">
        <f t="shared" si="80"/>
        <v>Low Averg</v>
      </c>
      <c r="H1077" s="11">
        <f t="shared" si="81"/>
        <v>151.26457142857143</v>
      </c>
      <c r="I1077" s="9">
        <f t="shared" si="82"/>
        <v>35</v>
      </c>
      <c r="J1077" s="12">
        <f>DATE(2025, MATCH(E1077, {"January","February","March","April","May","June","July","August","September","October","November","December"},0),1)</f>
        <v>45870</v>
      </c>
      <c r="K1077" s="13">
        <f t="shared" si="83"/>
        <v>4724.2999999999993</v>
      </c>
      <c r="L1077" s="13">
        <v>347.66729283173299</v>
      </c>
      <c r="M1077" s="14">
        <f t="shared" si="84"/>
        <v>-4.6839526651858469E-2</v>
      </c>
    </row>
    <row r="1078" spans="1:13" ht="15.5" x14ac:dyDescent="0.35">
      <c r="A1078" s="8" t="s">
        <v>80</v>
      </c>
      <c r="B1078" s="9" t="s">
        <v>19</v>
      </c>
      <c r="C1078" s="9" t="s">
        <v>45</v>
      </c>
      <c r="D1078" s="10">
        <v>786.38</v>
      </c>
      <c r="E1078" s="9" t="s">
        <v>63</v>
      </c>
      <c r="F1078" s="9" t="s">
        <v>26</v>
      </c>
      <c r="G1078" s="9" t="str">
        <f t="shared" si="80"/>
        <v>Above Averg</v>
      </c>
      <c r="H1078" s="11">
        <f t="shared" si="81"/>
        <v>720.27689655172423</v>
      </c>
      <c r="I1078" s="9">
        <f t="shared" si="82"/>
        <v>29</v>
      </c>
      <c r="J1078" s="12">
        <f>DATE(2025, MATCH(E1078, {"January","February","March","April","May","June","July","August","September","October","November","December"},0),1)</f>
        <v>45717</v>
      </c>
      <c r="K1078" s="13">
        <f t="shared" si="83"/>
        <v>22805.02</v>
      </c>
      <c r="L1078" s="13">
        <v>351.03232827528598</v>
      </c>
      <c r="M1078" s="14">
        <f t="shared" si="84"/>
        <v>0.1883105860165577</v>
      </c>
    </row>
    <row r="1079" spans="1:13" ht="15.5" x14ac:dyDescent="0.35">
      <c r="A1079" s="8" t="s">
        <v>58</v>
      </c>
      <c r="B1079" s="9" t="s">
        <v>23</v>
      </c>
      <c r="C1079" s="9" t="s">
        <v>43</v>
      </c>
      <c r="D1079" s="10">
        <v>116.51</v>
      </c>
      <c r="E1079" s="9" t="s">
        <v>46</v>
      </c>
      <c r="F1079" s="9" t="s">
        <v>40</v>
      </c>
      <c r="G1079" s="9" t="str">
        <f t="shared" si="80"/>
        <v>Low Averg</v>
      </c>
      <c r="H1079" s="11">
        <f t="shared" si="81"/>
        <v>121.60903225806452</v>
      </c>
      <c r="I1079" s="9">
        <f t="shared" si="82"/>
        <v>31</v>
      </c>
      <c r="J1079" s="12">
        <f>DATE(2025, MATCH(E1079, {"January","February","March","April","May","June","July","August","September","October","November","December"},0),1)</f>
        <v>45870</v>
      </c>
      <c r="K1079" s="13">
        <f t="shared" si="83"/>
        <v>3611.81</v>
      </c>
      <c r="L1079" s="13">
        <v>348.09084211989</v>
      </c>
      <c r="M1079" s="14">
        <f t="shared" si="84"/>
        <v>-1.4648567675642252E-2</v>
      </c>
    </row>
    <row r="1080" spans="1:13" ht="15.5" x14ac:dyDescent="0.35">
      <c r="A1080" s="8" t="s">
        <v>13</v>
      </c>
      <c r="B1080" s="9" t="s">
        <v>14</v>
      </c>
      <c r="C1080" s="9" t="s">
        <v>61</v>
      </c>
      <c r="D1080" s="10">
        <v>201.63</v>
      </c>
      <c r="E1080" s="9" t="s">
        <v>42</v>
      </c>
      <c r="F1080" s="9" t="s">
        <v>17</v>
      </c>
      <c r="G1080" s="9" t="str">
        <f t="shared" si="80"/>
        <v>Low Averg</v>
      </c>
      <c r="H1080" s="11">
        <f t="shared" si="81"/>
        <v>206.78702702702708</v>
      </c>
      <c r="I1080" s="9">
        <f t="shared" si="82"/>
        <v>37</v>
      </c>
      <c r="J1080" s="12">
        <f>DATE(2025, MATCH(E1080, {"January","February","March","April","May","June","July","August","September","October","November","December"},0),1)</f>
        <v>45658</v>
      </c>
      <c r="K1080" s="13">
        <f t="shared" si="83"/>
        <v>7460.3099999999995</v>
      </c>
      <c r="L1080" s="13">
        <v>351.41597575730702</v>
      </c>
      <c r="M1080" s="14">
        <f t="shared" si="84"/>
        <v>-1.4674993121509654E-2</v>
      </c>
    </row>
    <row r="1081" spans="1:13" ht="15.5" x14ac:dyDescent="0.35">
      <c r="A1081" s="8" t="s">
        <v>70</v>
      </c>
      <c r="B1081" s="9" t="s">
        <v>71</v>
      </c>
      <c r="C1081" s="9" t="s">
        <v>43</v>
      </c>
      <c r="D1081" s="10">
        <v>872.88</v>
      </c>
      <c r="E1081" s="9" t="s">
        <v>46</v>
      </c>
      <c r="F1081" s="9" t="s">
        <v>26</v>
      </c>
      <c r="G1081" s="9" t="str">
        <f t="shared" si="80"/>
        <v>Above Averg</v>
      </c>
      <c r="H1081" s="11">
        <f t="shared" si="81"/>
        <v>911.5772916666665</v>
      </c>
      <c r="I1081" s="9">
        <f t="shared" si="82"/>
        <v>48</v>
      </c>
      <c r="J1081" s="12">
        <f>DATE(2025, MATCH(E1081, {"January","February","March","April","May","June","July","August","September","October","November","December"},0),1)</f>
        <v>45870</v>
      </c>
      <c r="K1081" s="13">
        <f t="shared" si="83"/>
        <v>41898.239999999998</v>
      </c>
      <c r="L1081" s="13">
        <v>356.66829939038399</v>
      </c>
      <c r="M1081" s="14">
        <f t="shared" si="84"/>
        <v>-0.10849658277118475</v>
      </c>
    </row>
    <row r="1082" spans="1:13" ht="15.5" x14ac:dyDescent="0.35">
      <c r="A1082" s="8" t="s">
        <v>73</v>
      </c>
      <c r="B1082" s="9" t="s">
        <v>54</v>
      </c>
      <c r="C1082" s="9" t="s">
        <v>15</v>
      </c>
      <c r="D1082" s="10">
        <v>34.21</v>
      </c>
      <c r="E1082" s="9" t="s">
        <v>72</v>
      </c>
      <c r="F1082" s="9" t="s">
        <v>30</v>
      </c>
      <c r="G1082" s="9" t="str">
        <f t="shared" si="80"/>
        <v>Low Averg</v>
      </c>
      <c r="H1082" s="11">
        <f t="shared" si="81"/>
        <v>40.881379310344826</v>
      </c>
      <c r="I1082" s="9">
        <f t="shared" si="82"/>
        <v>29</v>
      </c>
      <c r="J1082" s="12">
        <f>DATE(2025, MATCH(E1082, {"January","February","March","April","May","June","July","August","September","October","November","December"},0),1)</f>
        <v>45901</v>
      </c>
      <c r="K1082" s="13">
        <f t="shared" si="83"/>
        <v>992.09</v>
      </c>
      <c r="L1082" s="13">
        <v>348.89304032236703</v>
      </c>
      <c r="M1082" s="14">
        <f t="shared" si="84"/>
        <v>-1.9121560304500958E-2</v>
      </c>
    </row>
    <row r="1083" spans="1:13" ht="15.5" x14ac:dyDescent="0.35">
      <c r="A1083" s="8" t="s">
        <v>82</v>
      </c>
      <c r="B1083" s="9" t="s">
        <v>14</v>
      </c>
      <c r="C1083" s="9" t="s">
        <v>29</v>
      </c>
      <c r="D1083" s="10">
        <v>842.18</v>
      </c>
      <c r="E1083" s="9" t="s">
        <v>46</v>
      </c>
      <c r="F1083" s="9" t="s">
        <v>26</v>
      </c>
      <c r="G1083" s="9" t="str">
        <f t="shared" si="80"/>
        <v>Above Averg</v>
      </c>
      <c r="H1083" s="11">
        <f t="shared" si="81"/>
        <v>905.6025925925926</v>
      </c>
      <c r="I1083" s="9">
        <f t="shared" si="82"/>
        <v>27</v>
      </c>
      <c r="J1083" s="12">
        <f>DATE(2025, MATCH(E1083, {"January","February","March","April","May","June","July","August","September","October","November","December"},0),1)</f>
        <v>45870</v>
      </c>
      <c r="K1083" s="13">
        <f t="shared" si="83"/>
        <v>22738.859999999997</v>
      </c>
      <c r="L1083" s="13">
        <v>350.00898700462</v>
      </c>
      <c r="M1083" s="14">
        <f t="shared" si="84"/>
        <v>-0.1812027546359988</v>
      </c>
    </row>
    <row r="1084" spans="1:13" ht="15.5" x14ac:dyDescent="0.35">
      <c r="A1084" s="8" t="s">
        <v>77</v>
      </c>
      <c r="B1084" s="9" t="s">
        <v>14</v>
      </c>
      <c r="C1084" s="9" t="s">
        <v>20</v>
      </c>
      <c r="D1084" s="10">
        <v>238.91</v>
      </c>
      <c r="E1084" s="9" t="s">
        <v>21</v>
      </c>
      <c r="F1084" s="9" t="s">
        <v>40</v>
      </c>
      <c r="G1084" s="9" t="str">
        <f t="shared" si="80"/>
        <v>Low Averg</v>
      </c>
      <c r="H1084" s="11">
        <f t="shared" si="81"/>
        <v>226.49633333333335</v>
      </c>
      <c r="I1084" s="9">
        <f t="shared" si="82"/>
        <v>30</v>
      </c>
      <c r="J1084" s="12">
        <f>DATE(2025, MATCH(E1084, {"January","February","March","April","May","June","July","August","September","October","November","December"},0),1)</f>
        <v>45748</v>
      </c>
      <c r="K1084" s="13">
        <f t="shared" si="83"/>
        <v>7167.3</v>
      </c>
      <c r="L1084" s="13">
        <v>342.59146174119797</v>
      </c>
      <c r="M1084" s="14">
        <f t="shared" si="84"/>
        <v>3.62346060919762E-2</v>
      </c>
    </row>
    <row r="1085" spans="1:13" ht="15.5" x14ac:dyDescent="0.35">
      <c r="A1085" s="8" t="s">
        <v>51</v>
      </c>
      <c r="B1085" s="9" t="s">
        <v>28</v>
      </c>
      <c r="C1085" s="9" t="s">
        <v>24</v>
      </c>
      <c r="D1085" s="10">
        <v>119.9</v>
      </c>
      <c r="E1085" s="9" t="s">
        <v>63</v>
      </c>
      <c r="F1085" s="9" t="s">
        <v>30</v>
      </c>
      <c r="G1085" s="9" t="str">
        <f t="shared" si="80"/>
        <v>Low Averg</v>
      </c>
      <c r="H1085" s="11">
        <f t="shared" si="81"/>
        <v>122.0377142857143</v>
      </c>
      <c r="I1085" s="9">
        <f t="shared" si="82"/>
        <v>35</v>
      </c>
      <c r="J1085" s="12">
        <f>DATE(2025, MATCH(E1085, {"January","February","March","April","May","June","July","August","September","October","November","December"},0),1)</f>
        <v>45717</v>
      </c>
      <c r="K1085" s="13">
        <f t="shared" si="83"/>
        <v>4196.5</v>
      </c>
      <c r="L1085" s="13">
        <v>349.57802305856302</v>
      </c>
      <c r="M1085" s="14">
        <f t="shared" si="84"/>
        <v>-6.1151277961091263E-3</v>
      </c>
    </row>
    <row r="1086" spans="1:13" ht="15.5" x14ac:dyDescent="0.35">
      <c r="A1086" s="8" t="s">
        <v>44</v>
      </c>
      <c r="B1086" s="9" t="s">
        <v>23</v>
      </c>
      <c r="C1086" s="9" t="s">
        <v>20</v>
      </c>
      <c r="D1086" s="10">
        <v>197.52</v>
      </c>
      <c r="E1086" s="9" t="s">
        <v>72</v>
      </c>
      <c r="F1086" s="9" t="s">
        <v>17</v>
      </c>
      <c r="G1086" s="9" t="str">
        <f t="shared" si="80"/>
        <v>Low Averg</v>
      </c>
      <c r="H1086" s="11">
        <f t="shared" si="81"/>
        <v>206.14838709677423</v>
      </c>
      <c r="I1086" s="9">
        <f t="shared" si="82"/>
        <v>31</v>
      </c>
      <c r="J1086" s="12">
        <f>DATE(2025, MATCH(E1086, {"January","February","March","April","May","June","July","August","September","October","November","December"},0),1)</f>
        <v>45901</v>
      </c>
      <c r="K1086" s="13">
        <f t="shared" si="83"/>
        <v>6123.12</v>
      </c>
      <c r="L1086" s="13">
        <v>354.23195590427201</v>
      </c>
      <c r="M1086" s="14">
        <f t="shared" si="84"/>
        <v>-2.4358014439290063E-2</v>
      </c>
    </row>
    <row r="1087" spans="1:13" ht="15.5" x14ac:dyDescent="0.35">
      <c r="A1087" s="8" t="s">
        <v>65</v>
      </c>
      <c r="B1087" s="9" t="s">
        <v>23</v>
      </c>
      <c r="C1087" s="9" t="s">
        <v>24</v>
      </c>
      <c r="D1087" s="10">
        <v>139.01</v>
      </c>
      <c r="E1087" s="9" t="s">
        <v>57</v>
      </c>
      <c r="F1087" s="9" t="s">
        <v>26</v>
      </c>
      <c r="G1087" s="9" t="str">
        <f t="shared" si="80"/>
        <v>Low Averg</v>
      </c>
      <c r="H1087" s="11">
        <f t="shared" si="81"/>
        <v>151.26457142857143</v>
      </c>
      <c r="I1087" s="9">
        <f t="shared" si="82"/>
        <v>35</v>
      </c>
      <c r="J1087" s="12">
        <f>DATE(2025, MATCH(E1087, {"January","February","March","April","May","June","July","August","September","October","November","December"},0),1)</f>
        <v>45839</v>
      </c>
      <c r="K1087" s="13">
        <f t="shared" si="83"/>
        <v>4865.3499999999995</v>
      </c>
      <c r="L1087" s="13">
        <v>361.15788709767497</v>
      </c>
      <c r="M1087" s="14">
        <f t="shared" si="84"/>
        <v>-3.3931341018331951E-2</v>
      </c>
    </row>
    <row r="1088" spans="1:13" ht="15.5" x14ac:dyDescent="0.35">
      <c r="A1088" s="8" t="s">
        <v>76</v>
      </c>
      <c r="B1088" s="9" t="s">
        <v>60</v>
      </c>
      <c r="C1088" s="9" t="s">
        <v>61</v>
      </c>
      <c r="D1088" s="10">
        <v>293.72000000000003</v>
      </c>
      <c r="E1088" s="9" t="s">
        <v>63</v>
      </c>
      <c r="F1088" s="9" t="s">
        <v>26</v>
      </c>
      <c r="G1088" s="9" t="str">
        <f t="shared" si="80"/>
        <v>Low Averg</v>
      </c>
      <c r="H1088" s="11">
        <f t="shared" si="81"/>
        <v>304.90820512820511</v>
      </c>
      <c r="I1088" s="9">
        <f t="shared" si="82"/>
        <v>39</v>
      </c>
      <c r="J1088" s="12">
        <f>DATE(2025, MATCH(E1088, {"January","February","March","April","May","June","July","August","September","October","November","December"},0),1)</f>
        <v>45717</v>
      </c>
      <c r="K1088" s="13">
        <f t="shared" si="83"/>
        <v>11455.080000000002</v>
      </c>
      <c r="L1088" s="13">
        <v>366.75342584558598</v>
      </c>
      <c r="M1088" s="14">
        <f t="shared" si="84"/>
        <v>-3.050606849113837E-2</v>
      </c>
    </row>
    <row r="1089" spans="1:13" ht="15.5" x14ac:dyDescent="0.35">
      <c r="A1089" s="8" t="s">
        <v>70</v>
      </c>
      <c r="B1089" s="9" t="s">
        <v>71</v>
      </c>
      <c r="C1089" s="9" t="s">
        <v>24</v>
      </c>
      <c r="D1089" s="10">
        <v>834.71</v>
      </c>
      <c r="E1089" s="9" t="s">
        <v>63</v>
      </c>
      <c r="F1089" s="9" t="s">
        <v>30</v>
      </c>
      <c r="G1089" s="9" t="str">
        <f t="shared" si="80"/>
        <v>Above Averg</v>
      </c>
      <c r="H1089" s="11">
        <f t="shared" si="81"/>
        <v>911.5772916666665</v>
      </c>
      <c r="I1089" s="9">
        <f t="shared" si="82"/>
        <v>48</v>
      </c>
      <c r="J1089" s="12">
        <f>DATE(2025, MATCH(E1089, {"January","February","March","April","May","June","July","August","September","October","November","December"},0),1)</f>
        <v>45717</v>
      </c>
      <c r="K1089" s="13">
        <f t="shared" si="83"/>
        <v>40066.080000000002</v>
      </c>
      <c r="L1089" s="13">
        <v>376.29010506546098</v>
      </c>
      <c r="M1089" s="14">
        <f t="shared" si="84"/>
        <v>-0.20427667544777536</v>
      </c>
    </row>
    <row r="1090" spans="1:13" ht="15.5" x14ac:dyDescent="0.35">
      <c r="A1090" s="8" t="s">
        <v>68</v>
      </c>
      <c r="B1090" s="9" t="s">
        <v>28</v>
      </c>
      <c r="C1090" s="9" t="s">
        <v>61</v>
      </c>
      <c r="D1090" s="10">
        <v>105.82</v>
      </c>
      <c r="E1090" s="9" t="s">
        <v>35</v>
      </c>
      <c r="F1090" s="9" t="s">
        <v>26</v>
      </c>
      <c r="G1090" s="9" t="str">
        <f t="shared" si="80"/>
        <v>Low Averg</v>
      </c>
      <c r="H1090" s="11">
        <f t="shared" si="81"/>
        <v>102.25285714285715</v>
      </c>
      <c r="I1090" s="9">
        <f t="shared" si="82"/>
        <v>28</v>
      </c>
      <c r="J1090" s="12">
        <f>DATE(2025, MATCH(E1090, {"January","February","March","April","May","June","July","August","September","October","November","December"},0),1)</f>
        <v>45778</v>
      </c>
      <c r="K1090" s="13">
        <f t="shared" si="83"/>
        <v>2962.96</v>
      </c>
      <c r="L1090" s="13">
        <v>370.19644505634199</v>
      </c>
      <c r="M1090" s="14">
        <f t="shared" si="84"/>
        <v>9.63581067505913E-3</v>
      </c>
    </row>
    <row r="1091" spans="1:13" ht="15.5" x14ac:dyDescent="0.35">
      <c r="A1091" s="8" t="s">
        <v>77</v>
      </c>
      <c r="B1091" s="9" t="s">
        <v>14</v>
      </c>
      <c r="C1091" s="9" t="s">
        <v>69</v>
      </c>
      <c r="D1091" s="10">
        <v>255.39</v>
      </c>
      <c r="E1091" s="9" t="s">
        <v>21</v>
      </c>
      <c r="F1091" s="9" t="s">
        <v>30</v>
      </c>
      <c r="G1091" s="9" t="str">
        <f t="shared" si="80"/>
        <v>Low Averg</v>
      </c>
      <c r="H1091" s="11">
        <f t="shared" si="81"/>
        <v>226.49633333333335</v>
      </c>
      <c r="I1091" s="9">
        <f t="shared" si="82"/>
        <v>30</v>
      </c>
      <c r="J1091" s="12">
        <f>DATE(2025, MATCH(E1091, {"January","February","March","April","May","June","July","August","September","October","November","December"},0),1)</f>
        <v>45748</v>
      </c>
      <c r="K1091" s="13">
        <f t="shared" si="83"/>
        <v>7661.7</v>
      </c>
      <c r="L1091" s="13">
        <v>376.21122011014597</v>
      </c>
      <c r="M1091" s="14">
        <f t="shared" si="84"/>
        <v>7.6801714361967283E-2</v>
      </c>
    </row>
    <row r="1092" spans="1:13" ht="15.5" x14ac:dyDescent="0.35">
      <c r="A1092" s="8" t="s">
        <v>51</v>
      </c>
      <c r="B1092" s="9" t="s">
        <v>28</v>
      </c>
      <c r="C1092" s="9" t="s">
        <v>43</v>
      </c>
      <c r="D1092" s="10">
        <v>126.23</v>
      </c>
      <c r="E1092" s="9" t="s">
        <v>46</v>
      </c>
      <c r="F1092" s="9" t="s">
        <v>17</v>
      </c>
      <c r="G1092" s="9" t="str">
        <f t="shared" si="80"/>
        <v>Low Averg</v>
      </c>
      <c r="H1092" s="11">
        <f t="shared" si="81"/>
        <v>122.0377142857143</v>
      </c>
      <c r="I1092" s="9">
        <f t="shared" si="82"/>
        <v>35</v>
      </c>
      <c r="J1092" s="12">
        <f>DATE(2025, MATCH(E1092, {"January","February","March","April","May","June","July","August","September","October","November","December"},0),1)</f>
        <v>45870</v>
      </c>
      <c r="K1092" s="13">
        <f t="shared" si="83"/>
        <v>4418.05</v>
      </c>
      <c r="L1092" s="13">
        <v>387.37941221968202</v>
      </c>
      <c r="M1092" s="14">
        <f t="shared" si="84"/>
        <v>1.0822169640518393E-2</v>
      </c>
    </row>
    <row r="1093" spans="1:13" ht="15.5" x14ac:dyDescent="0.35">
      <c r="A1093" s="8" t="s">
        <v>74</v>
      </c>
      <c r="B1093" s="9" t="s">
        <v>38</v>
      </c>
      <c r="C1093" s="9" t="s">
        <v>43</v>
      </c>
      <c r="D1093" s="10">
        <v>368.42</v>
      </c>
      <c r="E1093" s="9" t="s">
        <v>55</v>
      </c>
      <c r="F1093" s="9" t="s">
        <v>30</v>
      </c>
      <c r="G1093" s="9" t="str">
        <f t="shared" si="80"/>
        <v>Low Averg</v>
      </c>
      <c r="H1093" s="11">
        <f t="shared" si="81"/>
        <v>368.73933333333326</v>
      </c>
      <c r="I1093" s="9">
        <f t="shared" si="82"/>
        <v>30</v>
      </c>
      <c r="J1093" s="12">
        <f>DATE(2025, MATCH(E1093, {"January","February","March","April","May","June","July","August","September","October","November","December"},0),1)</f>
        <v>45962</v>
      </c>
      <c r="K1093" s="13">
        <f t="shared" si="83"/>
        <v>11052.6</v>
      </c>
      <c r="L1093" s="13">
        <v>395.02029476254199</v>
      </c>
      <c r="M1093" s="14">
        <f t="shared" si="84"/>
        <v>-8.0839728380337509E-4</v>
      </c>
    </row>
    <row r="1094" spans="1:13" ht="15.5" x14ac:dyDescent="0.35">
      <c r="A1094" s="8" t="s">
        <v>27</v>
      </c>
      <c r="B1094" s="9" t="s">
        <v>28</v>
      </c>
      <c r="C1094" s="9" t="s">
        <v>49</v>
      </c>
      <c r="D1094" s="10">
        <v>122.15</v>
      </c>
      <c r="E1094" s="9" t="s">
        <v>25</v>
      </c>
      <c r="F1094" s="9" t="s">
        <v>36</v>
      </c>
      <c r="G1094" s="9" t="str">
        <f t="shared" si="80"/>
        <v>Low Averg</v>
      </c>
      <c r="H1094" s="11">
        <f t="shared" si="81"/>
        <v>113.26108695652174</v>
      </c>
      <c r="I1094" s="9">
        <f t="shared" si="82"/>
        <v>46</v>
      </c>
      <c r="J1094" s="12">
        <f>DATE(2025, MATCH(E1094, {"January","February","March","April","May","June","July","August","September","October","November","December"},0),1)</f>
        <v>45931</v>
      </c>
      <c r="K1094" s="13">
        <f t="shared" si="83"/>
        <v>5618.9000000000005</v>
      </c>
      <c r="L1094" s="13">
        <v>409.87461322114899</v>
      </c>
      <c r="M1094" s="14">
        <f t="shared" si="84"/>
        <v>2.1686908036634683E-2</v>
      </c>
    </row>
    <row r="1095" spans="1:13" ht="15.5" x14ac:dyDescent="0.35">
      <c r="A1095" s="8" t="s">
        <v>58</v>
      </c>
      <c r="B1095" s="9" t="s">
        <v>23</v>
      </c>
      <c r="C1095" s="9" t="s">
        <v>20</v>
      </c>
      <c r="D1095" s="10">
        <v>127.05</v>
      </c>
      <c r="E1095" s="9" t="s">
        <v>57</v>
      </c>
      <c r="F1095" s="9" t="s">
        <v>40</v>
      </c>
      <c r="G1095" s="9" t="str">
        <f t="shared" si="80"/>
        <v>Low Averg</v>
      </c>
      <c r="H1095" s="11">
        <f t="shared" si="81"/>
        <v>121.60903225806452</v>
      </c>
      <c r="I1095" s="9">
        <f t="shared" si="82"/>
        <v>31</v>
      </c>
      <c r="J1095" s="12">
        <f>DATE(2025, MATCH(E1095, {"January","February","March","April","May","June","July","August","September","October","November","December"},0),1)</f>
        <v>45839</v>
      </c>
      <c r="K1095" s="13">
        <f t="shared" si="83"/>
        <v>3938.5499999999997</v>
      </c>
      <c r="L1095" s="13">
        <v>418.76547393530001</v>
      </c>
      <c r="M1095" s="14">
        <f t="shared" si="84"/>
        <v>1.2992875680042619E-2</v>
      </c>
    </row>
    <row r="1096" spans="1:13" ht="15.5" x14ac:dyDescent="0.35">
      <c r="A1096" s="8" t="s">
        <v>76</v>
      </c>
      <c r="B1096" s="9" t="s">
        <v>60</v>
      </c>
      <c r="C1096" s="9" t="s">
        <v>45</v>
      </c>
      <c r="D1096" s="10">
        <v>312.52999999999997</v>
      </c>
      <c r="E1096" s="9" t="s">
        <v>62</v>
      </c>
      <c r="F1096" s="9" t="s">
        <v>36</v>
      </c>
      <c r="G1096" s="9" t="str">
        <f t="shared" ref="G1096:G1107" si="85">IF(D1096&gt;AVERAGE(D:D),"Above Averg","Low Averg")</f>
        <v>Low Averg</v>
      </c>
      <c r="H1096" s="11">
        <f t="shared" ref="H1096:H1107" si="86">AVERAGEIF(A:A,A1096,D:D)</f>
        <v>304.90820512820511</v>
      </c>
      <c r="I1096" s="9">
        <f t="shared" ref="I1096:I1107" si="87">COUNTIF(A:A,A1096)</f>
        <v>39</v>
      </c>
      <c r="J1096" s="12">
        <f>DATE(2025, MATCH(E1096, {"January","February","March","April","May","June","July","August","September","October","November","December"},0),1)</f>
        <v>45689</v>
      </c>
      <c r="K1096" s="13">
        <f t="shared" ref="K1096:K1107" si="88">1*(D1096*I1096)</f>
        <v>12188.669999999998</v>
      </c>
      <c r="L1096" s="13">
        <v>427.955206480524</v>
      </c>
      <c r="M1096" s="14">
        <f t="shared" ref="M1096:M1107" si="89">(D1096-H1096)/L1096</f>
        <v>1.7809795876713386E-2</v>
      </c>
    </row>
    <row r="1097" spans="1:13" ht="15.5" x14ac:dyDescent="0.35">
      <c r="A1097" s="8" t="s">
        <v>50</v>
      </c>
      <c r="B1097" s="9" t="s">
        <v>32</v>
      </c>
      <c r="C1097" s="9" t="s">
        <v>29</v>
      </c>
      <c r="D1097" s="10">
        <v>86.92</v>
      </c>
      <c r="E1097" s="9" t="s">
        <v>39</v>
      </c>
      <c r="F1097" s="9" t="s">
        <v>30</v>
      </c>
      <c r="G1097" s="9" t="str">
        <f t="shared" si="85"/>
        <v>Low Averg</v>
      </c>
      <c r="H1097" s="11">
        <f t="shared" si="86"/>
        <v>81.934666666666672</v>
      </c>
      <c r="I1097" s="9">
        <f t="shared" si="87"/>
        <v>30</v>
      </c>
      <c r="J1097" s="12">
        <f>DATE(2025, MATCH(E1097, {"January","February","March","April","May","June","July","August","September","October","November","December"},0),1)</f>
        <v>45992</v>
      </c>
      <c r="K1097" s="13">
        <f t="shared" si="88"/>
        <v>2607.6</v>
      </c>
      <c r="L1097" s="13">
        <v>446.8981941134</v>
      </c>
      <c r="M1097" s="14">
        <f t="shared" si="89"/>
        <v>1.1155411677650023E-2</v>
      </c>
    </row>
    <row r="1098" spans="1:13" ht="15.5" x14ac:dyDescent="0.35">
      <c r="A1098" s="8" t="s">
        <v>67</v>
      </c>
      <c r="B1098" s="9" t="s">
        <v>23</v>
      </c>
      <c r="C1098" s="9" t="s">
        <v>34</v>
      </c>
      <c r="D1098" s="10">
        <v>200.92</v>
      </c>
      <c r="E1098" s="9" t="s">
        <v>46</v>
      </c>
      <c r="F1098" s="9" t="s">
        <v>26</v>
      </c>
      <c r="G1098" s="9" t="str">
        <f t="shared" si="85"/>
        <v>Low Averg</v>
      </c>
      <c r="H1098" s="11">
        <f t="shared" si="86"/>
        <v>226.566129032258</v>
      </c>
      <c r="I1098" s="9">
        <f t="shared" si="87"/>
        <v>31</v>
      </c>
      <c r="J1098" s="12">
        <f>DATE(2025, MATCH(E1098, {"January","February","March","April","May","June","July","August","September","October","November","December"},0),1)</f>
        <v>45870</v>
      </c>
      <c r="K1098" s="13">
        <f t="shared" si="88"/>
        <v>6228.5199999999995</v>
      </c>
      <c r="L1098" s="13">
        <v>453.60975557802499</v>
      </c>
      <c r="M1098" s="14">
        <f t="shared" si="89"/>
        <v>-5.6537869207812154E-2</v>
      </c>
    </row>
    <row r="1099" spans="1:13" ht="15.5" x14ac:dyDescent="0.35">
      <c r="A1099" s="8" t="s">
        <v>13</v>
      </c>
      <c r="B1099" s="9" t="s">
        <v>14</v>
      </c>
      <c r="C1099" s="9" t="s">
        <v>45</v>
      </c>
      <c r="D1099" s="10">
        <v>201.47</v>
      </c>
      <c r="E1099" s="9" t="s">
        <v>39</v>
      </c>
      <c r="F1099" s="9" t="s">
        <v>26</v>
      </c>
      <c r="G1099" s="9" t="str">
        <f t="shared" si="85"/>
        <v>Low Averg</v>
      </c>
      <c r="H1099" s="11">
        <f t="shared" si="86"/>
        <v>206.78702702702708</v>
      </c>
      <c r="I1099" s="9">
        <f t="shared" si="87"/>
        <v>37</v>
      </c>
      <c r="J1099" s="12">
        <f>DATE(2025, MATCH(E1099, {"January","February","March","April","May","June","July","August","September","October","November","December"},0),1)</f>
        <v>45992</v>
      </c>
      <c r="K1099" s="13">
        <f t="shared" si="88"/>
        <v>7454.39</v>
      </c>
      <c r="L1099" s="13">
        <v>469.18629199332401</v>
      </c>
      <c r="M1099" s="14">
        <f t="shared" si="89"/>
        <v>-1.1332443248582241E-2</v>
      </c>
    </row>
    <row r="1100" spans="1:13" ht="15.5" x14ac:dyDescent="0.35">
      <c r="A1100" s="8" t="s">
        <v>53</v>
      </c>
      <c r="B1100" s="9" t="s">
        <v>54</v>
      </c>
      <c r="C1100" s="9" t="s">
        <v>20</v>
      </c>
      <c r="D1100" s="10">
        <v>920.87</v>
      </c>
      <c r="E1100" s="9" t="s">
        <v>21</v>
      </c>
      <c r="F1100" s="9" t="s">
        <v>30</v>
      </c>
      <c r="G1100" s="9" t="str">
        <f t="shared" si="85"/>
        <v>Above Averg</v>
      </c>
      <c r="H1100" s="11">
        <f t="shared" si="86"/>
        <v>810.77454545454566</v>
      </c>
      <c r="I1100" s="9">
        <f t="shared" si="87"/>
        <v>33</v>
      </c>
      <c r="J1100" s="12">
        <f>DATE(2025, MATCH(E1100, {"January","February","March","April","May","June","July","August","September","October","November","December"},0),1)</f>
        <v>45748</v>
      </c>
      <c r="K1100" s="13">
        <f t="shared" si="88"/>
        <v>30388.71</v>
      </c>
      <c r="L1100" s="13">
        <v>485.21221783985499</v>
      </c>
      <c r="M1100" s="14">
        <f t="shared" si="89"/>
        <v>0.22690165353954775</v>
      </c>
    </row>
    <row r="1101" spans="1:13" ht="15.5" x14ac:dyDescent="0.35">
      <c r="A1101" s="8" t="s">
        <v>37</v>
      </c>
      <c r="B1101" s="9" t="s">
        <v>38</v>
      </c>
      <c r="C1101" s="9" t="s">
        <v>15</v>
      </c>
      <c r="D1101" s="10">
        <v>1043.5999999999999</v>
      </c>
      <c r="E1101" s="9" t="s">
        <v>57</v>
      </c>
      <c r="F1101" s="9" t="s">
        <v>30</v>
      </c>
      <c r="G1101" s="9" t="str">
        <f t="shared" si="85"/>
        <v>Above Averg</v>
      </c>
      <c r="H1101" s="11">
        <f t="shared" si="86"/>
        <v>1024.1451428571424</v>
      </c>
      <c r="I1101" s="9">
        <f t="shared" si="87"/>
        <v>35</v>
      </c>
      <c r="J1101" s="12">
        <f>DATE(2025, MATCH(E1101, {"January","February","March","April","May","June","July","August","September","October","November","December"},0),1)</f>
        <v>45839</v>
      </c>
      <c r="K1101" s="13">
        <f t="shared" si="88"/>
        <v>36526</v>
      </c>
      <c r="L1101" s="13">
        <v>499.60578972683197</v>
      </c>
      <c r="M1101" s="14">
        <f t="shared" si="89"/>
        <v>3.8940415709543201E-2</v>
      </c>
    </row>
    <row r="1102" spans="1:13" ht="15.5" x14ac:dyDescent="0.35">
      <c r="A1102" s="8" t="s">
        <v>70</v>
      </c>
      <c r="B1102" s="9" t="s">
        <v>71</v>
      </c>
      <c r="C1102" s="9" t="s">
        <v>61</v>
      </c>
      <c r="D1102" s="10">
        <v>928.38</v>
      </c>
      <c r="E1102" s="9" t="s">
        <v>39</v>
      </c>
      <c r="F1102" s="9" t="s">
        <v>26</v>
      </c>
      <c r="G1102" s="9" t="str">
        <f t="shared" si="85"/>
        <v>Above Averg</v>
      </c>
      <c r="H1102" s="11">
        <f t="shared" si="86"/>
        <v>911.5772916666665</v>
      </c>
      <c r="I1102" s="9">
        <f t="shared" si="87"/>
        <v>48</v>
      </c>
      <c r="J1102" s="12">
        <f>DATE(2025, MATCH(E1102, {"January","February","March","April","May","June","July","August","September","October","November","December"},0),1)</f>
        <v>45992</v>
      </c>
      <c r="K1102" s="13">
        <f t="shared" si="88"/>
        <v>44562.239999999998</v>
      </c>
      <c r="L1102" s="13">
        <v>481.83738537671297</v>
      </c>
      <c r="M1102" s="14">
        <f t="shared" si="89"/>
        <v>3.4872155717424677E-2</v>
      </c>
    </row>
    <row r="1103" spans="1:13" ht="15.5" x14ac:dyDescent="0.35">
      <c r="A1103" s="8" t="s">
        <v>31</v>
      </c>
      <c r="B1103" s="9" t="s">
        <v>32</v>
      </c>
      <c r="C1103" s="9" t="s">
        <v>69</v>
      </c>
      <c r="D1103" s="10">
        <v>113.06</v>
      </c>
      <c r="E1103" s="9" t="s">
        <v>62</v>
      </c>
      <c r="F1103" s="9" t="s">
        <v>26</v>
      </c>
      <c r="G1103" s="9" t="str">
        <f t="shared" si="85"/>
        <v>Low Averg</v>
      </c>
      <c r="H1103" s="11">
        <f t="shared" si="86"/>
        <v>123.43305555555558</v>
      </c>
      <c r="I1103" s="9">
        <f t="shared" si="87"/>
        <v>36</v>
      </c>
      <c r="J1103" s="12">
        <f>DATE(2025, MATCH(E1103, {"January","February","March","April","May","June","July","August","September","October","November","December"},0),1)</f>
        <v>45689</v>
      </c>
      <c r="K1103" s="13">
        <f t="shared" si="88"/>
        <v>4070.16</v>
      </c>
      <c r="L1103" s="13">
        <v>460.08863479768797</v>
      </c>
      <c r="M1103" s="14">
        <f t="shared" si="89"/>
        <v>-2.2545776554808536E-2</v>
      </c>
    </row>
    <row r="1104" spans="1:13" ht="15.5" x14ac:dyDescent="0.35">
      <c r="A1104" s="8" t="s">
        <v>51</v>
      </c>
      <c r="B1104" s="9" t="s">
        <v>28</v>
      </c>
      <c r="C1104" s="9" t="s">
        <v>49</v>
      </c>
      <c r="D1104" s="10">
        <v>112.63</v>
      </c>
      <c r="E1104" s="9" t="s">
        <v>57</v>
      </c>
      <c r="F1104" s="9" t="s">
        <v>36</v>
      </c>
      <c r="G1104" s="9" t="str">
        <f t="shared" si="85"/>
        <v>Low Averg</v>
      </c>
      <c r="H1104" s="11">
        <f t="shared" si="86"/>
        <v>122.0377142857143</v>
      </c>
      <c r="I1104" s="9">
        <f t="shared" si="87"/>
        <v>35</v>
      </c>
      <c r="J1104" s="12">
        <f>DATE(2025, MATCH(E1104, {"January","February","March","April","May","June","July","August","September","October","November","December"},0),1)</f>
        <v>45839</v>
      </c>
      <c r="K1104" s="13">
        <f t="shared" si="88"/>
        <v>3942.0499999999997</v>
      </c>
      <c r="L1104" s="13">
        <v>515.11741525597802</v>
      </c>
      <c r="M1104" s="14">
        <f t="shared" si="89"/>
        <v>-1.8263242528966561E-2</v>
      </c>
    </row>
    <row r="1105" spans="1:13" ht="15.5" x14ac:dyDescent="0.35">
      <c r="A1105" s="8" t="s">
        <v>50</v>
      </c>
      <c r="B1105" s="9" t="s">
        <v>32</v>
      </c>
      <c r="C1105" s="9" t="s">
        <v>61</v>
      </c>
      <c r="D1105" s="10">
        <v>74.989999999999995</v>
      </c>
      <c r="E1105" s="9" t="s">
        <v>35</v>
      </c>
      <c r="F1105" s="9" t="s">
        <v>36</v>
      </c>
      <c r="G1105" s="9" t="str">
        <f t="shared" si="85"/>
        <v>Low Averg</v>
      </c>
      <c r="H1105" s="11">
        <f t="shared" si="86"/>
        <v>81.934666666666672</v>
      </c>
      <c r="I1105" s="9">
        <f t="shared" si="87"/>
        <v>30</v>
      </c>
      <c r="J1105" s="12">
        <f>DATE(2025, MATCH(E1105, {"January","February","March","April","May","June","July","August","September","October","November","December"},0),1)</f>
        <v>45778</v>
      </c>
      <c r="K1105" s="13">
        <f t="shared" si="88"/>
        <v>2249.6999999999998</v>
      </c>
      <c r="L1105" s="13">
        <v>596.35073005181596</v>
      </c>
      <c r="M1105" s="14">
        <f t="shared" si="89"/>
        <v>-1.1645272348477323E-2</v>
      </c>
    </row>
    <row r="1106" spans="1:13" ht="15.5" x14ac:dyDescent="0.35">
      <c r="A1106" s="8" t="s">
        <v>58</v>
      </c>
      <c r="B1106" s="9" t="s">
        <v>23</v>
      </c>
      <c r="C1106" s="9" t="s">
        <v>45</v>
      </c>
      <c r="D1106" s="10">
        <v>134.91999999999999</v>
      </c>
      <c r="E1106" s="9" t="s">
        <v>72</v>
      </c>
      <c r="F1106" s="9" t="s">
        <v>17</v>
      </c>
      <c r="G1106" s="9" t="str">
        <f t="shared" si="85"/>
        <v>Low Averg</v>
      </c>
      <c r="H1106" s="11">
        <f t="shared" si="86"/>
        <v>121.60903225806452</v>
      </c>
      <c r="I1106" s="9">
        <f t="shared" si="87"/>
        <v>31</v>
      </c>
      <c r="J1106" s="12">
        <f>DATE(2025, MATCH(E1106, {"January","February","March","April","May","June","July","August","September","October","November","December"},0),1)</f>
        <v>45901</v>
      </c>
      <c r="K1106" s="13">
        <f t="shared" si="88"/>
        <v>4182.5199999999995</v>
      </c>
      <c r="L1106" s="13">
        <v>708.26643630769297</v>
      </c>
      <c r="M1106" s="14">
        <f t="shared" si="89"/>
        <v>1.8793729392751816E-2</v>
      </c>
    </row>
    <row r="1107" spans="1:13" ht="15.5" x14ac:dyDescent="0.35">
      <c r="A1107" s="8" t="s">
        <v>37</v>
      </c>
      <c r="B1107" s="9" t="s">
        <v>38</v>
      </c>
      <c r="C1107" s="9" t="s">
        <v>43</v>
      </c>
      <c r="D1107" s="10">
        <v>1136.56</v>
      </c>
      <c r="E1107" s="9" t="s">
        <v>39</v>
      </c>
      <c r="F1107" s="9" t="s">
        <v>40</v>
      </c>
      <c r="G1107" s="9" t="str">
        <f t="shared" si="85"/>
        <v>Above Averg</v>
      </c>
      <c r="H1107" s="11">
        <f t="shared" si="86"/>
        <v>1024.1451428571424</v>
      </c>
      <c r="I1107" s="9">
        <f t="shared" si="87"/>
        <v>35</v>
      </c>
      <c r="J1107" s="12">
        <f>DATE(2025, MATCH(E1107, {"January","February","March","April","May","June","July","August","September","October","November","December"},0),1)</f>
        <v>45992</v>
      </c>
      <c r="K1107" s="13">
        <f t="shared" si="88"/>
        <v>39779.599999999999</v>
      </c>
      <c r="L1107" s="13">
        <v>708.26643630769297</v>
      </c>
      <c r="M1107" s="14">
        <f t="shared" si="89"/>
        <v>0.15871831754289284</v>
      </c>
    </row>
  </sheetData>
  <conditionalFormatting sqref="H8:H1107">
    <cfRule type="cellIs" dxfId="1" priority="3" operator="greaterThan">
      <formula>"Rs 638"</formula>
    </cfRule>
    <cfRule type="cellIs" dxfId="0" priority="2" operator="greaterThan">
      <formula>"Rs 638&gt;900"</formula>
    </cfRule>
    <cfRule type="colorScale" priority="1">
      <colorScale>
        <cfvo type="min"/>
        <cfvo type="percentile" val="50"/>
        <cfvo type="max"/>
        <color rgb="FFF8696B"/>
        <color rgb="FFFCFCFF"/>
        <color rgb="FF63BE7B"/>
      </colorScale>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89395-BBD3-4DAC-8CCB-7DE9D3A4DA4B}">
  <sheetPr>
    <tabColor rgb="FF92D050"/>
  </sheetPr>
  <dimension ref="B2:C15"/>
  <sheetViews>
    <sheetView showGridLines="0" tabSelected="1" workbookViewId="0">
      <selection activeCell="N8" sqref="N8"/>
    </sheetView>
  </sheetViews>
  <sheetFormatPr defaultRowHeight="14.5" x14ac:dyDescent="0.35"/>
  <cols>
    <col min="2" max="2" width="10.7265625" bestFit="1" customWidth="1"/>
    <col min="3" max="3" width="14.36328125" bestFit="1" customWidth="1"/>
  </cols>
  <sheetData>
    <row r="2" spans="2:3" x14ac:dyDescent="0.35">
      <c r="B2" s="1" t="s">
        <v>4</v>
      </c>
      <c r="C2" t="s">
        <v>85</v>
      </c>
    </row>
    <row r="3" spans="2:3" x14ac:dyDescent="0.35">
      <c r="B3" t="s">
        <v>42</v>
      </c>
      <c r="C3" s="2">
        <v>1158351.2700000003</v>
      </c>
    </row>
    <row r="4" spans="2:3" x14ac:dyDescent="0.35">
      <c r="B4" t="s">
        <v>62</v>
      </c>
      <c r="C4" s="2">
        <v>1001922.1199999996</v>
      </c>
    </row>
    <row r="5" spans="2:3" x14ac:dyDescent="0.35">
      <c r="B5" t="s">
        <v>63</v>
      </c>
      <c r="C5" s="2">
        <v>919488.89</v>
      </c>
    </row>
    <row r="6" spans="2:3" x14ac:dyDescent="0.35">
      <c r="B6" t="s">
        <v>21</v>
      </c>
      <c r="C6" s="2">
        <v>1177174.5800000003</v>
      </c>
    </row>
    <row r="7" spans="2:3" x14ac:dyDescent="0.35">
      <c r="B7" t="s">
        <v>35</v>
      </c>
      <c r="C7" s="2">
        <v>822854.23999999976</v>
      </c>
    </row>
    <row r="8" spans="2:3" x14ac:dyDescent="0.35">
      <c r="B8" t="s">
        <v>16</v>
      </c>
      <c r="C8" s="2">
        <v>1386892.4299999995</v>
      </c>
    </row>
    <row r="9" spans="2:3" x14ac:dyDescent="0.35">
      <c r="B9" t="s">
        <v>57</v>
      </c>
      <c r="C9" s="2">
        <v>1228469.1900000002</v>
      </c>
    </row>
    <row r="10" spans="2:3" x14ac:dyDescent="0.35">
      <c r="B10" t="s">
        <v>46</v>
      </c>
      <c r="C10" s="2">
        <v>1068701.0300000003</v>
      </c>
    </row>
    <row r="11" spans="2:3" x14ac:dyDescent="0.35">
      <c r="B11" t="s">
        <v>72</v>
      </c>
      <c r="C11" s="2">
        <v>1051446.9699999997</v>
      </c>
    </row>
    <row r="12" spans="2:3" x14ac:dyDescent="0.35">
      <c r="B12" t="s">
        <v>25</v>
      </c>
      <c r="C12" s="2">
        <v>1052116.2599999995</v>
      </c>
    </row>
    <row r="13" spans="2:3" x14ac:dyDescent="0.35">
      <c r="B13" t="s">
        <v>55</v>
      </c>
      <c r="C13" s="2">
        <v>1197932.9300000002</v>
      </c>
    </row>
    <row r="14" spans="2:3" x14ac:dyDescent="0.35">
      <c r="B14" t="s">
        <v>39</v>
      </c>
      <c r="C14" s="2">
        <v>1357713.7500000005</v>
      </c>
    </row>
    <row r="15" spans="2:3" x14ac:dyDescent="0.35">
      <c r="B15" t="s">
        <v>84</v>
      </c>
      <c r="C15" s="2">
        <v>13423063.659999998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Cleaned_Data-pK</vt:lpstr>
      <vt:lpstr>Pivot_Table pk 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watsala innocent</dc:creator>
  <cp:lastModifiedBy>watsala innocent</cp:lastModifiedBy>
  <dcterms:created xsi:type="dcterms:W3CDTF">2026-03-05T09:59:39Z</dcterms:created>
  <dcterms:modified xsi:type="dcterms:W3CDTF">2026-03-05T15:10:26Z</dcterms:modified>
</cp:coreProperties>
</file>