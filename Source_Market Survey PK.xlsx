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Videos\"/>
    </mc:Choice>
  </mc:AlternateContent>
  <xr:revisionPtr revIDLastSave="0" documentId="8_{3FA89480-B048-4F9A-9454-4251DA47AD4B}" xr6:coauthVersionLast="47" xr6:coauthVersionMax="47" xr10:uidLastSave="{00000000-0000-0000-0000-000000000000}"/>
  <bookViews>
    <workbookView xWindow="-110" yWindow="-110" windowWidth="19420" windowHeight="11020" xr2:uid="{70735A26-DABD-418E-A0D0-253FACC6585E}"/>
  </bookViews>
  <sheets>
    <sheet name="Source_Market_Survey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P19" i="1"/>
  <c r="L19" i="1"/>
  <c r="H19" i="1"/>
  <c r="D19" i="1"/>
  <c r="U18" i="1"/>
  <c r="Q18" i="1"/>
  <c r="M18" i="1"/>
  <c r="I18" i="1"/>
  <c r="E18" i="1"/>
  <c r="U17" i="1"/>
  <c r="Q17" i="1"/>
  <c r="M17" i="1"/>
  <c r="I17" i="1"/>
  <c r="E17" i="1"/>
  <c r="U16" i="1"/>
  <c r="Q16" i="1"/>
  <c r="M16" i="1"/>
  <c r="I16" i="1"/>
  <c r="E16" i="1"/>
  <c r="U15" i="1"/>
  <c r="Q15" i="1"/>
  <c r="M15" i="1"/>
  <c r="I15" i="1"/>
  <c r="E15" i="1"/>
  <c r="U14" i="1"/>
  <c r="Q14" i="1"/>
  <c r="M14" i="1"/>
  <c r="I14" i="1"/>
  <c r="E14" i="1"/>
  <c r="U13" i="1"/>
  <c r="Q13" i="1"/>
  <c r="M13" i="1"/>
  <c r="I13" i="1"/>
  <c r="E13" i="1"/>
  <c r="Y12" i="1"/>
  <c r="U12" i="1"/>
  <c r="Q12" i="1"/>
  <c r="M12" i="1"/>
  <c r="I12" i="1"/>
  <c r="E12" i="1"/>
  <c r="Y11" i="1"/>
  <c r="U11" i="1"/>
  <c r="Q11" i="1"/>
  <c r="M11" i="1"/>
  <c r="I11" i="1"/>
  <c r="E11" i="1"/>
  <c r="Y10" i="1"/>
  <c r="U10" i="1"/>
  <c r="Q10" i="1"/>
  <c r="M10" i="1"/>
  <c r="I10" i="1"/>
  <c r="E10" i="1"/>
  <c r="Y9" i="1"/>
  <c r="U9" i="1"/>
  <c r="Q9" i="1"/>
  <c r="M9" i="1"/>
  <c r="I9" i="1"/>
  <c r="E9" i="1"/>
  <c r="Y8" i="1"/>
</calcChain>
</file>

<file path=xl/sharedStrings.xml><?xml version="1.0" encoding="utf-8"?>
<sst xmlns="http://schemas.openxmlformats.org/spreadsheetml/2006/main" count="78" uniqueCount="25">
  <si>
    <t>Source_Survey</t>
  </si>
  <si>
    <t>Price_Per kg</t>
  </si>
  <si>
    <t>Rank</t>
  </si>
  <si>
    <t>Average of Price_per_Kg</t>
  </si>
  <si>
    <t>(%)</t>
  </si>
  <si>
    <t>Local Market Survey</t>
  </si>
  <si>
    <t>Municipal Report</t>
  </si>
  <si>
    <t>Faisalabad</t>
  </si>
  <si>
    <t>Online Retailer</t>
  </si>
  <si>
    <t>Retailer Listing</t>
  </si>
  <si>
    <t>Wholesale Market</t>
  </si>
  <si>
    <t>Hyderabad</t>
  </si>
  <si>
    <t>Islamabad</t>
  </si>
  <si>
    <t>Karachi</t>
  </si>
  <si>
    <t>Lahore</t>
  </si>
  <si>
    <t>Multan</t>
  </si>
  <si>
    <t>Peshawar</t>
  </si>
  <si>
    <t>Quetta</t>
  </si>
  <si>
    <t>Rawalpindi</t>
  </si>
  <si>
    <t>Sialkot</t>
  </si>
  <si>
    <t>Municipal Report Total</t>
  </si>
  <si>
    <t>Local Market Survey Total</t>
  </si>
  <si>
    <t>Online Retailer Total</t>
  </si>
  <si>
    <t>Retailer Listing Total</t>
  </si>
  <si>
    <t>Wholesale Market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</si>
</sst>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s-420]\ #,##0"/>
  </numFmts>
  <fonts count="3" x14ac:knownFonts="1">
    <font>
      <sz val="11"/>
      <color theme="1"/>
      <name val="Calibri"/>
      <family val="2"/>
    </font>
    <font>
      <b/>
      <sz val="11"/>
      <color theme="1"/>
      <name val="Aptos Narrow"/>
      <family val="2"/>
      <charset val="1"/>
    </font>
    <font>
      <sz val="11"/>
      <color theme="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79989013336588644"/>
        <bgColor rgb="FFF2CFEE"/>
      </patternFill>
    </fill>
    <fill>
      <patternFill patternType="solid">
        <fgColor theme="1"/>
        <bgColor rgb="FF1A2332"/>
      </patternFill>
    </fill>
    <fill>
      <patternFill patternType="solid">
        <fgColor theme="9"/>
        <bgColor rgb="FF459428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/>
    <xf numFmtId="0" fontId="0" fillId="4" borderId="1" xfId="0" applyFill="1" applyBorder="1"/>
    <xf numFmtId="164" fontId="0" fillId="4" borderId="1" xfId="0" applyNumberFormat="1" applyFill="1" applyBorder="1"/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0" fontId="0" fillId="4" borderId="4" xfId="0" applyFill="1" applyBorder="1"/>
    <xf numFmtId="10" fontId="0" fillId="4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C9B3-08E7-4D7E-868E-F63830D0CF59}">
  <dimension ref="B6:Y56"/>
  <sheetViews>
    <sheetView showGridLines="0" tabSelected="1" workbookViewId="0">
      <selection activeCell="H6" sqref="H6"/>
    </sheetView>
  </sheetViews>
  <sheetFormatPr defaultColWidth="8.54296875" defaultRowHeight="14.5" x14ac:dyDescent="0.35"/>
  <cols>
    <col min="1" max="1" width="2.08984375" customWidth="1"/>
    <col min="2" max="2" width="18.90625" customWidth="1"/>
    <col min="3" max="3" width="9.6328125" customWidth="1"/>
    <col min="4" max="4" width="20.08984375" customWidth="1"/>
    <col min="5" max="5" width="6.90625" customWidth="1"/>
    <col min="6" max="6" width="21.453125" customWidth="1"/>
    <col min="7" max="7" width="9.6328125" customWidth="1"/>
    <col min="8" max="8" width="20.08984375" customWidth="1"/>
    <col min="9" max="9" width="6.90625" customWidth="1"/>
    <col min="10" max="10" width="17.26953125" customWidth="1"/>
    <col min="11" max="11" width="9.6328125" customWidth="1"/>
    <col min="12" max="12" width="20.08984375" customWidth="1"/>
    <col min="13" max="13" width="6.90625" customWidth="1"/>
    <col min="14" max="14" width="17.26953125" customWidth="1"/>
    <col min="15" max="15" width="9.6328125" customWidth="1"/>
    <col min="16" max="16" width="20.08984375" customWidth="1"/>
    <col min="17" max="17" width="6.90625" customWidth="1"/>
    <col min="18" max="18" width="19.81640625" customWidth="1"/>
    <col min="19" max="19" width="9.6328125" customWidth="1"/>
    <col min="20" max="20" width="20.08984375" customWidth="1"/>
    <col min="22" max="22" width="2.453125" customWidth="1"/>
    <col min="23" max="23" width="17" customWidth="1"/>
    <col min="24" max="24" width="12.26953125" customWidth="1"/>
  </cols>
  <sheetData>
    <row r="6" spans="2:25" ht="14.25" customHeight="1" x14ac:dyDescent="0.35">
      <c r="W6" s="1" t="s">
        <v>0</v>
      </c>
      <c r="X6" s="1" t="s">
        <v>1</v>
      </c>
      <c r="Y6" s="2" t="s">
        <v>2</v>
      </c>
    </row>
    <row r="7" spans="2:25" ht="14.25" customHeight="1" x14ac:dyDescent="0.35">
      <c r="W7" s="1"/>
      <c r="X7" s="1"/>
      <c r="Y7" s="2"/>
    </row>
    <row r="8" spans="2:25" s="5" customFormat="1" ht="15" customHeight="1" thickBot="1" x14ac:dyDescent="0.4">
      <c r="B8" s="3"/>
      <c r="C8" s="3"/>
      <c r="D8" s="3" t="s">
        <v>3</v>
      </c>
      <c r="E8" s="3" t="s">
        <v>4</v>
      </c>
      <c r="F8" s="3"/>
      <c r="G8" s="3"/>
      <c r="H8" s="3" t="s">
        <v>3</v>
      </c>
      <c r="I8" s="3" t="s">
        <v>4</v>
      </c>
      <c r="J8" s="3"/>
      <c r="K8" s="3"/>
      <c r="L8" s="3" t="s">
        <v>3</v>
      </c>
      <c r="M8" s="3" t="s">
        <v>4</v>
      </c>
      <c r="N8" s="3"/>
      <c r="O8" s="3"/>
      <c r="P8" s="3" t="s">
        <v>3</v>
      </c>
      <c r="Q8" s="3" t="s">
        <v>4</v>
      </c>
      <c r="R8" s="3"/>
      <c r="S8" s="3"/>
      <c r="T8" s="3" t="s">
        <v>3</v>
      </c>
      <c r="U8" s="4" t="s">
        <v>4</v>
      </c>
      <c r="W8" s="6" t="s">
        <v>5</v>
      </c>
      <c r="X8" s="7">
        <v>394.12200000000001</v>
      </c>
      <c r="Y8" s="5">
        <f>RANK(X8,W8:X12,1)</f>
        <v>5</v>
      </c>
    </row>
    <row r="9" spans="2:25" ht="14.25" customHeight="1" x14ac:dyDescent="0.35">
      <c r="B9" s="8" t="s">
        <v>6</v>
      </c>
      <c r="C9" s="5" t="s">
        <v>7</v>
      </c>
      <c r="D9" s="9">
        <v>350.52291666666702</v>
      </c>
      <c r="E9" s="10">
        <f t="shared" ref="E9:E18" si="0">SUM(D9)/SUM($D$9:$D$18)</f>
        <v>9.9639713695386087E-2</v>
      </c>
      <c r="F9" s="8" t="s">
        <v>5</v>
      </c>
      <c r="G9" s="5" t="s">
        <v>7</v>
      </c>
      <c r="H9" s="9">
        <v>437.66086956521701</v>
      </c>
      <c r="I9" s="10">
        <f t="shared" ref="I9:I18" si="1">SUM(H9)/SUM($H$9:$H$18)</f>
        <v>0.1124545146134395</v>
      </c>
      <c r="J9" s="8" t="s">
        <v>8</v>
      </c>
      <c r="K9" s="5" t="s">
        <v>7</v>
      </c>
      <c r="L9" s="9">
        <v>319.50304347826102</v>
      </c>
      <c r="M9" s="10">
        <f t="shared" ref="M9:M18" si="2">SUM(L9)/SUM($L$9:$L$18)</f>
        <v>8.7155368801021621E-2</v>
      </c>
      <c r="N9" s="8" t="s">
        <v>9</v>
      </c>
      <c r="O9" s="5" t="s">
        <v>7</v>
      </c>
      <c r="P9" s="9">
        <v>230.67124999999999</v>
      </c>
      <c r="Q9" s="10">
        <f t="shared" ref="Q9:Q18" si="3">SUM(P9)/SUM($P$9:$P$18)</f>
        <v>6.1770593117546596E-2</v>
      </c>
      <c r="R9" s="8" t="s">
        <v>10</v>
      </c>
      <c r="S9" s="5" t="s">
        <v>7</v>
      </c>
      <c r="T9" s="9">
        <v>397.35814814814802</v>
      </c>
      <c r="U9" s="10">
        <f t="shared" ref="U9:U18" si="4">SUM(T9)/SUM($T$9:$T$18)</f>
        <v>0.10845765808087288</v>
      </c>
      <c r="W9" s="11" t="s">
        <v>6</v>
      </c>
      <c r="X9" s="12">
        <v>358.33512711864398</v>
      </c>
      <c r="Y9" s="13">
        <f>RANK(X9,W9:X13,1)</f>
        <v>1</v>
      </c>
    </row>
    <row r="10" spans="2:25" ht="14.25" customHeight="1" x14ac:dyDescent="0.35">
      <c r="B10" s="5"/>
      <c r="C10" s="5" t="s">
        <v>11</v>
      </c>
      <c r="D10" s="9">
        <v>445.62071428571397</v>
      </c>
      <c r="E10" s="10">
        <f t="shared" si="0"/>
        <v>0.12667223247598963</v>
      </c>
      <c r="F10" s="5"/>
      <c r="G10" s="5" t="s">
        <v>11</v>
      </c>
      <c r="H10" s="9">
        <v>240.02</v>
      </c>
      <c r="I10" s="10">
        <f t="shared" si="1"/>
        <v>6.1671797673691041E-2</v>
      </c>
      <c r="J10" s="5"/>
      <c r="K10" s="5" t="s">
        <v>11</v>
      </c>
      <c r="L10" s="9">
        <v>524.74870967741901</v>
      </c>
      <c r="M10" s="10">
        <f t="shared" si="2"/>
        <v>0.14314313510727938</v>
      </c>
      <c r="N10" s="5"/>
      <c r="O10" s="5" t="s">
        <v>11</v>
      </c>
      <c r="P10" s="9">
        <v>373.77380952380997</v>
      </c>
      <c r="Q10" s="10">
        <f t="shared" si="3"/>
        <v>0.10009149343964897</v>
      </c>
      <c r="R10" s="5"/>
      <c r="S10" s="5" t="s">
        <v>11</v>
      </c>
      <c r="T10" s="9">
        <v>375.50720000000001</v>
      </c>
      <c r="U10" s="10">
        <f t="shared" si="4"/>
        <v>0.10249351043714282</v>
      </c>
      <c r="W10" s="6" t="s">
        <v>8</v>
      </c>
      <c r="X10" s="7">
        <v>371.124776785714</v>
      </c>
      <c r="Y10" s="5">
        <f>RANK(X10,W10:X14,1)</f>
        <v>3</v>
      </c>
    </row>
    <row r="11" spans="2:25" ht="14.25" customHeight="1" x14ac:dyDescent="0.35">
      <c r="B11" s="5"/>
      <c r="C11" s="5" t="s">
        <v>12</v>
      </c>
      <c r="D11" s="9">
        <v>385.82032258064498</v>
      </c>
      <c r="E11" s="10">
        <f t="shared" si="0"/>
        <v>0.10967336128939814</v>
      </c>
      <c r="F11" s="5"/>
      <c r="G11" s="5" t="s">
        <v>12</v>
      </c>
      <c r="H11" s="9">
        <v>262.96125000000001</v>
      </c>
      <c r="I11" s="10">
        <f t="shared" si="1"/>
        <v>6.7566423656448993E-2</v>
      </c>
      <c r="J11" s="5"/>
      <c r="K11" s="5" t="s">
        <v>12</v>
      </c>
      <c r="L11" s="9">
        <v>357.52800000000002</v>
      </c>
      <c r="M11" s="10">
        <f t="shared" si="2"/>
        <v>9.7527974561568823E-2</v>
      </c>
      <c r="N11" s="5"/>
      <c r="O11" s="5" t="s">
        <v>12</v>
      </c>
      <c r="P11" s="9">
        <v>313.43571428571403</v>
      </c>
      <c r="Q11" s="10">
        <f t="shared" si="3"/>
        <v>8.3933780111957734E-2</v>
      </c>
      <c r="R11" s="5"/>
      <c r="S11" s="5" t="s">
        <v>12</v>
      </c>
      <c r="T11" s="9">
        <v>365.32966666666698</v>
      </c>
      <c r="U11" s="10">
        <f t="shared" si="4"/>
        <v>9.9715584690514419E-2</v>
      </c>
      <c r="W11" s="6" t="s">
        <v>9</v>
      </c>
      <c r="X11" s="7">
        <v>370.35951456310698</v>
      </c>
      <c r="Y11" s="5">
        <f>RANK(X11,W11:X15,1)</f>
        <v>2</v>
      </c>
    </row>
    <row r="12" spans="2:25" ht="14.25" customHeight="1" x14ac:dyDescent="0.35">
      <c r="B12" s="5"/>
      <c r="C12" s="5" t="s">
        <v>13</v>
      </c>
      <c r="D12" s="9">
        <v>441.85423076923098</v>
      </c>
      <c r="E12" s="10">
        <f t="shared" si="0"/>
        <v>0.12560157112582848</v>
      </c>
      <c r="F12" s="5"/>
      <c r="G12" s="5" t="s">
        <v>13</v>
      </c>
      <c r="H12" s="9">
        <v>384.90434782608702</v>
      </c>
      <c r="I12" s="10">
        <f t="shared" si="1"/>
        <v>9.8899021176795429E-2</v>
      </c>
      <c r="J12" s="5"/>
      <c r="K12" s="5" t="s">
        <v>13</v>
      </c>
      <c r="L12" s="9">
        <v>242.92411764705901</v>
      </c>
      <c r="M12" s="10">
        <f t="shared" si="2"/>
        <v>6.6265850971878912E-2</v>
      </c>
      <c r="N12" s="5"/>
      <c r="O12" s="5" t="s">
        <v>13</v>
      </c>
      <c r="P12" s="9">
        <v>478.52766666666702</v>
      </c>
      <c r="Q12" s="10">
        <f t="shared" si="3"/>
        <v>0.12814313787763171</v>
      </c>
      <c r="R12" s="5"/>
      <c r="S12" s="5" t="s">
        <v>13</v>
      </c>
      <c r="T12" s="9">
        <v>509.07777777777801</v>
      </c>
      <c r="U12" s="10">
        <f t="shared" si="4"/>
        <v>0.13895117997733242</v>
      </c>
      <c r="W12" s="11" t="s">
        <v>10</v>
      </c>
      <c r="X12" s="12">
        <v>368.919958158996</v>
      </c>
      <c r="Y12" s="13">
        <f>RANK(X12,W12:X16,1)</f>
        <v>1</v>
      </c>
    </row>
    <row r="13" spans="2:25" ht="14.25" customHeight="1" x14ac:dyDescent="0.35">
      <c r="B13" s="5"/>
      <c r="C13" s="5" t="s">
        <v>14</v>
      </c>
      <c r="D13" s="9">
        <v>337.589583333333</v>
      </c>
      <c r="E13" s="10">
        <f t="shared" si="0"/>
        <v>9.5963281801245845E-2</v>
      </c>
      <c r="F13" s="5"/>
      <c r="G13" s="5" t="s">
        <v>14</v>
      </c>
      <c r="H13" s="9">
        <v>500.25388888888898</v>
      </c>
      <c r="I13" s="10">
        <f t="shared" si="1"/>
        <v>0.12853744113420831</v>
      </c>
      <c r="J13" s="5"/>
      <c r="K13" s="5" t="s">
        <v>14</v>
      </c>
      <c r="L13" s="9">
        <v>257.85227272727298</v>
      </c>
      <c r="M13" s="10">
        <f t="shared" si="2"/>
        <v>7.0338015190945E-2</v>
      </c>
      <c r="N13" s="5"/>
      <c r="O13" s="5" t="s">
        <v>14</v>
      </c>
      <c r="P13" s="9">
        <v>240.63624999999999</v>
      </c>
      <c r="Q13" s="10">
        <f t="shared" si="3"/>
        <v>6.4439083275797143E-2</v>
      </c>
      <c r="R13" s="5"/>
      <c r="S13" s="5" t="s">
        <v>14</v>
      </c>
      <c r="T13" s="9">
        <v>433.935</v>
      </c>
      <c r="U13" s="10">
        <f t="shared" si="4"/>
        <v>0.11844119487333817</v>
      </c>
    </row>
    <row r="14" spans="2:25" ht="14.25" customHeight="1" x14ac:dyDescent="0.35">
      <c r="B14" s="5"/>
      <c r="C14" s="5" t="s">
        <v>15</v>
      </c>
      <c r="D14" s="9">
        <v>188.85333333333301</v>
      </c>
      <c r="E14" s="10">
        <f t="shared" si="0"/>
        <v>5.3683485926391203E-2</v>
      </c>
      <c r="F14" s="5"/>
      <c r="G14" s="5" t="s">
        <v>15</v>
      </c>
      <c r="H14" s="9">
        <v>347.77066666666701</v>
      </c>
      <c r="I14" s="10">
        <f t="shared" si="1"/>
        <v>8.9357729320520524E-2</v>
      </c>
      <c r="J14" s="5"/>
      <c r="K14" s="5" t="s">
        <v>15</v>
      </c>
      <c r="L14" s="9">
        <v>424.67333333333301</v>
      </c>
      <c r="M14" s="10">
        <f t="shared" si="2"/>
        <v>0.11584415780109512</v>
      </c>
      <c r="N14" s="5"/>
      <c r="O14" s="5" t="s">
        <v>15</v>
      </c>
      <c r="P14" s="9">
        <v>317.37571428571403</v>
      </c>
      <c r="Q14" s="10">
        <f t="shared" si="3"/>
        <v>8.4988858006940879E-2</v>
      </c>
      <c r="R14" s="5"/>
      <c r="S14" s="5" t="s">
        <v>15</v>
      </c>
      <c r="T14" s="9">
        <v>337.51440000000002</v>
      </c>
      <c r="U14" s="10">
        <f t="shared" si="4"/>
        <v>9.2123495046395901E-2</v>
      </c>
    </row>
    <row r="15" spans="2:25" ht="14.25" customHeight="1" x14ac:dyDescent="0.35">
      <c r="B15" s="5"/>
      <c r="C15" s="5" t="s">
        <v>16</v>
      </c>
      <c r="D15" s="9">
        <v>310.38350000000003</v>
      </c>
      <c r="E15" s="10">
        <f t="shared" si="0"/>
        <v>8.8229675166094007E-2</v>
      </c>
      <c r="F15" s="5"/>
      <c r="G15" s="5" t="s">
        <v>16</v>
      </c>
      <c r="H15" s="9">
        <v>419.69937499999997</v>
      </c>
      <c r="I15" s="10">
        <f t="shared" si="1"/>
        <v>0.10783940896081402</v>
      </c>
      <c r="J15" s="5"/>
      <c r="K15" s="5" t="s">
        <v>16</v>
      </c>
      <c r="L15" s="9">
        <v>359.20631578947399</v>
      </c>
      <c r="M15" s="10">
        <f t="shared" si="2"/>
        <v>9.7985792521622567E-2</v>
      </c>
      <c r="N15" s="5"/>
      <c r="O15" s="5" t="s">
        <v>16</v>
      </c>
      <c r="P15" s="9">
        <v>310.62842105263201</v>
      </c>
      <c r="Q15" s="10">
        <f t="shared" si="3"/>
        <v>8.3182025534556545E-2</v>
      </c>
      <c r="R15" s="5"/>
      <c r="S15" s="5" t="s">
        <v>16</v>
      </c>
      <c r="T15" s="9">
        <v>308.799047619048</v>
      </c>
      <c r="U15" s="10">
        <f t="shared" si="4"/>
        <v>8.4285729834534875E-2</v>
      </c>
    </row>
    <row r="16" spans="2:25" ht="14.25" customHeight="1" x14ac:dyDescent="0.35">
      <c r="B16" s="5"/>
      <c r="C16" s="5" t="s">
        <v>17</v>
      </c>
      <c r="D16" s="9">
        <v>359.94863636363601</v>
      </c>
      <c r="E16" s="10">
        <f t="shared" si="0"/>
        <v>0.10231907064274388</v>
      </c>
      <c r="F16" s="5"/>
      <c r="G16" s="5" t="s">
        <v>17</v>
      </c>
      <c r="H16" s="9">
        <v>536.09818181818196</v>
      </c>
      <c r="I16" s="10">
        <f t="shared" si="1"/>
        <v>0.13774743189036143</v>
      </c>
      <c r="J16" s="5"/>
      <c r="K16" s="5" t="s">
        <v>17</v>
      </c>
      <c r="L16" s="9">
        <v>328.51190476190499</v>
      </c>
      <c r="M16" s="10">
        <f t="shared" si="2"/>
        <v>8.9612843443846596E-2</v>
      </c>
      <c r="N16" s="5"/>
      <c r="O16" s="5" t="s">
        <v>17</v>
      </c>
      <c r="P16" s="9">
        <v>399.10187500000001</v>
      </c>
      <c r="Q16" s="10">
        <f t="shared" si="3"/>
        <v>0.10687400156315512</v>
      </c>
      <c r="R16" s="5"/>
      <c r="S16" s="5" t="s">
        <v>17</v>
      </c>
      <c r="T16" s="9">
        <v>379.07233333333301</v>
      </c>
      <c r="U16" s="10">
        <f t="shared" si="4"/>
        <v>0.10346660237921415</v>
      </c>
    </row>
    <row r="17" spans="2:21" ht="14.25" customHeight="1" x14ac:dyDescent="0.35">
      <c r="B17" s="5"/>
      <c r="C17" s="5" t="s">
        <v>18</v>
      </c>
      <c r="D17" s="9">
        <v>370.58045454545498</v>
      </c>
      <c r="E17" s="10">
        <f t="shared" si="0"/>
        <v>0.10534127338421326</v>
      </c>
      <c r="F17" s="5"/>
      <c r="G17" s="5" t="s">
        <v>18</v>
      </c>
      <c r="H17" s="9">
        <v>289.805238095238</v>
      </c>
      <c r="I17" s="10">
        <f t="shared" si="1"/>
        <v>7.4463836382740511E-2</v>
      </c>
      <c r="J17" s="5"/>
      <c r="K17" s="5" t="s">
        <v>18</v>
      </c>
      <c r="L17" s="9">
        <v>521.27933333333306</v>
      </c>
      <c r="M17" s="10">
        <f t="shared" si="2"/>
        <v>0.1421967442013069</v>
      </c>
      <c r="N17" s="5"/>
      <c r="O17" s="5" t="s">
        <v>18</v>
      </c>
      <c r="P17" s="9">
        <v>655.45823529411803</v>
      </c>
      <c r="Q17" s="10">
        <f t="shared" si="3"/>
        <v>0.1755227145034246</v>
      </c>
      <c r="R17" s="5"/>
      <c r="S17" s="5" t="s">
        <v>18</v>
      </c>
      <c r="T17" s="9">
        <v>262.451764705882</v>
      </c>
      <c r="U17" s="10">
        <f t="shared" si="4"/>
        <v>7.163538458151765E-2</v>
      </c>
    </row>
    <row r="18" spans="2:21" ht="14.25" customHeight="1" x14ac:dyDescent="0.35">
      <c r="B18" s="5"/>
      <c r="C18" s="5" t="s">
        <v>19</v>
      </c>
      <c r="D18" s="9">
        <v>326.73</v>
      </c>
      <c r="E18" s="10">
        <f t="shared" si="0"/>
        <v>9.2876334492709489E-2</v>
      </c>
      <c r="F18" s="5"/>
      <c r="G18" s="5" t="s">
        <v>19</v>
      </c>
      <c r="H18" s="9">
        <v>472.71857142857101</v>
      </c>
      <c r="I18" s="10">
        <f t="shared" si="1"/>
        <v>0.12146239519098033</v>
      </c>
      <c r="J18" s="5"/>
      <c r="K18" s="5" t="s">
        <v>19</v>
      </c>
      <c r="L18" s="9">
        <v>329.67500000000001</v>
      </c>
      <c r="M18" s="10">
        <f t="shared" si="2"/>
        <v>8.9930117399435017E-2</v>
      </c>
      <c r="N18" s="5"/>
      <c r="O18" s="5" t="s">
        <v>19</v>
      </c>
      <c r="P18" s="9">
        <v>414.71249999999998</v>
      </c>
      <c r="Q18" s="10">
        <f t="shared" si="3"/>
        <v>0.11105431256934074</v>
      </c>
      <c r="R18" s="5"/>
      <c r="S18" s="5" t="s">
        <v>19</v>
      </c>
      <c r="T18" s="9">
        <v>294.67149999999998</v>
      </c>
      <c r="U18" s="10">
        <f t="shared" si="4"/>
        <v>8.0429660099136657E-2</v>
      </c>
    </row>
    <row r="19" spans="2:21" ht="15" customHeight="1" thickBot="1" x14ac:dyDescent="0.4">
      <c r="B19" s="14" t="s">
        <v>20</v>
      </c>
      <c r="C19" s="14"/>
      <c r="D19" s="15">
        <f>SUM(D9:D18)</f>
        <v>3517.9036918780139</v>
      </c>
      <c r="E19" s="16"/>
      <c r="F19" s="14" t="s">
        <v>21</v>
      </c>
      <c r="G19" s="14"/>
      <c r="H19" s="15">
        <f>SUM(H9:H18)</f>
        <v>3891.8923892888506</v>
      </c>
      <c r="I19" s="16"/>
      <c r="J19" s="14" t="s">
        <v>22</v>
      </c>
      <c r="K19" s="14"/>
      <c r="L19" s="15">
        <f>SUM(L9:L18)</f>
        <v>3665.9020307480573</v>
      </c>
      <c r="M19" s="16"/>
      <c r="N19" s="14" t="s">
        <v>23</v>
      </c>
      <c r="O19" s="14"/>
      <c r="P19" s="15">
        <f>SUM(P9:P18)</f>
        <v>3734.3214361086548</v>
      </c>
      <c r="Q19" s="16"/>
      <c r="R19" s="14" t="s">
        <v>24</v>
      </c>
      <c r="S19" s="14"/>
      <c r="T19" s="15">
        <f>SUM(T9:T18)</f>
        <v>3663.7168382508562</v>
      </c>
      <c r="U19" s="17"/>
    </row>
    <row r="20" spans="2:21" ht="15" customHeight="1" thickTop="1" x14ac:dyDescent="0.35">
      <c r="F20" s="5"/>
      <c r="G20" s="5"/>
      <c r="H20" s="9"/>
    </row>
    <row r="32" spans="2:21" ht="14.25" customHeight="1" x14ac:dyDescent="0.35">
      <c r="F32" s="5"/>
      <c r="G32" s="5"/>
      <c r="H32" s="9"/>
    </row>
    <row r="44" spans="6:8" ht="14.25" customHeight="1" x14ac:dyDescent="0.35">
      <c r="F44" s="5"/>
      <c r="G44" s="5"/>
      <c r="H44" s="9"/>
    </row>
    <row r="56" spans="6:8" ht="14.25" customHeight="1" x14ac:dyDescent="0.35">
      <c r="F56" s="5"/>
      <c r="G56" s="5"/>
      <c r="H5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Source_Market_Survey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watsala innocent</dc:creator>
  <cp:lastModifiedBy>watsala innocent</cp:lastModifiedBy>
  <dcterms:created xsi:type="dcterms:W3CDTF">2026-03-05T09:22:53Z</dcterms:created>
  <dcterms:modified xsi:type="dcterms:W3CDTF">2026-03-05T09:25:12Z</dcterms:modified>
</cp:coreProperties>
</file>